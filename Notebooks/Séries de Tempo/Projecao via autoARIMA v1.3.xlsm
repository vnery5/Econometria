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nicius/Meu Drive/UnB/Econometria/Notebooks/Séries de Tempo/"/>
    </mc:Choice>
  </mc:AlternateContent>
  <xr:revisionPtr revIDLastSave="0" documentId="13_ncr:1_{A3C7634C-EB8A-3346-973A-0419F699927D}" xr6:coauthVersionLast="47" xr6:coauthVersionMax="47" xr10:uidLastSave="{00000000-0000-0000-0000-000000000000}"/>
  <bookViews>
    <workbookView xWindow="0" yWindow="0" windowWidth="28800" windowHeight="18000" activeTab="6" xr2:uid="{8ABD7424-25AD-41FA-9A45-24F005CA5C52}"/>
  </bookViews>
  <sheets>
    <sheet name="Input IBGE" sheetId="1" r:id="rId1"/>
    <sheet name="Input IBGE (old)" sheetId="7" r:id="rId2"/>
    <sheet name="Dados" sheetId="2" r:id="rId3"/>
    <sheet name="Modelos" sheetId="3" r:id="rId4"/>
    <sheet name="Projeçao" sheetId="4" r:id="rId5"/>
    <sheet name="Saídas" sheetId="5" r:id="rId6"/>
    <sheet name="Visuais" sheetId="6" r:id="rId7"/>
  </sheets>
  <definedNames>
    <definedName name="solver_adj" localSheetId="3" hidden="1">Modelos!$BA$24:$BG$24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Modelos!$BA$10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2</definedName>
    <definedName name="solver_nod" localSheetId="3" hidden="1">2147483647</definedName>
    <definedName name="solver_num" localSheetId="3" hidden="1">0</definedName>
    <definedName name="solver_nwt" localSheetId="3" hidden="1">1</definedName>
    <definedName name="solver_opt" localSheetId="3" hidden="1">Modelos!$BI$24</definedName>
    <definedName name="solver_pre" localSheetId="3" hidden="1">0.000001</definedName>
    <definedName name="solver_rbv" localSheetId="3" hidden="1">1</definedName>
    <definedName name="solver_rel1" localSheetId="3" hidden="1">1</definedName>
    <definedName name="solver_rhs1" localSheetId="3" hidden="1">0.9999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400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2" l="1" a="1"/>
  <c r="B3" i="2" s="1"/>
  <c r="AI29" i="2"/>
  <c r="K24" i="6"/>
  <c r="J24" i="6"/>
  <c r="F24" i="6"/>
  <c r="G24" i="6" s="1"/>
  <c r="H24" i="6" s="1"/>
  <c r="I24" i="6" s="1"/>
  <c r="L24" i="6" s="1"/>
  <c r="M24" i="6" s="1"/>
  <c r="N24" i="6" s="1"/>
  <c r="O24" i="6" s="1"/>
  <c r="P24" i="6" s="1"/>
  <c r="E24" i="6"/>
  <c r="D24" i="6"/>
  <c r="E90" i="5" a="1"/>
  <c r="E90" i="5" s="1"/>
  <c r="E91" i="5" a="1"/>
  <c r="E91" i="5" s="1"/>
  <c r="E92" i="5" a="1"/>
  <c r="E92" i="5" s="1"/>
  <c r="E93" i="5" a="1"/>
  <c r="E93" i="5" s="1"/>
  <c r="E94" i="5" a="1"/>
  <c r="E94" i="5" s="1"/>
  <c r="E95" i="5" a="1"/>
  <c r="E95" i="5" s="1"/>
  <c r="E96" i="5" a="1"/>
  <c r="E96" i="5" s="1"/>
  <c r="E97" i="5" a="1"/>
  <c r="E97" i="5" s="1"/>
  <c r="E98" i="5" a="1"/>
  <c r="E98" i="5" s="1"/>
  <c r="E99" i="5" a="1"/>
  <c r="E99" i="5" s="1"/>
  <c r="E100" i="5" a="1"/>
  <c r="E100" i="5" s="1"/>
  <c r="E101" i="5" a="1"/>
  <c r="E101" i="5" s="1"/>
  <c r="E102" i="5" a="1"/>
  <c r="E102" i="5" s="1"/>
  <c r="E103" i="5" a="1"/>
  <c r="E103" i="5" s="1"/>
  <c r="E104" i="5" a="1"/>
  <c r="E104" i="5" s="1"/>
  <c r="E105" i="5" a="1"/>
  <c r="E105" i="5" s="1"/>
  <c r="E106" i="5" a="1"/>
  <c r="E106" i="5" s="1"/>
  <c r="Q127" i="5"/>
  <c r="Q126" i="5"/>
  <c r="Q125" i="5"/>
  <c r="Q124" i="5"/>
  <c r="Q123" i="5"/>
  <c r="Q122" i="5"/>
  <c r="Q121" i="5"/>
  <c r="Q120" i="5"/>
  <c r="Q119" i="5"/>
  <c r="Q118" i="5"/>
  <c r="Q117" i="5"/>
  <c r="A117" i="5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Q116" i="5"/>
  <c r="A116" i="5"/>
  <c r="V50" i="4"/>
  <c r="V49" i="4"/>
  <c r="V48" i="4"/>
  <c r="V47" i="4"/>
  <c r="A47" i="4"/>
  <c r="A48" i="4" s="1"/>
  <c r="A49" i="4" s="1"/>
  <c r="A50" i="4" s="1"/>
  <c r="G106" i="5" a="1"/>
  <c r="G106" i="5" s="1"/>
  <c r="D106" i="5" a="1"/>
  <c r="D106" i="5" s="1"/>
  <c r="C106" i="5" a="1"/>
  <c r="C106" i="5" s="1"/>
  <c r="B106" i="5" a="1"/>
  <c r="B106" i="5" s="1"/>
  <c r="A106" i="5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A29" i="4"/>
  <c r="M105" i="3"/>
  <c r="I105" i="3"/>
  <c r="D105" i="3"/>
  <c r="G105" i="2" a="1"/>
  <c r="G105" i="2" s="1"/>
  <c r="E105" i="2" a="1"/>
  <c r="E105" i="2" s="1"/>
  <c r="D105" i="2" a="1"/>
  <c r="D105" i="2" s="1"/>
  <c r="C105" i="2" a="1"/>
  <c r="C105" i="2" s="1"/>
  <c r="B105" i="2" a="1"/>
  <c r="B105" i="2" s="1"/>
  <c r="G105" i="5" a="1"/>
  <c r="G105" i="5" s="1"/>
  <c r="D105" i="5" a="1"/>
  <c r="D105" i="5" s="1"/>
  <c r="C105" i="5" a="1"/>
  <c r="C105" i="5" s="1"/>
  <c r="B105" i="5" a="1"/>
  <c r="B105" i="5" s="1"/>
  <c r="A105" i="5"/>
  <c r="A28" i="4"/>
  <c r="G104" i="2" a="1"/>
  <c r="G104" i="2" s="1"/>
  <c r="E104" i="2" a="1"/>
  <c r="E104" i="2" s="1"/>
  <c r="D104" i="2" a="1"/>
  <c r="D104" i="2" s="1"/>
  <c r="C104" i="2" a="1"/>
  <c r="C104" i="2" s="1"/>
  <c r="B104" i="2" a="1"/>
  <c r="B104" i="2" s="1"/>
  <c r="A27" i="4"/>
  <c r="AJ104" i="5"/>
  <c r="AC104" i="5"/>
  <c r="Q104" i="5"/>
  <c r="G104" i="5" a="1"/>
  <c r="G104" i="5" s="1"/>
  <c r="D104" i="5" a="1"/>
  <c r="D104" i="5" s="1"/>
  <c r="C104" i="5" a="1"/>
  <c r="C104" i="5" s="1"/>
  <c r="B104" i="5" a="1"/>
  <c r="B104" i="5" s="1"/>
  <c r="A104" i="5"/>
  <c r="M103" i="3"/>
  <c r="I103" i="3"/>
  <c r="D103" i="3"/>
  <c r="G103" i="2" a="1"/>
  <c r="G103" i="2" s="1"/>
  <c r="E103" i="2" a="1"/>
  <c r="E103" i="2" s="1"/>
  <c r="D103" i="2" a="1"/>
  <c r="D103" i="2" s="1"/>
  <c r="C103" i="2" a="1"/>
  <c r="C103" i="2" s="1"/>
  <c r="B103" i="2" a="1"/>
  <c r="B103" i="2" s="1"/>
  <c r="G103" i="5" a="1"/>
  <c r="G103" i="5" s="1"/>
  <c r="D103" i="5" a="1"/>
  <c r="D103" i="5" s="1"/>
  <c r="C103" i="5" a="1"/>
  <c r="C103" i="5" s="1"/>
  <c r="B103" i="5" a="1"/>
  <c r="B103" i="5" s="1"/>
  <c r="A103" i="5"/>
  <c r="A26" i="4"/>
  <c r="G102" i="2" a="1"/>
  <c r="G102" i="2" s="1"/>
  <c r="E102" i="2" a="1"/>
  <c r="E102" i="2" s="1"/>
  <c r="D102" i="2" a="1"/>
  <c r="D102" i="2" s="1"/>
  <c r="C102" i="2" a="1"/>
  <c r="C102" i="2" s="1"/>
  <c r="B102" i="2" a="1"/>
  <c r="B102" i="2" s="1"/>
  <c r="Q112" i="5"/>
  <c r="Q113" i="5"/>
  <c r="AJ114" i="5"/>
  <c r="Q108" i="5"/>
  <c r="AJ102" i="5"/>
  <c r="AJ101" i="5"/>
  <c r="AJ100" i="5"/>
  <c r="AJ99" i="5"/>
  <c r="AJ98" i="5"/>
  <c r="AJ97" i="5"/>
  <c r="AJ96" i="5"/>
  <c r="AJ95" i="5"/>
  <c r="AJ94" i="5"/>
  <c r="AJ93" i="5"/>
  <c r="AJ92" i="5"/>
  <c r="AJ91" i="5"/>
  <c r="AJ90" i="5"/>
  <c r="AJ89" i="5"/>
  <c r="AJ88" i="5"/>
  <c r="AJ87" i="5"/>
  <c r="AJ86" i="5"/>
  <c r="AJ85" i="5"/>
  <c r="AJ84" i="5"/>
  <c r="AJ83" i="5"/>
  <c r="AJ82" i="5"/>
  <c r="AJ81" i="5"/>
  <c r="AJ80" i="5"/>
  <c r="AJ79" i="5"/>
  <c r="AJ78" i="5"/>
  <c r="AJ77" i="5"/>
  <c r="AJ76" i="5"/>
  <c r="AJ75" i="5"/>
  <c r="AJ74" i="5"/>
  <c r="AJ73" i="5"/>
  <c r="AJ72" i="5"/>
  <c r="AJ71" i="5"/>
  <c r="AJ70" i="5"/>
  <c r="AJ69" i="5"/>
  <c r="AJ68" i="5"/>
  <c r="AJ67" i="5"/>
  <c r="AJ66" i="5"/>
  <c r="AJ65" i="5"/>
  <c r="AJ64" i="5"/>
  <c r="AJ63" i="5"/>
  <c r="AJ62" i="5"/>
  <c r="AJ61" i="5"/>
  <c r="AJ60" i="5"/>
  <c r="AJ59" i="5"/>
  <c r="AJ58" i="5"/>
  <c r="AJ57" i="5"/>
  <c r="AJ56" i="5"/>
  <c r="AJ55" i="5"/>
  <c r="AJ54" i="5"/>
  <c r="AJ53" i="5"/>
  <c r="AJ52" i="5"/>
  <c r="AJ51" i="5"/>
  <c r="AJ50" i="5"/>
  <c r="AJ49" i="5"/>
  <c r="AJ48" i="5"/>
  <c r="AJ47" i="5"/>
  <c r="AJ46" i="5"/>
  <c r="AJ45" i="5"/>
  <c r="AJ44" i="5"/>
  <c r="AJ43" i="5"/>
  <c r="AJ42" i="5"/>
  <c r="AJ41" i="5"/>
  <c r="AJ40" i="5"/>
  <c r="AJ39" i="5"/>
  <c r="AJ38" i="5"/>
  <c r="AJ37" i="5"/>
  <c r="AJ36" i="5"/>
  <c r="AJ35" i="5"/>
  <c r="AJ34" i="5"/>
  <c r="AJ33" i="5"/>
  <c r="AJ32" i="5"/>
  <c r="AJ31" i="5"/>
  <c r="AJ30" i="5"/>
  <c r="AJ29" i="5"/>
  <c r="AJ28" i="5"/>
  <c r="AJ27" i="5"/>
  <c r="AJ26" i="5"/>
  <c r="AJ25" i="5"/>
  <c r="AJ24" i="5"/>
  <c r="AJ23" i="5"/>
  <c r="AJ22" i="5"/>
  <c r="AJ21" i="5"/>
  <c r="AJ20" i="5"/>
  <c r="AJ19" i="5"/>
  <c r="AJ18" i="5"/>
  <c r="AJ17" i="5"/>
  <c r="AJ16" i="5"/>
  <c r="AJ15" i="5"/>
  <c r="AJ14" i="5"/>
  <c r="AJ13" i="5"/>
  <c r="AJ12" i="5"/>
  <c r="AJ11" i="5"/>
  <c r="L106" i="5" l="1"/>
  <c r="N106" i="5"/>
  <c r="K106" i="5"/>
  <c r="P106" i="5"/>
  <c r="F106" i="5"/>
  <c r="M106" i="5"/>
  <c r="L105" i="2"/>
  <c r="N105" i="2"/>
  <c r="I105" i="2"/>
  <c r="J105" i="2"/>
  <c r="K105" i="2"/>
  <c r="F105" i="2"/>
  <c r="N105" i="5"/>
  <c r="F105" i="5"/>
  <c r="T105" i="5" s="1"/>
  <c r="P105" i="5"/>
  <c r="K105" i="5"/>
  <c r="L105" i="5"/>
  <c r="M105" i="5"/>
  <c r="L104" i="2"/>
  <c r="I104" i="2"/>
  <c r="J104" i="2"/>
  <c r="K104" i="2"/>
  <c r="F104" i="2"/>
  <c r="N104" i="2"/>
  <c r="N104" i="5"/>
  <c r="F104" i="5"/>
  <c r="S104" i="5" s="1"/>
  <c r="P104" i="5"/>
  <c r="I104" i="5"/>
  <c r="K104" i="5"/>
  <c r="L104" i="5"/>
  <c r="M104" i="5"/>
  <c r="L103" i="2"/>
  <c r="F103" i="2"/>
  <c r="N103" i="2"/>
  <c r="I103" i="2"/>
  <c r="J103" i="2"/>
  <c r="K103" i="2"/>
  <c r="F103" i="5"/>
  <c r="T103" i="5" s="1"/>
  <c r="F102" i="2"/>
  <c r="Q114" i="5"/>
  <c r="AC114" i="5"/>
  <c r="Q109" i="5"/>
  <c r="U106" i="5" l="1"/>
  <c r="R103" i="2"/>
  <c r="P102" i="2"/>
  <c r="P105" i="2"/>
  <c r="Q104" i="2"/>
  <c r="S106" i="5"/>
  <c r="V106" i="5"/>
  <c r="O106" i="5"/>
  <c r="T106" i="5"/>
  <c r="R105" i="2"/>
  <c r="M105" i="2"/>
  <c r="S105" i="2"/>
  <c r="Q105" i="2"/>
  <c r="S105" i="5"/>
  <c r="U105" i="5"/>
  <c r="V105" i="5"/>
  <c r="O105" i="5"/>
  <c r="R104" i="2"/>
  <c r="S104" i="2"/>
  <c r="M104" i="2"/>
  <c r="P104" i="2"/>
  <c r="V104" i="5"/>
  <c r="O104" i="5"/>
  <c r="U104" i="5"/>
  <c r="T104" i="5"/>
  <c r="S103" i="2"/>
  <c r="M103" i="2"/>
  <c r="Q103" i="2"/>
  <c r="P103" i="2"/>
  <c r="S103" i="5"/>
  <c r="V103" i="5"/>
  <c r="U103" i="5"/>
  <c r="S102" i="2"/>
  <c r="R102" i="2"/>
  <c r="Q102" i="2"/>
  <c r="AC115" i="5"/>
  <c r="AJ115" i="5"/>
  <c r="AC116" i="5"/>
  <c r="Q115" i="5"/>
  <c r="AJ116" i="5" l="1"/>
  <c r="Q110" i="5"/>
  <c r="G102" i="5" a="1"/>
  <c r="G102" i="5" s="1"/>
  <c r="D102" i="5" a="1"/>
  <c r="D102" i="5" s="1"/>
  <c r="C102" i="5" a="1"/>
  <c r="C102" i="5" s="1"/>
  <c r="B102" i="5" a="1"/>
  <c r="B102" i="5" s="1"/>
  <c r="G101" i="2" a="1"/>
  <c r="G101" i="2" s="1"/>
  <c r="N102" i="2" s="1"/>
  <c r="E101" i="2" a="1"/>
  <c r="E101" i="2" s="1"/>
  <c r="D101" i="2" a="1"/>
  <c r="D101" i="2" s="1"/>
  <c r="C101" i="2" a="1"/>
  <c r="C101" i="2" s="1"/>
  <c r="B101" i="2" a="1"/>
  <c r="B101" i="2" s="1"/>
  <c r="J102" i="2" l="1"/>
  <c r="K102" i="2"/>
  <c r="L102" i="2"/>
  <c r="I102" i="2"/>
  <c r="K103" i="5"/>
  <c r="L103" i="5"/>
  <c r="M103" i="5"/>
  <c r="P103" i="5"/>
  <c r="N103" i="5"/>
  <c r="AJ117" i="5"/>
  <c r="AC117" i="5"/>
  <c r="AC118" i="5"/>
  <c r="Q111" i="5"/>
  <c r="F102" i="5"/>
  <c r="F101" i="2"/>
  <c r="D31" i="6"/>
  <c r="E31" i="6" s="1"/>
  <c r="F31" i="6" s="1"/>
  <c r="G31" i="6" s="1"/>
  <c r="H31" i="6" s="1"/>
  <c r="I31" i="6" s="1"/>
  <c r="J31" i="6" s="1"/>
  <c r="K31" i="6" s="1"/>
  <c r="L31" i="6" s="1"/>
  <c r="M31" i="6" s="1"/>
  <c r="B101" i="5" a="1"/>
  <c r="B101" i="5" s="1"/>
  <c r="C101" i="5" a="1"/>
  <c r="C101" i="5" s="1"/>
  <c r="D101" i="5" a="1"/>
  <c r="D101" i="5" s="1"/>
  <c r="G101" i="5" a="1"/>
  <c r="G101" i="5" s="1"/>
  <c r="B100" i="2" a="1"/>
  <c r="B100" i="2" s="1"/>
  <c r="C100" i="2" a="1"/>
  <c r="C100" i="2" s="1"/>
  <c r="D100" i="2" a="1"/>
  <c r="D100" i="2" s="1"/>
  <c r="E100" i="2" a="1"/>
  <c r="E100" i="2" s="1"/>
  <c r="G100" i="2" a="1"/>
  <c r="G100" i="2" s="1"/>
  <c r="N101" i="2" s="1"/>
  <c r="M102" i="2" l="1"/>
  <c r="L101" i="2"/>
  <c r="K101" i="2"/>
  <c r="J101" i="2"/>
  <c r="I101" i="2"/>
  <c r="N102" i="5"/>
  <c r="M102" i="5"/>
  <c r="L102" i="5"/>
  <c r="K102" i="5"/>
  <c r="S102" i="5"/>
  <c r="O103" i="5"/>
  <c r="AJ118" i="5"/>
  <c r="P102" i="5"/>
  <c r="U102" i="5"/>
  <c r="V102" i="5"/>
  <c r="T102" i="5"/>
  <c r="S101" i="2"/>
  <c r="R101" i="2"/>
  <c r="Q101" i="2"/>
  <c r="P101" i="2"/>
  <c r="F101" i="5"/>
  <c r="S101" i="5" s="1"/>
  <c r="F100" i="2"/>
  <c r="W4" i="5"/>
  <c r="G100" i="5" a="1"/>
  <c r="G100" i="5" s="1"/>
  <c r="G99" i="5" a="1"/>
  <c r="G99" i="5" s="1"/>
  <c r="G98" i="5" a="1"/>
  <c r="G98" i="5" s="1"/>
  <c r="G97" i="5" a="1"/>
  <c r="G97" i="5" s="1"/>
  <c r="G96" i="5" a="1"/>
  <c r="G96" i="5" s="1"/>
  <c r="G95" i="5" a="1"/>
  <c r="G95" i="5" s="1"/>
  <c r="G94" i="5" a="1"/>
  <c r="G94" i="5" s="1"/>
  <c r="G93" i="5" a="1"/>
  <c r="G93" i="5" s="1"/>
  <c r="G92" i="5" a="1"/>
  <c r="G92" i="5" s="1"/>
  <c r="G91" i="5" a="1"/>
  <c r="G91" i="5" s="1"/>
  <c r="G90" i="5" a="1"/>
  <c r="G90" i="5" s="1"/>
  <c r="G89" i="5" a="1"/>
  <c r="G89" i="5" s="1"/>
  <c r="G88" i="5" a="1"/>
  <c r="G88" i="5" s="1"/>
  <c r="G87" i="5" a="1"/>
  <c r="G87" i="5" s="1"/>
  <c r="G86" i="5" a="1"/>
  <c r="G86" i="5" s="1"/>
  <c r="G85" i="5" a="1"/>
  <c r="G85" i="5" s="1"/>
  <c r="G84" i="5" a="1"/>
  <c r="G84" i="5" s="1"/>
  <c r="G83" i="5" a="1"/>
  <c r="G83" i="5" s="1"/>
  <c r="G82" i="5" a="1"/>
  <c r="G82" i="5" s="1"/>
  <c r="G81" i="5" a="1"/>
  <c r="G81" i="5" s="1"/>
  <c r="G80" i="5" a="1"/>
  <c r="G80" i="5" s="1"/>
  <c r="G79" i="5" a="1"/>
  <c r="G79" i="5" s="1"/>
  <c r="G78" i="5" a="1"/>
  <c r="G78" i="5" s="1"/>
  <c r="G77" i="5" a="1"/>
  <c r="G77" i="5" s="1"/>
  <c r="G76" i="5" a="1"/>
  <c r="G76" i="5" s="1"/>
  <c r="G75" i="5" a="1"/>
  <c r="G75" i="5" s="1"/>
  <c r="G74" i="5" a="1"/>
  <c r="G74" i="5" s="1"/>
  <c r="G73" i="5" a="1"/>
  <c r="G73" i="5" s="1"/>
  <c r="G72" i="5" a="1"/>
  <c r="G72" i="5" s="1"/>
  <c r="G71" i="5" a="1"/>
  <c r="G71" i="5" s="1"/>
  <c r="G70" i="5" a="1"/>
  <c r="G70" i="5" s="1"/>
  <c r="G69" i="5" a="1"/>
  <c r="G69" i="5" s="1"/>
  <c r="G68" i="5" a="1"/>
  <c r="G68" i="5" s="1"/>
  <c r="G67" i="5" a="1"/>
  <c r="G67" i="5" s="1"/>
  <c r="G66" i="5" a="1"/>
  <c r="G66" i="5" s="1"/>
  <c r="G65" i="5" a="1"/>
  <c r="G65" i="5" s="1"/>
  <c r="G64" i="5" a="1"/>
  <c r="G64" i="5" s="1"/>
  <c r="G63" i="5" a="1"/>
  <c r="G63" i="5" s="1"/>
  <c r="G62" i="5" a="1"/>
  <c r="G62" i="5" s="1"/>
  <c r="G61" i="5" a="1"/>
  <c r="G61" i="5" s="1"/>
  <c r="G60" i="5" a="1"/>
  <c r="G60" i="5" s="1"/>
  <c r="G59" i="5" a="1"/>
  <c r="G59" i="5" s="1"/>
  <c r="G58" i="5" a="1"/>
  <c r="G58" i="5" s="1"/>
  <c r="G57" i="5" a="1"/>
  <c r="G57" i="5" s="1"/>
  <c r="G56" i="5" a="1"/>
  <c r="G56" i="5" s="1"/>
  <c r="G55" i="5" a="1"/>
  <c r="G55" i="5" s="1"/>
  <c r="G54" i="5" a="1"/>
  <c r="G54" i="5" s="1"/>
  <c r="G53" i="5" a="1"/>
  <c r="G53" i="5" s="1"/>
  <c r="G52" i="5" a="1"/>
  <c r="G52" i="5" s="1"/>
  <c r="G51" i="5" a="1"/>
  <c r="G51" i="5" s="1"/>
  <c r="G50" i="5" a="1"/>
  <c r="G50" i="5" s="1"/>
  <c r="G49" i="5" a="1"/>
  <c r="G49" i="5" s="1"/>
  <c r="G48" i="5" a="1"/>
  <c r="G48" i="5" s="1"/>
  <c r="G47" i="5" a="1"/>
  <c r="G47" i="5" s="1"/>
  <c r="G46" i="5" a="1"/>
  <c r="G46" i="5" s="1"/>
  <c r="G45" i="5" a="1"/>
  <c r="G45" i="5" s="1"/>
  <c r="G44" i="5" a="1"/>
  <c r="G44" i="5" s="1"/>
  <c r="G43" i="5" a="1"/>
  <c r="G43" i="5" s="1"/>
  <c r="G42" i="5" a="1"/>
  <c r="G42" i="5" s="1"/>
  <c r="G41" i="5" a="1"/>
  <c r="G41" i="5" s="1"/>
  <c r="G40" i="5" a="1"/>
  <c r="G40" i="5" s="1"/>
  <c r="G39" i="5" a="1"/>
  <c r="G39" i="5" s="1"/>
  <c r="G38" i="5" a="1"/>
  <c r="G38" i="5" s="1"/>
  <c r="G37" i="5" a="1"/>
  <c r="G37" i="5" s="1"/>
  <c r="G36" i="5" a="1"/>
  <c r="G36" i="5" s="1"/>
  <c r="G35" i="5" a="1"/>
  <c r="G35" i="5" s="1"/>
  <c r="G34" i="5" a="1"/>
  <c r="G34" i="5" s="1"/>
  <c r="G33" i="5" a="1"/>
  <c r="G33" i="5" s="1"/>
  <c r="G32" i="5" a="1"/>
  <c r="G32" i="5" s="1"/>
  <c r="G31" i="5" a="1"/>
  <c r="G31" i="5" s="1"/>
  <c r="G30" i="5" a="1"/>
  <c r="G30" i="5" s="1"/>
  <c r="G29" i="5" a="1"/>
  <c r="G29" i="5" s="1"/>
  <c r="G28" i="5" a="1"/>
  <c r="G28" i="5" s="1"/>
  <c r="G27" i="5" a="1"/>
  <c r="G27" i="5" s="1"/>
  <c r="G26" i="5" a="1"/>
  <c r="G26" i="5" s="1"/>
  <c r="G25" i="5" a="1"/>
  <c r="G25" i="5" s="1"/>
  <c r="G24" i="5" a="1"/>
  <c r="G24" i="5" s="1"/>
  <c r="G23" i="5" a="1"/>
  <c r="G23" i="5" s="1"/>
  <c r="G22" i="5" a="1"/>
  <c r="G22" i="5" s="1"/>
  <c r="G21" i="5" a="1"/>
  <c r="G21" i="5" s="1"/>
  <c r="G20" i="5" a="1"/>
  <c r="G20" i="5" s="1"/>
  <c r="G19" i="5" a="1"/>
  <c r="G19" i="5" s="1"/>
  <c r="G18" i="5" a="1"/>
  <c r="G18" i="5" s="1"/>
  <c r="G17" i="5" a="1"/>
  <c r="G17" i="5" s="1"/>
  <c r="G16" i="5" a="1"/>
  <c r="G16" i="5" s="1"/>
  <c r="G15" i="5" a="1"/>
  <c r="G15" i="5" s="1"/>
  <c r="G14" i="5" a="1"/>
  <c r="G14" i="5" s="1"/>
  <c r="G13" i="5" a="1"/>
  <c r="G13" i="5" s="1"/>
  <c r="G12" i="5" a="1"/>
  <c r="G12" i="5" s="1"/>
  <c r="G11" i="5" a="1"/>
  <c r="G11" i="5" s="1"/>
  <c r="G10" i="5" a="1"/>
  <c r="G10" i="5" s="1"/>
  <c r="G9" i="5" a="1"/>
  <c r="G9" i="5" s="1"/>
  <c r="G8" i="5" a="1"/>
  <c r="G8" i="5" s="1"/>
  <c r="G7" i="5" a="1"/>
  <c r="G7" i="5" s="1"/>
  <c r="G6" i="5" a="1"/>
  <c r="G6" i="5" s="1"/>
  <c r="G5" i="5" a="1"/>
  <c r="G5" i="5" s="1"/>
  <c r="G4" i="5" a="1"/>
  <c r="G4" i="5" s="1"/>
  <c r="I4" i="5" s="1"/>
  <c r="D100" i="5" a="1"/>
  <c r="D100" i="5" s="1"/>
  <c r="C100" i="5" a="1"/>
  <c r="C100" i="5" s="1"/>
  <c r="B100" i="5" a="1"/>
  <c r="B100" i="5" s="1"/>
  <c r="D99" i="5" a="1"/>
  <c r="D99" i="5" s="1"/>
  <c r="C99" i="5" a="1"/>
  <c r="C99" i="5" s="1"/>
  <c r="B99" i="5" a="1"/>
  <c r="B99" i="5" s="1"/>
  <c r="D98" i="5" a="1"/>
  <c r="D98" i="5" s="1"/>
  <c r="C98" i="5" a="1"/>
  <c r="C98" i="5" s="1"/>
  <c r="B98" i="5" a="1"/>
  <c r="B98" i="5" s="1"/>
  <c r="D97" i="5" a="1"/>
  <c r="D97" i="5" s="1"/>
  <c r="C97" i="5" a="1"/>
  <c r="C97" i="5" s="1"/>
  <c r="B97" i="5" a="1"/>
  <c r="B97" i="5" s="1"/>
  <c r="D96" i="5" a="1"/>
  <c r="D96" i="5" s="1"/>
  <c r="C96" i="5" a="1"/>
  <c r="C96" i="5" s="1"/>
  <c r="B96" i="5" a="1"/>
  <c r="B96" i="5" s="1"/>
  <c r="D95" i="5" a="1"/>
  <c r="D95" i="5" s="1"/>
  <c r="C95" i="5" a="1"/>
  <c r="C95" i="5" s="1"/>
  <c r="B95" i="5" a="1"/>
  <c r="B95" i="5" s="1"/>
  <c r="D94" i="5" a="1"/>
  <c r="D94" i="5" s="1"/>
  <c r="C94" i="5" a="1"/>
  <c r="C94" i="5" s="1"/>
  <c r="B94" i="5" a="1"/>
  <c r="B94" i="5" s="1"/>
  <c r="D93" i="5" a="1"/>
  <c r="D93" i="5" s="1"/>
  <c r="C93" i="5" a="1"/>
  <c r="C93" i="5" s="1"/>
  <c r="B93" i="5" a="1"/>
  <c r="B93" i="5" s="1"/>
  <c r="D92" i="5" a="1"/>
  <c r="D92" i="5" s="1"/>
  <c r="C92" i="5" a="1"/>
  <c r="C92" i="5" s="1"/>
  <c r="B92" i="5" a="1"/>
  <c r="B92" i="5" s="1"/>
  <c r="D91" i="5" a="1"/>
  <c r="D91" i="5" s="1"/>
  <c r="C91" i="5" a="1"/>
  <c r="C91" i="5" s="1"/>
  <c r="B91" i="5" a="1"/>
  <c r="B91" i="5" s="1"/>
  <c r="D90" i="5" a="1"/>
  <c r="D90" i="5" s="1"/>
  <c r="C90" i="5" a="1"/>
  <c r="C90" i="5" s="1"/>
  <c r="B90" i="5" a="1"/>
  <c r="B90" i="5" s="1"/>
  <c r="E89" i="5" a="1"/>
  <c r="E89" i="5" s="1"/>
  <c r="D89" i="5" a="1"/>
  <c r="D89" i="5" s="1"/>
  <c r="C89" i="5" a="1"/>
  <c r="C89" i="5" s="1"/>
  <c r="B89" i="5" a="1"/>
  <c r="B89" i="5" s="1"/>
  <c r="E88" i="5" a="1"/>
  <c r="E88" i="5" s="1"/>
  <c r="D88" i="5" a="1"/>
  <c r="D88" i="5" s="1"/>
  <c r="C88" i="5" a="1"/>
  <c r="C88" i="5" s="1"/>
  <c r="B88" i="5" a="1"/>
  <c r="B88" i="5" s="1"/>
  <c r="E87" i="5" a="1"/>
  <c r="E87" i="5" s="1"/>
  <c r="D87" i="5" a="1"/>
  <c r="D87" i="5" s="1"/>
  <c r="C87" i="5" a="1"/>
  <c r="C87" i="5" s="1"/>
  <c r="B87" i="5" a="1"/>
  <c r="B87" i="5" s="1"/>
  <c r="E86" i="5" a="1"/>
  <c r="E86" i="5" s="1"/>
  <c r="D86" i="5" a="1"/>
  <c r="D86" i="5" s="1"/>
  <c r="C86" i="5" a="1"/>
  <c r="C86" i="5" s="1"/>
  <c r="B86" i="5" a="1"/>
  <c r="B86" i="5" s="1"/>
  <c r="E85" i="5" a="1"/>
  <c r="E85" i="5" s="1"/>
  <c r="D85" i="5" a="1"/>
  <c r="D85" i="5" s="1"/>
  <c r="C85" i="5" a="1"/>
  <c r="C85" i="5" s="1"/>
  <c r="B85" i="5" a="1"/>
  <c r="B85" i="5" s="1"/>
  <c r="E84" i="5" a="1"/>
  <c r="E84" i="5" s="1"/>
  <c r="D84" i="5" a="1"/>
  <c r="D84" i="5" s="1"/>
  <c r="C84" i="5" a="1"/>
  <c r="C84" i="5" s="1"/>
  <c r="B84" i="5" a="1"/>
  <c r="B84" i="5" s="1"/>
  <c r="E83" i="5" a="1"/>
  <c r="E83" i="5" s="1"/>
  <c r="D83" i="5" a="1"/>
  <c r="D83" i="5" s="1"/>
  <c r="C83" i="5" a="1"/>
  <c r="C83" i="5" s="1"/>
  <c r="B83" i="5" a="1"/>
  <c r="B83" i="5" s="1"/>
  <c r="E82" i="5" a="1"/>
  <c r="E82" i="5" s="1"/>
  <c r="D82" i="5" a="1"/>
  <c r="D82" i="5" s="1"/>
  <c r="C82" i="5" a="1"/>
  <c r="C82" i="5" s="1"/>
  <c r="B82" i="5" a="1"/>
  <c r="B82" i="5" s="1"/>
  <c r="E81" i="5" a="1"/>
  <c r="E81" i="5" s="1"/>
  <c r="D81" i="5" a="1"/>
  <c r="D81" i="5" s="1"/>
  <c r="C81" i="5" a="1"/>
  <c r="C81" i="5" s="1"/>
  <c r="B81" i="5" a="1"/>
  <c r="B81" i="5" s="1"/>
  <c r="E80" i="5" a="1"/>
  <c r="E80" i="5" s="1"/>
  <c r="D80" i="5" a="1"/>
  <c r="D80" i="5" s="1"/>
  <c r="C80" i="5" a="1"/>
  <c r="C80" i="5" s="1"/>
  <c r="B80" i="5" a="1"/>
  <c r="B80" i="5" s="1"/>
  <c r="E79" i="5" a="1"/>
  <c r="E79" i="5" s="1"/>
  <c r="D79" i="5" a="1"/>
  <c r="D79" i="5" s="1"/>
  <c r="C79" i="5" a="1"/>
  <c r="C79" i="5" s="1"/>
  <c r="B79" i="5" a="1"/>
  <c r="B79" i="5" s="1"/>
  <c r="E78" i="5" a="1"/>
  <c r="E78" i="5" s="1"/>
  <c r="D78" i="5" a="1"/>
  <c r="D78" i="5" s="1"/>
  <c r="C78" i="5" a="1"/>
  <c r="C78" i="5" s="1"/>
  <c r="B78" i="5" a="1"/>
  <c r="B78" i="5" s="1"/>
  <c r="E77" i="5" a="1"/>
  <c r="E77" i="5" s="1"/>
  <c r="D77" i="5" a="1"/>
  <c r="D77" i="5" s="1"/>
  <c r="C77" i="5" a="1"/>
  <c r="C77" i="5" s="1"/>
  <c r="B77" i="5" a="1"/>
  <c r="B77" i="5" s="1"/>
  <c r="E76" i="5" a="1"/>
  <c r="E76" i="5" s="1"/>
  <c r="D76" i="5" a="1"/>
  <c r="D76" i="5" s="1"/>
  <c r="C76" i="5" a="1"/>
  <c r="C76" i="5" s="1"/>
  <c r="B76" i="5" a="1"/>
  <c r="B76" i="5" s="1"/>
  <c r="E75" i="5" a="1"/>
  <c r="E75" i="5" s="1"/>
  <c r="D75" i="5" a="1"/>
  <c r="D75" i="5" s="1"/>
  <c r="C75" i="5" a="1"/>
  <c r="C75" i="5" s="1"/>
  <c r="B75" i="5" a="1"/>
  <c r="B75" i="5" s="1"/>
  <c r="E74" i="5" a="1"/>
  <c r="E74" i="5" s="1"/>
  <c r="D74" i="5" a="1"/>
  <c r="D74" i="5" s="1"/>
  <c r="C74" i="5" a="1"/>
  <c r="C74" i="5" s="1"/>
  <c r="B74" i="5" a="1"/>
  <c r="B74" i="5" s="1"/>
  <c r="E73" i="5" a="1"/>
  <c r="E73" i="5" s="1"/>
  <c r="D73" i="5" a="1"/>
  <c r="D73" i="5" s="1"/>
  <c r="C73" i="5" a="1"/>
  <c r="C73" i="5" s="1"/>
  <c r="B73" i="5" a="1"/>
  <c r="B73" i="5" s="1"/>
  <c r="E72" i="5" a="1"/>
  <c r="E72" i="5" s="1"/>
  <c r="D72" i="5" a="1"/>
  <c r="D72" i="5" s="1"/>
  <c r="C72" i="5" a="1"/>
  <c r="C72" i="5" s="1"/>
  <c r="B72" i="5" a="1"/>
  <c r="B72" i="5" s="1"/>
  <c r="E71" i="5" a="1"/>
  <c r="E71" i="5" s="1"/>
  <c r="D71" i="5" a="1"/>
  <c r="D71" i="5" s="1"/>
  <c r="C71" i="5" a="1"/>
  <c r="C71" i="5" s="1"/>
  <c r="B71" i="5" a="1"/>
  <c r="B71" i="5" s="1"/>
  <c r="E70" i="5" a="1"/>
  <c r="E70" i="5" s="1"/>
  <c r="D70" i="5" a="1"/>
  <c r="D70" i="5" s="1"/>
  <c r="C70" i="5" a="1"/>
  <c r="C70" i="5" s="1"/>
  <c r="B70" i="5" a="1"/>
  <c r="B70" i="5" s="1"/>
  <c r="E69" i="5" a="1"/>
  <c r="E69" i="5" s="1"/>
  <c r="D69" i="5" a="1"/>
  <c r="D69" i="5" s="1"/>
  <c r="C69" i="5" a="1"/>
  <c r="C69" i="5" s="1"/>
  <c r="B69" i="5" a="1"/>
  <c r="B69" i="5" s="1"/>
  <c r="E68" i="5" a="1"/>
  <c r="E68" i="5" s="1"/>
  <c r="D68" i="5" a="1"/>
  <c r="D68" i="5" s="1"/>
  <c r="C68" i="5" a="1"/>
  <c r="C68" i="5" s="1"/>
  <c r="B68" i="5" a="1"/>
  <c r="B68" i="5" s="1"/>
  <c r="E67" i="5" a="1"/>
  <c r="E67" i="5" s="1"/>
  <c r="D67" i="5" a="1"/>
  <c r="D67" i="5" s="1"/>
  <c r="C67" i="5" a="1"/>
  <c r="C67" i="5" s="1"/>
  <c r="B67" i="5" a="1"/>
  <c r="B67" i="5" s="1"/>
  <c r="E66" i="5" a="1"/>
  <c r="E66" i="5" s="1"/>
  <c r="D66" i="5" a="1"/>
  <c r="D66" i="5" s="1"/>
  <c r="C66" i="5" a="1"/>
  <c r="C66" i="5" s="1"/>
  <c r="B66" i="5" a="1"/>
  <c r="B66" i="5" s="1"/>
  <c r="E65" i="5" a="1"/>
  <c r="E65" i="5" s="1"/>
  <c r="D65" i="5" a="1"/>
  <c r="D65" i="5" s="1"/>
  <c r="C65" i="5" a="1"/>
  <c r="C65" i="5" s="1"/>
  <c r="B65" i="5" a="1"/>
  <c r="B65" i="5" s="1"/>
  <c r="E64" i="5" a="1"/>
  <c r="E64" i="5" s="1"/>
  <c r="D64" i="5" a="1"/>
  <c r="D64" i="5" s="1"/>
  <c r="C64" i="5" a="1"/>
  <c r="C64" i="5" s="1"/>
  <c r="B64" i="5" a="1"/>
  <c r="B64" i="5" s="1"/>
  <c r="E63" i="5" a="1"/>
  <c r="E63" i="5" s="1"/>
  <c r="D63" i="5" a="1"/>
  <c r="D63" i="5" s="1"/>
  <c r="C63" i="5" a="1"/>
  <c r="C63" i="5" s="1"/>
  <c r="B63" i="5" a="1"/>
  <c r="B63" i="5" s="1"/>
  <c r="E62" i="5" a="1"/>
  <c r="E62" i="5" s="1"/>
  <c r="D62" i="5" a="1"/>
  <c r="D62" i="5" s="1"/>
  <c r="C62" i="5" a="1"/>
  <c r="C62" i="5" s="1"/>
  <c r="B62" i="5" a="1"/>
  <c r="B62" i="5" s="1"/>
  <c r="E61" i="5" a="1"/>
  <c r="E61" i="5" s="1"/>
  <c r="D61" i="5" a="1"/>
  <c r="D61" i="5" s="1"/>
  <c r="C61" i="5" a="1"/>
  <c r="C61" i="5" s="1"/>
  <c r="B61" i="5" a="1"/>
  <c r="B61" i="5" s="1"/>
  <c r="E60" i="5" a="1"/>
  <c r="E60" i="5" s="1"/>
  <c r="D60" i="5" a="1"/>
  <c r="D60" i="5" s="1"/>
  <c r="C60" i="5" a="1"/>
  <c r="C60" i="5" s="1"/>
  <c r="B60" i="5" a="1"/>
  <c r="B60" i="5" s="1"/>
  <c r="E59" i="5" a="1"/>
  <c r="E59" i="5" s="1"/>
  <c r="D59" i="5" a="1"/>
  <c r="D59" i="5" s="1"/>
  <c r="C59" i="5" a="1"/>
  <c r="C59" i="5" s="1"/>
  <c r="B59" i="5" a="1"/>
  <c r="B59" i="5" s="1"/>
  <c r="E58" i="5" a="1"/>
  <c r="E58" i="5" s="1"/>
  <c r="D58" i="5" a="1"/>
  <c r="D58" i="5" s="1"/>
  <c r="C58" i="5" a="1"/>
  <c r="C58" i="5" s="1"/>
  <c r="B58" i="5" a="1"/>
  <c r="B58" i="5" s="1"/>
  <c r="E57" i="5" a="1"/>
  <c r="E57" i="5" s="1"/>
  <c r="D57" i="5" a="1"/>
  <c r="D57" i="5" s="1"/>
  <c r="C57" i="5" a="1"/>
  <c r="C57" i="5" s="1"/>
  <c r="B57" i="5" a="1"/>
  <c r="B57" i="5" s="1"/>
  <c r="E56" i="5" a="1"/>
  <c r="E56" i="5" s="1"/>
  <c r="D56" i="5" a="1"/>
  <c r="D56" i="5" s="1"/>
  <c r="C56" i="5" a="1"/>
  <c r="C56" i="5" s="1"/>
  <c r="B56" i="5" a="1"/>
  <c r="B56" i="5" s="1"/>
  <c r="E55" i="5" a="1"/>
  <c r="E55" i="5" s="1"/>
  <c r="D55" i="5" a="1"/>
  <c r="D55" i="5" s="1"/>
  <c r="C55" i="5" a="1"/>
  <c r="C55" i="5" s="1"/>
  <c r="B55" i="5" a="1"/>
  <c r="B55" i="5" s="1"/>
  <c r="E54" i="5" a="1"/>
  <c r="E54" i="5" s="1"/>
  <c r="D54" i="5" a="1"/>
  <c r="D54" i="5" s="1"/>
  <c r="C54" i="5" a="1"/>
  <c r="C54" i="5" s="1"/>
  <c r="B54" i="5" a="1"/>
  <c r="B54" i="5" s="1"/>
  <c r="E53" i="5" a="1"/>
  <c r="E53" i="5" s="1"/>
  <c r="D53" i="5" a="1"/>
  <c r="D53" i="5" s="1"/>
  <c r="C53" i="5" a="1"/>
  <c r="C53" i="5" s="1"/>
  <c r="B53" i="5" a="1"/>
  <c r="B53" i="5" s="1"/>
  <c r="E52" i="5" a="1"/>
  <c r="E52" i="5" s="1"/>
  <c r="D52" i="5" a="1"/>
  <c r="D52" i="5" s="1"/>
  <c r="C52" i="5" a="1"/>
  <c r="C52" i="5" s="1"/>
  <c r="B52" i="5" a="1"/>
  <c r="B52" i="5" s="1"/>
  <c r="E51" i="5" a="1"/>
  <c r="E51" i="5" s="1"/>
  <c r="D51" i="5" a="1"/>
  <c r="D51" i="5" s="1"/>
  <c r="C51" i="5" a="1"/>
  <c r="C51" i="5" s="1"/>
  <c r="B51" i="5" a="1"/>
  <c r="B51" i="5" s="1"/>
  <c r="E50" i="5" a="1"/>
  <c r="E50" i="5" s="1"/>
  <c r="D50" i="5" a="1"/>
  <c r="D50" i="5" s="1"/>
  <c r="C50" i="5" a="1"/>
  <c r="C50" i="5" s="1"/>
  <c r="B50" i="5" a="1"/>
  <c r="B50" i="5" s="1"/>
  <c r="E49" i="5" a="1"/>
  <c r="E49" i="5" s="1"/>
  <c r="D49" i="5" a="1"/>
  <c r="D49" i="5" s="1"/>
  <c r="C49" i="5" a="1"/>
  <c r="C49" i="5" s="1"/>
  <c r="B49" i="5" a="1"/>
  <c r="B49" i="5" s="1"/>
  <c r="E48" i="5" a="1"/>
  <c r="E48" i="5" s="1"/>
  <c r="D48" i="5" a="1"/>
  <c r="D48" i="5" s="1"/>
  <c r="C48" i="5" a="1"/>
  <c r="C48" i="5" s="1"/>
  <c r="B48" i="5" a="1"/>
  <c r="B48" i="5" s="1"/>
  <c r="E47" i="5" a="1"/>
  <c r="E47" i="5" s="1"/>
  <c r="D47" i="5" a="1"/>
  <c r="D47" i="5" s="1"/>
  <c r="C47" i="5" a="1"/>
  <c r="C47" i="5" s="1"/>
  <c r="B47" i="5" a="1"/>
  <c r="B47" i="5" s="1"/>
  <c r="E46" i="5" a="1"/>
  <c r="E46" i="5" s="1"/>
  <c r="D46" i="5" a="1"/>
  <c r="D46" i="5" s="1"/>
  <c r="C46" i="5" a="1"/>
  <c r="C46" i="5" s="1"/>
  <c r="B46" i="5" a="1"/>
  <c r="B46" i="5" s="1"/>
  <c r="E45" i="5" a="1"/>
  <c r="E45" i="5" s="1"/>
  <c r="D45" i="5" a="1"/>
  <c r="D45" i="5" s="1"/>
  <c r="C45" i="5" a="1"/>
  <c r="C45" i="5" s="1"/>
  <c r="B45" i="5" a="1"/>
  <c r="B45" i="5" s="1"/>
  <c r="E44" i="5" a="1"/>
  <c r="E44" i="5" s="1"/>
  <c r="D44" i="5" a="1"/>
  <c r="D44" i="5" s="1"/>
  <c r="C44" i="5" a="1"/>
  <c r="C44" i="5" s="1"/>
  <c r="B44" i="5" a="1"/>
  <c r="B44" i="5" s="1"/>
  <c r="E43" i="5" a="1"/>
  <c r="E43" i="5" s="1"/>
  <c r="D43" i="5" a="1"/>
  <c r="D43" i="5" s="1"/>
  <c r="C43" i="5" a="1"/>
  <c r="C43" i="5" s="1"/>
  <c r="B43" i="5" a="1"/>
  <c r="B43" i="5" s="1"/>
  <c r="E42" i="5" a="1"/>
  <c r="E42" i="5" s="1"/>
  <c r="D42" i="5" a="1"/>
  <c r="D42" i="5" s="1"/>
  <c r="C42" i="5" a="1"/>
  <c r="C42" i="5" s="1"/>
  <c r="B42" i="5" a="1"/>
  <c r="B42" i="5" s="1"/>
  <c r="E41" i="5" a="1"/>
  <c r="E41" i="5" s="1"/>
  <c r="D41" i="5" a="1"/>
  <c r="D41" i="5" s="1"/>
  <c r="C41" i="5" a="1"/>
  <c r="C41" i="5" s="1"/>
  <c r="B41" i="5" a="1"/>
  <c r="B41" i="5" s="1"/>
  <c r="E40" i="5" a="1"/>
  <c r="E40" i="5" s="1"/>
  <c r="D40" i="5" a="1"/>
  <c r="D40" i="5" s="1"/>
  <c r="C40" i="5" a="1"/>
  <c r="C40" i="5" s="1"/>
  <c r="B40" i="5" a="1"/>
  <c r="B40" i="5" s="1"/>
  <c r="E39" i="5" a="1"/>
  <c r="E39" i="5" s="1"/>
  <c r="D39" i="5" a="1"/>
  <c r="D39" i="5" s="1"/>
  <c r="C39" i="5" a="1"/>
  <c r="C39" i="5" s="1"/>
  <c r="B39" i="5" a="1"/>
  <c r="B39" i="5" s="1"/>
  <c r="E38" i="5" a="1"/>
  <c r="E38" i="5" s="1"/>
  <c r="D38" i="5" a="1"/>
  <c r="D38" i="5" s="1"/>
  <c r="C38" i="5" a="1"/>
  <c r="C38" i="5" s="1"/>
  <c r="B38" i="5" a="1"/>
  <c r="B38" i="5" s="1"/>
  <c r="E37" i="5" a="1"/>
  <c r="E37" i="5" s="1"/>
  <c r="D37" i="5" a="1"/>
  <c r="D37" i="5" s="1"/>
  <c r="C37" i="5" a="1"/>
  <c r="C37" i="5" s="1"/>
  <c r="B37" i="5" a="1"/>
  <c r="B37" i="5" s="1"/>
  <c r="E36" i="5" a="1"/>
  <c r="E36" i="5" s="1"/>
  <c r="D36" i="5" a="1"/>
  <c r="D36" i="5" s="1"/>
  <c r="C36" i="5" a="1"/>
  <c r="C36" i="5" s="1"/>
  <c r="B36" i="5" a="1"/>
  <c r="B36" i="5" s="1"/>
  <c r="E35" i="5" a="1"/>
  <c r="E35" i="5" s="1"/>
  <c r="D35" i="5" a="1"/>
  <c r="D35" i="5" s="1"/>
  <c r="C35" i="5" a="1"/>
  <c r="C35" i="5" s="1"/>
  <c r="B35" i="5" a="1"/>
  <c r="B35" i="5" s="1"/>
  <c r="E34" i="5" a="1"/>
  <c r="E34" i="5" s="1"/>
  <c r="D34" i="5" a="1"/>
  <c r="D34" i="5" s="1"/>
  <c r="C34" i="5" a="1"/>
  <c r="C34" i="5" s="1"/>
  <c r="B34" i="5" a="1"/>
  <c r="B34" i="5" s="1"/>
  <c r="E33" i="5" a="1"/>
  <c r="E33" i="5" s="1"/>
  <c r="D33" i="5" a="1"/>
  <c r="D33" i="5" s="1"/>
  <c r="C33" i="5" a="1"/>
  <c r="C33" i="5" s="1"/>
  <c r="B33" i="5" a="1"/>
  <c r="B33" i="5" s="1"/>
  <c r="E32" i="5" a="1"/>
  <c r="E32" i="5" s="1"/>
  <c r="D32" i="5" a="1"/>
  <c r="D32" i="5" s="1"/>
  <c r="C32" i="5" a="1"/>
  <c r="C32" i="5" s="1"/>
  <c r="B32" i="5" a="1"/>
  <c r="B32" i="5" s="1"/>
  <c r="E31" i="5" a="1"/>
  <c r="E31" i="5" s="1"/>
  <c r="D31" i="5" a="1"/>
  <c r="D31" i="5" s="1"/>
  <c r="C31" i="5" a="1"/>
  <c r="C31" i="5" s="1"/>
  <c r="B31" i="5" a="1"/>
  <c r="B31" i="5" s="1"/>
  <c r="E30" i="5" a="1"/>
  <c r="E30" i="5" s="1"/>
  <c r="D30" i="5" a="1"/>
  <c r="D30" i="5" s="1"/>
  <c r="C30" i="5" a="1"/>
  <c r="C30" i="5" s="1"/>
  <c r="B30" i="5" a="1"/>
  <c r="B30" i="5" s="1"/>
  <c r="E29" i="5" a="1"/>
  <c r="E29" i="5" s="1"/>
  <c r="D29" i="5" a="1"/>
  <c r="D29" i="5" s="1"/>
  <c r="C29" i="5" a="1"/>
  <c r="C29" i="5" s="1"/>
  <c r="B29" i="5" a="1"/>
  <c r="B29" i="5" s="1"/>
  <c r="E28" i="5" a="1"/>
  <c r="E28" i="5" s="1"/>
  <c r="D28" i="5" a="1"/>
  <c r="D28" i="5" s="1"/>
  <c r="C28" i="5" a="1"/>
  <c r="C28" i="5" s="1"/>
  <c r="B28" i="5" a="1"/>
  <c r="B28" i="5" s="1"/>
  <c r="E27" i="5" a="1"/>
  <c r="E27" i="5" s="1"/>
  <c r="D27" i="5" a="1"/>
  <c r="D27" i="5" s="1"/>
  <c r="C27" i="5" a="1"/>
  <c r="C27" i="5" s="1"/>
  <c r="B27" i="5" a="1"/>
  <c r="B27" i="5" s="1"/>
  <c r="E26" i="5" a="1"/>
  <c r="E26" i="5" s="1"/>
  <c r="D26" i="5" a="1"/>
  <c r="D26" i="5" s="1"/>
  <c r="C26" i="5" a="1"/>
  <c r="C26" i="5" s="1"/>
  <c r="B26" i="5" a="1"/>
  <c r="B26" i="5" s="1"/>
  <c r="E25" i="5" a="1"/>
  <c r="E25" i="5" s="1"/>
  <c r="D25" i="5" a="1"/>
  <c r="D25" i="5" s="1"/>
  <c r="C25" i="5" a="1"/>
  <c r="C25" i="5" s="1"/>
  <c r="B25" i="5" a="1"/>
  <c r="B25" i="5" s="1"/>
  <c r="E24" i="5" a="1"/>
  <c r="E24" i="5" s="1"/>
  <c r="D24" i="5" a="1"/>
  <c r="D24" i="5" s="1"/>
  <c r="C24" i="5" a="1"/>
  <c r="C24" i="5" s="1"/>
  <c r="B24" i="5" a="1"/>
  <c r="B24" i="5" s="1"/>
  <c r="E23" i="5" a="1"/>
  <c r="E23" i="5" s="1"/>
  <c r="D23" i="5" a="1"/>
  <c r="D23" i="5" s="1"/>
  <c r="C23" i="5" a="1"/>
  <c r="C23" i="5" s="1"/>
  <c r="B23" i="5" a="1"/>
  <c r="B23" i="5" s="1"/>
  <c r="E22" i="5" a="1"/>
  <c r="E22" i="5" s="1"/>
  <c r="D22" i="5" a="1"/>
  <c r="D22" i="5" s="1"/>
  <c r="C22" i="5" a="1"/>
  <c r="C22" i="5" s="1"/>
  <c r="B22" i="5" a="1"/>
  <c r="B22" i="5" s="1"/>
  <c r="E21" i="5" a="1"/>
  <c r="E21" i="5" s="1"/>
  <c r="D21" i="5" a="1"/>
  <c r="D21" i="5" s="1"/>
  <c r="C21" i="5" a="1"/>
  <c r="C21" i="5" s="1"/>
  <c r="B21" i="5" a="1"/>
  <c r="B21" i="5" s="1"/>
  <c r="E20" i="5" a="1"/>
  <c r="E20" i="5" s="1"/>
  <c r="D20" i="5" a="1"/>
  <c r="D20" i="5" s="1"/>
  <c r="C20" i="5" a="1"/>
  <c r="C20" i="5" s="1"/>
  <c r="B20" i="5" a="1"/>
  <c r="B20" i="5" s="1"/>
  <c r="E19" i="5" a="1"/>
  <c r="E19" i="5" s="1"/>
  <c r="D19" i="5" a="1"/>
  <c r="D19" i="5" s="1"/>
  <c r="C19" i="5" a="1"/>
  <c r="C19" i="5" s="1"/>
  <c r="B19" i="5" a="1"/>
  <c r="B19" i="5" s="1"/>
  <c r="E18" i="5" a="1"/>
  <c r="E18" i="5" s="1"/>
  <c r="D18" i="5" a="1"/>
  <c r="D18" i="5" s="1"/>
  <c r="C18" i="5" a="1"/>
  <c r="C18" i="5" s="1"/>
  <c r="B18" i="5" a="1"/>
  <c r="B18" i="5" s="1"/>
  <c r="E17" i="5" a="1"/>
  <c r="E17" i="5" s="1"/>
  <c r="D17" i="5" a="1"/>
  <c r="D17" i="5" s="1"/>
  <c r="C17" i="5" a="1"/>
  <c r="C17" i="5" s="1"/>
  <c r="B17" i="5" a="1"/>
  <c r="B17" i="5" s="1"/>
  <c r="E16" i="5" a="1"/>
  <c r="E16" i="5" s="1"/>
  <c r="D16" i="5" a="1"/>
  <c r="D16" i="5" s="1"/>
  <c r="C16" i="5" a="1"/>
  <c r="C16" i="5" s="1"/>
  <c r="B16" i="5" a="1"/>
  <c r="B16" i="5" s="1"/>
  <c r="E15" i="5" a="1"/>
  <c r="E15" i="5" s="1"/>
  <c r="D15" i="5" a="1"/>
  <c r="D15" i="5" s="1"/>
  <c r="C15" i="5" a="1"/>
  <c r="C15" i="5" s="1"/>
  <c r="B15" i="5" a="1"/>
  <c r="B15" i="5" s="1"/>
  <c r="E14" i="5" a="1"/>
  <c r="E14" i="5" s="1"/>
  <c r="D14" i="5" a="1"/>
  <c r="D14" i="5" s="1"/>
  <c r="C14" i="5" a="1"/>
  <c r="C14" i="5" s="1"/>
  <c r="B14" i="5" a="1"/>
  <c r="B14" i="5" s="1"/>
  <c r="E13" i="5" a="1"/>
  <c r="E13" i="5" s="1"/>
  <c r="D13" i="5" a="1"/>
  <c r="D13" i="5" s="1"/>
  <c r="C13" i="5" a="1"/>
  <c r="C13" i="5" s="1"/>
  <c r="B13" i="5" a="1"/>
  <c r="B13" i="5" s="1"/>
  <c r="E12" i="5" a="1"/>
  <c r="E12" i="5" s="1"/>
  <c r="D12" i="5" a="1"/>
  <c r="D12" i="5" s="1"/>
  <c r="C12" i="5" a="1"/>
  <c r="C12" i="5" s="1"/>
  <c r="B12" i="5" a="1"/>
  <c r="B12" i="5" s="1"/>
  <c r="E11" i="5" a="1"/>
  <c r="E11" i="5" s="1"/>
  <c r="D11" i="5" a="1"/>
  <c r="D11" i="5" s="1"/>
  <c r="C11" i="5" a="1"/>
  <c r="C11" i="5" s="1"/>
  <c r="B11" i="5" a="1"/>
  <c r="B11" i="5" s="1"/>
  <c r="E10" i="5" a="1"/>
  <c r="E10" i="5" s="1"/>
  <c r="D10" i="5" a="1"/>
  <c r="D10" i="5" s="1"/>
  <c r="C10" i="5" a="1"/>
  <c r="C10" i="5" s="1"/>
  <c r="B10" i="5" a="1"/>
  <c r="B10" i="5" s="1"/>
  <c r="E9" i="5" a="1"/>
  <c r="E9" i="5" s="1"/>
  <c r="D9" i="5" a="1"/>
  <c r="D9" i="5" s="1"/>
  <c r="C9" i="5" a="1"/>
  <c r="C9" i="5" s="1"/>
  <c r="B9" i="5" a="1"/>
  <c r="B9" i="5" s="1"/>
  <c r="E8" i="5" a="1"/>
  <c r="E8" i="5" s="1"/>
  <c r="D8" i="5" a="1"/>
  <c r="D8" i="5" s="1"/>
  <c r="C8" i="5" a="1"/>
  <c r="C8" i="5" s="1"/>
  <c r="B8" i="5" a="1"/>
  <c r="B8" i="5" s="1"/>
  <c r="E7" i="5" a="1"/>
  <c r="E7" i="5" s="1"/>
  <c r="D7" i="5" a="1"/>
  <c r="D7" i="5" s="1"/>
  <c r="C7" i="5" a="1"/>
  <c r="C7" i="5" s="1"/>
  <c r="B7" i="5" a="1"/>
  <c r="B7" i="5" s="1"/>
  <c r="E6" i="5" a="1"/>
  <c r="E6" i="5" s="1"/>
  <c r="D6" i="5" a="1"/>
  <c r="D6" i="5" s="1"/>
  <c r="C6" i="5" a="1"/>
  <c r="C6" i="5" s="1"/>
  <c r="B6" i="5" a="1"/>
  <c r="B6" i="5" s="1"/>
  <c r="E5" i="5" a="1"/>
  <c r="E5" i="5" s="1"/>
  <c r="D5" i="5" a="1"/>
  <c r="D5" i="5" s="1"/>
  <c r="C5" i="5" a="1"/>
  <c r="C5" i="5" s="1"/>
  <c r="B5" i="5" a="1"/>
  <c r="B5" i="5" s="1"/>
  <c r="E4" i="5" a="1"/>
  <c r="E4" i="5" s="1"/>
  <c r="D4" i="5" a="1"/>
  <c r="D4" i="5" s="1"/>
  <c r="C4" i="5" a="1"/>
  <c r="C4" i="5" s="1"/>
  <c r="B4" i="5" a="1"/>
  <c r="B4" i="5" s="1"/>
  <c r="A5" i="5"/>
  <c r="Q5" i="5" s="1"/>
  <c r="AA1" i="4"/>
  <c r="Z1" i="4"/>
  <c r="Y1" i="4"/>
  <c r="BN51" i="3"/>
  <c r="BN52" i="3"/>
  <c r="BN53" i="3"/>
  <c r="BN54" i="3"/>
  <c r="BN55" i="3"/>
  <c r="BN56" i="3"/>
  <c r="BN57" i="3"/>
  <c r="BN58" i="3"/>
  <c r="BN59" i="3"/>
  <c r="BN60" i="3"/>
  <c r="BN61" i="3"/>
  <c r="BN62" i="3"/>
  <c r="BN63" i="3"/>
  <c r="BN64" i="3"/>
  <c r="R1" i="4"/>
  <c r="Q1" i="4"/>
  <c r="P1" i="4"/>
  <c r="H1" i="4"/>
  <c r="I1" i="4"/>
  <c r="G1" i="4"/>
  <c r="A4" i="4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Q100" i="2" l="1"/>
  <c r="AA106" i="5"/>
  <c r="X106" i="5" s="1"/>
  <c r="AH106" i="5"/>
  <c r="AI106" i="5"/>
  <c r="AB106" i="5"/>
  <c r="AE106" i="5"/>
  <c r="AF106" i="5"/>
  <c r="AG106" i="5"/>
  <c r="AI105" i="5"/>
  <c r="AB105" i="5"/>
  <c r="AE105" i="5"/>
  <c r="AF105" i="5"/>
  <c r="AG105" i="5"/>
  <c r="AH105" i="5"/>
  <c r="AA105" i="5"/>
  <c r="X105" i="5" s="1"/>
  <c r="AF104" i="5"/>
  <c r="AG104" i="5"/>
  <c r="AH104" i="5"/>
  <c r="AE104" i="5"/>
  <c r="AI104" i="5"/>
  <c r="AA104" i="5"/>
  <c r="AB104" i="5"/>
  <c r="K101" i="5"/>
  <c r="AE103" i="5"/>
  <c r="I27" i="6" s="1"/>
  <c r="L101" i="5"/>
  <c r="AF103" i="5"/>
  <c r="I28" i="6" s="1"/>
  <c r="M101" i="5"/>
  <c r="AG103" i="5"/>
  <c r="I29" i="6" s="1"/>
  <c r="N101" i="5"/>
  <c r="AA103" i="5"/>
  <c r="AH103" i="5"/>
  <c r="I26" i="6" s="1"/>
  <c r="AI103" i="5"/>
  <c r="I25" i="6" s="1"/>
  <c r="AB103" i="5"/>
  <c r="AC119" i="5"/>
  <c r="AJ119" i="5"/>
  <c r="I5" i="5"/>
  <c r="A6" i="5"/>
  <c r="P101" i="5"/>
  <c r="AE102" i="5"/>
  <c r="AI102" i="5"/>
  <c r="AB102" i="5"/>
  <c r="AF102" i="5"/>
  <c r="AG102" i="5"/>
  <c r="AH102" i="5"/>
  <c r="AA102" i="5"/>
  <c r="O102" i="5"/>
  <c r="M101" i="2"/>
  <c r="V101" i="5"/>
  <c r="T101" i="5"/>
  <c r="U101" i="5"/>
  <c r="R100" i="2"/>
  <c r="P100" i="2"/>
  <c r="AE101" i="5"/>
  <c r="AF101" i="5"/>
  <c r="AG101" i="5"/>
  <c r="AB101" i="5"/>
  <c r="AI101" i="5"/>
  <c r="AA101" i="5"/>
  <c r="AH101" i="5"/>
  <c r="S100" i="2"/>
  <c r="AH12" i="5"/>
  <c r="AH18" i="5"/>
  <c r="AH21" i="5"/>
  <c r="AE16" i="5"/>
  <c r="AE55" i="5"/>
  <c r="AE67" i="5"/>
  <c r="AG22" i="5"/>
  <c r="AG28" i="5"/>
  <c r="AG93" i="5"/>
  <c r="AG19" i="5"/>
  <c r="AG25" i="5"/>
  <c r="AF24" i="5"/>
  <c r="AF33" i="5"/>
  <c r="AE79" i="5"/>
  <c r="C27" i="6" s="1"/>
  <c r="AE22" i="5"/>
  <c r="AE91" i="5"/>
  <c r="F27" i="6" s="1"/>
  <c r="AI100" i="5"/>
  <c r="AG16" i="5"/>
  <c r="AF50" i="5"/>
  <c r="AF62" i="5"/>
  <c r="AF74" i="5"/>
  <c r="AF86" i="5"/>
  <c r="AE43" i="5"/>
  <c r="AF45" i="5"/>
  <c r="AF51" i="5"/>
  <c r="AF60" i="5"/>
  <c r="AF69" i="5"/>
  <c r="AF75" i="5"/>
  <c r="AF90" i="5"/>
  <c r="AI12" i="5"/>
  <c r="AI24" i="5"/>
  <c r="AI36" i="5"/>
  <c r="AI48" i="5"/>
  <c r="AI60" i="5"/>
  <c r="AI83" i="5"/>
  <c r="D25" i="6" s="1"/>
  <c r="AE13" i="5"/>
  <c r="AF12" i="5"/>
  <c r="AF15" i="5"/>
  <c r="AF21" i="5"/>
  <c r="AF30" i="5"/>
  <c r="AG33" i="5"/>
  <c r="AG45" i="5"/>
  <c r="AG57" i="5"/>
  <c r="AG69" i="5"/>
  <c r="AG81" i="5"/>
  <c r="AF13" i="5"/>
  <c r="AH13" i="5"/>
  <c r="AE14" i="5"/>
  <c r="AE29" i="5"/>
  <c r="AF14" i="5"/>
  <c r="AF17" i="5"/>
  <c r="AF20" i="5"/>
  <c r="AF23" i="5"/>
  <c r="AF26" i="5"/>
  <c r="AF29" i="5"/>
  <c r="AF32" i="5"/>
  <c r="AF35" i="5"/>
  <c r="AF38" i="5"/>
  <c r="AF41" i="5"/>
  <c r="AF44" i="5"/>
  <c r="AF47" i="5"/>
  <c r="AF53" i="5"/>
  <c r="AF56" i="5"/>
  <c r="AF59" i="5"/>
  <c r="AF65" i="5"/>
  <c r="AF68" i="5"/>
  <c r="AF71" i="5"/>
  <c r="AF77" i="5"/>
  <c r="AF80" i="5"/>
  <c r="AF83" i="5"/>
  <c r="D28" i="6" s="1"/>
  <c r="AF89" i="5"/>
  <c r="AF92" i="5"/>
  <c r="AF95" i="5"/>
  <c r="G28" i="6" s="1"/>
  <c r="AI20" i="5"/>
  <c r="AI32" i="5"/>
  <c r="AI44" i="5"/>
  <c r="AI56" i="5"/>
  <c r="AI68" i="5"/>
  <c r="AI80" i="5"/>
  <c r="AI92" i="5"/>
  <c r="AF19" i="5"/>
  <c r="AH19" i="5"/>
  <c r="AE17" i="5"/>
  <c r="AE23" i="5"/>
  <c r="AG14" i="5"/>
  <c r="AG17" i="5"/>
  <c r="AG20" i="5"/>
  <c r="AG23" i="5"/>
  <c r="AG26" i="5"/>
  <c r="AG29" i="5"/>
  <c r="AG32" i="5"/>
  <c r="AG35" i="5"/>
  <c r="AG38" i="5"/>
  <c r="AG41" i="5"/>
  <c r="AG44" i="5"/>
  <c r="AG47" i="5"/>
  <c r="AG50" i="5"/>
  <c r="AG53" i="5"/>
  <c r="AG56" i="5"/>
  <c r="AG59" i="5"/>
  <c r="AG62" i="5"/>
  <c r="AG65" i="5"/>
  <c r="AG68" i="5"/>
  <c r="AG71" i="5"/>
  <c r="AG74" i="5"/>
  <c r="AG77" i="5"/>
  <c r="AG80" i="5"/>
  <c r="AG83" i="5"/>
  <c r="D29" i="6" s="1"/>
  <c r="AG86" i="5"/>
  <c r="AG89" i="5"/>
  <c r="AG92" i="5"/>
  <c r="AG95" i="5"/>
  <c r="G29" i="6" s="1"/>
  <c r="AG98" i="5"/>
  <c r="AI21" i="5"/>
  <c r="AI33" i="5"/>
  <c r="AI45" i="5"/>
  <c r="AI57" i="5"/>
  <c r="AI69" i="5"/>
  <c r="AF16" i="5"/>
  <c r="AH22" i="5"/>
  <c r="AH17" i="5"/>
  <c r="AH23" i="5"/>
  <c r="AH29" i="5"/>
  <c r="AH35" i="5"/>
  <c r="AH41" i="5"/>
  <c r="AH47" i="5"/>
  <c r="AH53" i="5"/>
  <c r="AH56" i="5"/>
  <c r="AH59" i="5"/>
  <c r="AH62" i="5"/>
  <c r="AH65" i="5"/>
  <c r="AH68" i="5"/>
  <c r="AH71" i="5"/>
  <c r="AH74" i="5"/>
  <c r="AH77" i="5"/>
  <c r="AH80" i="5"/>
  <c r="AH83" i="5"/>
  <c r="D26" i="6" s="1"/>
  <c r="AH86" i="5"/>
  <c r="AH89" i="5"/>
  <c r="AH92" i="5"/>
  <c r="AH95" i="5"/>
  <c r="G26" i="6" s="1"/>
  <c r="AH98" i="5"/>
  <c r="AI22" i="5"/>
  <c r="AI34" i="5"/>
  <c r="AI46" i="5"/>
  <c r="AI58" i="5"/>
  <c r="AI70" i="5"/>
  <c r="AI81" i="5"/>
  <c r="AI93" i="5"/>
  <c r="AH14" i="5"/>
  <c r="AH20" i="5"/>
  <c r="AH26" i="5"/>
  <c r="AH32" i="5"/>
  <c r="AH38" i="5"/>
  <c r="AH44" i="5"/>
  <c r="AH50" i="5"/>
  <c r="AE12" i="5"/>
  <c r="AE15" i="5"/>
  <c r="AE18" i="5"/>
  <c r="AE21" i="5"/>
  <c r="AE24" i="5"/>
  <c r="AE27" i="5"/>
  <c r="AE30" i="5"/>
  <c r="AE33" i="5"/>
  <c r="AE36" i="5"/>
  <c r="AE39" i="5"/>
  <c r="AE42" i="5"/>
  <c r="AE45" i="5"/>
  <c r="AE48" i="5"/>
  <c r="AE51" i="5"/>
  <c r="AE54" i="5"/>
  <c r="AE57" i="5"/>
  <c r="AE60" i="5"/>
  <c r="AE63" i="5"/>
  <c r="AE66" i="5"/>
  <c r="AE69" i="5"/>
  <c r="AE72" i="5"/>
  <c r="AE75" i="5"/>
  <c r="AE78" i="5"/>
  <c r="AE81" i="5"/>
  <c r="AE84" i="5"/>
  <c r="AE87" i="5"/>
  <c r="E27" i="6" s="1"/>
  <c r="AE90" i="5"/>
  <c r="AE93" i="5"/>
  <c r="AE96" i="5"/>
  <c r="AE99" i="5"/>
  <c r="H27" i="6" s="1"/>
  <c r="AF36" i="5"/>
  <c r="AF81" i="5"/>
  <c r="AF96" i="5"/>
  <c r="AF99" i="5"/>
  <c r="H28" i="6" s="1"/>
  <c r="AF27" i="5"/>
  <c r="AF39" i="5"/>
  <c r="AF42" i="5"/>
  <c r="AF48" i="5"/>
  <c r="AF54" i="5"/>
  <c r="AF57" i="5"/>
  <c r="AF63" i="5"/>
  <c r="AF66" i="5"/>
  <c r="AF72" i="5"/>
  <c r="AF78" i="5"/>
  <c r="AF84" i="5"/>
  <c r="AF87" i="5"/>
  <c r="E28" i="6" s="1"/>
  <c r="AF93" i="5"/>
  <c r="AG12" i="5"/>
  <c r="AG15" i="5"/>
  <c r="AG18" i="5"/>
  <c r="AG21" i="5"/>
  <c r="AG24" i="5"/>
  <c r="AG27" i="5"/>
  <c r="AG30" i="5"/>
  <c r="AG36" i="5"/>
  <c r="AG39" i="5"/>
  <c r="AG42" i="5"/>
  <c r="AG48" i="5"/>
  <c r="AG51" i="5"/>
  <c r="AG54" i="5"/>
  <c r="AG60" i="5"/>
  <c r="AG63" i="5"/>
  <c r="AG66" i="5"/>
  <c r="AG72" i="5"/>
  <c r="AG75" i="5"/>
  <c r="AG78" i="5"/>
  <c r="AG84" i="5"/>
  <c r="AG87" i="5"/>
  <c r="E29" i="6" s="1"/>
  <c r="AG90" i="5"/>
  <c r="AG96" i="5"/>
  <c r="AG99" i="5"/>
  <c r="H29" i="6" s="1"/>
  <c r="AI13" i="5"/>
  <c r="AI25" i="5"/>
  <c r="AI37" i="5"/>
  <c r="AI49" i="5"/>
  <c r="AI61" i="5"/>
  <c r="AI72" i="5"/>
  <c r="AI84" i="5"/>
  <c r="AI96" i="5"/>
  <c r="AH24" i="5"/>
  <c r="AH27" i="5"/>
  <c r="AH30" i="5"/>
  <c r="AH33" i="5"/>
  <c r="AH36" i="5"/>
  <c r="AH39" i="5"/>
  <c r="AH42" i="5"/>
  <c r="AH45" i="5"/>
  <c r="AH48" i="5"/>
  <c r="AH51" i="5"/>
  <c r="AH54" i="5"/>
  <c r="AH57" i="5"/>
  <c r="AH60" i="5"/>
  <c r="AH63" i="5"/>
  <c r="AH66" i="5"/>
  <c r="AH69" i="5"/>
  <c r="AH72" i="5"/>
  <c r="AH75" i="5"/>
  <c r="AH78" i="5"/>
  <c r="AH81" i="5"/>
  <c r="AH84" i="5"/>
  <c r="AH87" i="5"/>
  <c r="E26" i="6" s="1"/>
  <c r="AH90" i="5"/>
  <c r="AH93" i="5"/>
  <c r="AH96" i="5"/>
  <c r="AH99" i="5"/>
  <c r="H26" i="6" s="1"/>
  <c r="AI14" i="5"/>
  <c r="AI26" i="5"/>
  <c r="AI38" i="5"/>
  <c r="AI50" i="5"/>
  <c r="AI62" i="5"/>
  <c r="AF98" i="5"/>
  <c r="AE25" i="5"/>
  <c r="AE28" i="5"/>
  <c r="AE34" i="5"/>
  <c r="AE37" i="5"/>
  <c r="AE40" i="5"/>
  <c r="AE46" i="5"/>
  <c r="AE49" i="5"/>
  <c r="AE52" i="5"/>
  <c r="AE58" i="5"/>
  <c r="AE61" i="5"/>
  <c r="AE64" i="5"/>
  <c r="AE70" i="5"/>
  <c r="AE73" i="5"/>
  <c r="AE76" i="5"/>
  <c r="AE82" i="5"/>
  <c r="AE85" i="5"/>
  <c r="AE88" i="5"/>
  <c r="AE94" i="5"/>
  <c r="AE97" i="5"/>
  <c r="AE100" i="5"/>
  <c r="AI15" i="5"/>
  <c r="AI27" i="5"/>
  <c r="AI39" i="5"/>
  <c r="AI51" i="5"/>
  <c r="AI63" i="5"/>
  <c r="AI74" i="5"/>
  <c r="AI87" i="5"/>
  <c r="E25" i="6" s="1"/>
  <c r="AI99" i="5"/>
  <c r="H25" i="6" s="1"/>
  <c r="AF28" i="5"/>
  <c r="AF31" i="5"/>
  <c r="AF34" i="5"/>
  <c r="AF37" i="5"/>
  <c r="AF40" i="5"/>
  <c r="AF43" i="5"/>
  <c r="AF46" i="5"/>
  <c r="AF49" i="5"/>
  <c r="AF52" i="5"/>
  <c r="AF55" i="5"/>
  <c r="AF58" i="5"/>
  <c r="AF61" i="5"/>
  <c r="AF64" i="5"/>
  <c r="AF67" i="5"/>
  <c r="AF70" i="5"/>
  <c r="AF73" i="5"/>
  <c r="AF76" i="5"/>
  <c r="AF79" i="5"/>
  <c r="C28" i="6" s="1"/>
  <c r="AF82" i="5"/>
  <c r="AF85" i="5"/>
  <c r="AF88" i="5"/>
  <c r="AF91" i="5"/>
  <c r="F28" i="6" s="1"/>
  <c r="AF94" i="5"/>
  <c r="AF97" i="5"/>
  <c r="AF100" i="5"/>
  <c r="AI16" i="5"/>
  <c r="AI28" i="5"/>
  <c r="AI40" i="5"/>
  <c r="AI52" i="5"/>
  <c r="AI64" i="5"/>
  <c r="AI76" i="5"/>
  <c r="AI88" i="5"/>
  <c r="AH15" i="5"/>
  <c r="AG31" i="5"/>
  <c r="AG34" i="5"/>
  <c r="AG37" i="5"/>
  <c r="AG40" i="5"/>
  <c r="AG43" i="5"/>
  <c r="AG46" i="5"/>
  <c r="AG49" i="5"/>
  <c r="AG52" i="5"/>
  <c r="AG55" i="5"/>
  <c r="AG58" i="5"/>
  <c r="AG61" i="5"/>
  <c r="AG64" i="5"/>
  <c r="AG67" i="5"/>
  <c r="AG70" i="5"/>
  <c r="AG73" i="5"/>
  <c r="AG76" i="5"/>
  <c r="AG79" i="5"/>
  <c r="C29" i="6" s="1"/>
  <c r="AG82" i="5"/>
  <c r="AG85" i="5"/>
  <c r="AG88" i="5"/>
  <c r="AG91" i="5"/>
  <c r="F29" i="6" s="1"/>
  <c r="AG94" i="5"/>
  <c r="AG97" i="5"/>
  <c r="AG100" i="5"/>
  <c r="AI17" i="5"/>
  <c r="AI29" i="5"/>
  <c r="AI41" i="5"/>
  <c r="AI53" i="5"/>
  <c r="AI65" i="5"/>
  <c r="AI77" i="5"/>
  <c r="AI86" i="5"/>
  <c r="AI98" i="5"/>
  <c r="AF18" i="5"/>
  <c r="AF25" i="5"/>
  <c r="AG13" i="5"/>
  <c r="AH25" i="5"/>
  <c r="AH31" i="5"/>
  <c r="AH34" i="5"/>
  <c r="AH37" i="5"/>
  <c r="AH43" i="5"/>
  <c r="AH46" i="5"/>
  <c r="AH49" i="5"/>
  <c r="AH55" i="5"/>
  <c r="AH58" i="5"/>
  <c r="AH61" i="5"/>
  <c r="AH67" i="5"/>
  <c r="AH70" i="5"/>
  <c r="AH73" i="5"/>
  <c r="AH79" i="5"/>
  <c r="C26" i="6" s="1"/>
  <c r="AH82" i="5"/>
  <c r="AH85" i="5"/>
  <c r="AH91" i="5"/>
  <c r="F26" i="6" s="1"/>
  <c r="AH94" i="5"/>
  <c r="AH97" i="5"/>
  <c r="AI18" i="5"/>
  <c r="AI30" i="5"/>
  <c r="AI42" i="5"/>
  <c r="AI54" i="5"/>
  <c r="AI66" i="5"/>
  <c r="AI78" i="5"/>
  <c r="AI90" i="5"/>
  <c r="AF22" i="5"/>
  <c r="AE20" i="5"/>
  <c r="AE26" i="5"/>
  <c r="AE32" i="5"/>
  <c r="AE35" i="5"/>
  <c r="AE38" i="5"/>
  <c r="AE41" i="5"/>
  <c r="AE44" i="5"/>
  <c r="AE47" i="5"/>
  <c r="AE50" i="5"/>
  <c r="AE53" i="5"/>
  <c r="AE56" i="5"/>
  <c r="AE59" i="5"/>
  <c r="AE62" i="5"/>
  <c r="AE65" i="5"/>
  <c r="AE68" i="5"/>
  <c r="AE71" i="5"/>
  <c r="AE74" i="5"/>
  <c r="AE77" i="5"/>
  <c r="AE80" i="5"/>
  <c r="AE83" i="5"/>
  <c r="D27" i="6" s="1"/>
  <c r="AE86" i="5"/>
  <c r="AE89" i="5"/>
  <c r="AE92" i="5"/>
  <c r="AE95" i="5"/>
  <c r="G27" i="6" s="1"/>
  <c r="AE98" i="5"/>
  <c r="AI19" i="5"/>
  <c r="AI31" i="5"/>
  <c r="AI43" i="5"/>
  <c r="AI55" i="5"/>
  <c r="AI67" i="5"/>
  <c r="AI79" i="5"/>
  <c r="C25" i="6" s="1"/>
  <c r="AI91" i="5"/>
  <c r="F25" i="6" s="1"/>
  <c r="AH100" i="5"/>
  <c r="AI95" i="5"/>
  <c r="G25" i="6" s="1"/>
  <c r="AH88" i="5"/>
  <c r="AI71" i="5"/>
  <c r="AH52" i="5"/>
  <c r="AI35" i="5"/>
  <c r="AE31" i="5"/>
  <c r="AI23" i="5"/>
  <c r="AE19" i="5"/>
  <c r="AH16" i="5"/>
  <c r="AI11" i="5"/>
  <c r="AH76" i="5"/>
  <c r="AH64" i="5"/>
  <c r="AI59" i="5"/>
  <c r="AI47" i="5"/>
  <c r="AH28" i="5"/>
  <c r="AI97" i="5"/>
  <c r="AI85" i="5"/>
  <c r="AI73" i="5"/>
  <c r="AI75" i="5"/>
  <c r="AI94" i="5"/>
  <c r="AI82" i="5"/>
  <c r="AH40" i="5"/>
  <c r="AI89" i="5"/>
  <c r="AF11" i="5"/>
  <c r="AG11" i="5"/>
  <c r="AH11" i="5"/>
  <c r="AE11" i="5"/>
  <c r="AB70" i="5"/>
  <c r="AB22" i="5"/>
  <c r="AB58" i="5"/>
  <c r="AB34" i="5"/>
  <c r="AB46" i="5"/>
  <c r="AB82" i="5"/>
  <c r="AB15" i="5"/>
  <c r="AB27" i="5"/>
  <c r="AB39" i="5"/>
  <c r="AB51" i="5"/>
  <c r="AB63" i="5"/>
  <c r="AB74" i="5"/>
  <c r="AB86" i="5"/>
  <c r="AB98" i="5"/>
  <c r="AB94" i="5"/>
  <c r="AB83" i="5"/>
  <c r="AB16" i="5"/>
  <c r="AB28" i="5"/>
  <c r="AB40" i="5"/>
  <c r="AB52" i="5"/>
  <c r="AB64" i="5"/>
  <c r="AB76" i="5"/>
  <c r="AB88" i="5"/>
  <c r="AB100" i="5"/>
  <c r="AB23" i="5"/>
  <c r="AB35" i="5"/>
  <c r="AB47" i="5"/>
  <c r="AB59" i="5"/>
  <c r="AB71" i="5"/>
  <c r="AB95" i="5"/>
  <c r="AB21" i="5"/>
  <c r="AB33" i="5"/>
  <c r="AB45" i="5"/>
  <c r="AB57" i="5"/>
  <c r="AB69" i="5"/>
  <c r="AB80" i="5"/>
  <c r="AB92" i="5"/>
  <c r="AB12" i="5"/>
  <c r="AB24" i="5"/>
  <c r="AB36" i="5"/>
  <c r="AB48" i="5"/>
  <c r="AB60" i="5"/>
  <c r="AB72" i="5"/>
  <c r="AB84" i="5"/>
  <c r="AB96" i="5"/>
  <c r="AB13" i="5"/>
  <c r="AB25" i="5"/>
  <c r="AB37" i="5"/>
  <c r="AB49" i="5"/>
  <c r="AB61" i="5"/>
  <c r="AB73" i="5"/>
  <c r="AB85" i="5"/>
  <c r="AB97" i="5"/>
  <c r="AB14" i="5"/>
  <c r="AB26" i="5"/>
  <c r="AB38" i="5"/>
  <c r="AB50" i="5"/>
  <c r="AB62" i="5"/>
  <c r="AB17" i="5"/>
  <c r="AB29" i="5"/>
  <c r="AB41" i="5"/>
  <c r="AB53" i="5"/>
  <c r="AB65" i="5"/>
  <c r="AB77" i="5"/>
  <c r="AB89" i="5"/>
  <c r="AB18" i="5"/>
  <c r="AB30" i="5"/>
  <c r="AB42" i="5"/>
  <c r="AB54" i="5"/>
  <c r="AB66" i="5"/>
  <c r="AB78" i="5"/>
  <c r="AB90" i="5"/>
  <c r="AB19" i="5"/>
  <c r="AB31" i="5"/>
  <c r="AB43" i="5"/>
  <c r="AB55" i="5"/>
  <c r="AB67" i="5"/>
  <c r="AB79" i="5"/>
  <c r="AB91" i="5"/>
  <c r="AB20" i="5"/>
  <c r="AB32" i="5"/>
  <c r="AB44" i="5"/>
  <c r="AB56" i="5"/>
  <c r="AB68" i="5"/>
  <c r="AB93" i="5"/>
  <c r="AB81" i="5"/>
  <c r="AB11" i="5"/>
  <c r="AB99" i="5"/>
  <c r="AB87" i="5"/>
  <c r="AB75" i="5"/>
  <c r="AA95" i="5"/>
  <c r="AA28" i="5"/>
  <c r="AA52" i="5"/>
  <c r="AA76" i="5"/>
  <c r="AA82" i="5"/>
  <c r="AA88" i="5"/>
  <c r="AA94" i="5"/>
  <c r="AA100" i="5"/>
  <c r="AA19" i="5"/>
  <c r="AA23" i="5"/>
  <c r="AA35" i="5"/>
  <c r="AA47" i="5"/>
  <c r="AA59" i="5"/>
  <c r="AA71" i="5"/>
  <c r="AA83" i="5"/>
  <c r="AA14" i="5"/>
  <c r="AA17" i="5"/>
  <c r="AA20" i="5"/>
  <c r="AA26" i="5"/>
  <c r="AA29" i="5"/>
  <c r="AA32" i="5"/>
  <c r="AA38" i="5"/>
  <c r="AA41" i="5"/>
  <c r="AA44" i="5"/>
  <c r="AA50" i="5"/>
  <c r="AA53" i="5"/>
  <c r="AA56" i="5"/>
  <c r="AA62" i="5"/>
  <c r="AA65" i="5"/>
  <c r="AA68" i="5"/>
  <c r="AA74" i="5"/>
  <c r="AA77" i="5"/>
  <c r="AA80" i="5"/>
  <c r="AA86" i="5"/>
  <c r="AA89" i="5"/>
  <c r="AA92" i="5"/>
  <c r="AA98" i="5"/>
  <c r="AA18" i="5"/>
  <c r="AA24" i="5"/>
  <c r="AA30" i="5"/>
  <c r="AA36" i="5"/>
  <c r="AA39" i="5"/>
  <c r="AA45" i="5"/>
  <c r="AA48" i="5"/>
  <c r="AA51" i="5"/>
  <c r="AA54" i="5"/>
  <c r="AA57" i="5"/>
  <c r="AA60" i="5"/>
  <c r="AA63" i="5"/>
  <c r="AA66" i="5"/>
  <c r="AA69" i="5"/>
  <c r="AA72" i="5"/>
  <c r="AA75" i="5"/>
  <c r="AA78" i="5"/>
  <c r="AA81" i="5"/>
  <c r="AA84" i="5"/>
  <c r="AA87" i="5"/>
  <c r="AA90" i="5"/>
  <c r="AA93" i="5"/>
  <c r="AA96" i="5"/>
  <c r="AA99" i="5"/>
  <c r="AA12" i="5"/>
  <c r="AA15" i="5"/>
  <c r="AA21" i="5"/>
  <c r="AA27" i="5"/>
  <c r="AA33" i="5"/>
  <c r="AA42" i="5"/>
  <c r="AA34" i="5"/>
  <c r="AA40" i="5"/>
  <c r="AA46" i="5"/>
  <c r="AA49" i="5"/>
  <c r="AA55" i="5"/>
  <c r="AA58" i="5"/>
  <c r="AA61" i="5"/>
  <c r="AA64" i="5"/>
  <c r="AA67" i="5"/>
  <c r="AA70" i="5"/>
  <c r="AA73" i="5"/>
  <c r="AA79" i="5"/>
  <c r="AA85" i="5"/>
  <c r="AA91" i="5"/>
  <c r="AA97" i="5"/>
  <c r="AA16" i="5"/>
  <c r="AA22" i="5"/>
  <c r="AA25" i="5"/>
  <c r="AA31" i="5"/>
  <c r="AA37" i="5"/>
  <c r="AA43" i="5"/>
  <c r="AA13" i="5"/>
  <c r="AA11" i="5"/>
  <c r="F16" i="5"/>
  <c r="F28" i="5"/>
  <c r="F40" i="5"/>
  <c r="F18" i="5"/>
  <c r="F42" i="5"/>
  <c r="F66" i="5"/>
  <c r="F90" i="5"/>
  <c r="F52" i="5"/>
  <c r="F64" i="5"/>
  <c r="F67" i="5"/>
  <c r="F76" i="5"/>
  <c r="F79" i="5"/>
  <c r="F88" i="5"/>
  <c r="F91" i="5"/>
  <c r="F100" i="5"/>
  <c r="O101" i="5" s="1"/>
  <c r="F22" i="5"/>
  <c r="F34" i="5"/>
  <c r="F46" i="5"/>
  <c r="F58" i="5"/>
  <c r="F70" i="5"/>
  <c r="F82" i="5"/>
  <c r="F94" i="5"/>
  <c r="F10" i="5"/>
  <c r="F5" i="5"/>
  <c r="T5" i="5" s="1"/>
  <c r="F17" i="5"/>
  <c r="F29" i="5"/>
  <c r="F41" i="5"/>
  <c r="F53" i="5"/>
  <c r="F65" i="5"/>
  <c r="F77" i="5"/>
  <c r="F89" i="5"/>
  <c r="F6" i="5"/>
  <c r="S6" i="5" s="1"/>
  <c r="F30" i="5"/>
  <c r="F54" i="5"/>
  <c r="F78" i="5"/>
  <c r="F12" i="5"/>
  <c r="F24" i="5"/>
  <c r="F36" i="5"/>
  <c r="F48" i="5"/>
  <c r="F60" i="5"/>
  <c r="F72" i="5"/>
  <c r="F84" i="5"/>
  <c r="F96" i="5"/>
  <c r="F14" i="5"/>
  <c r="F26" i="5"/>
  <c r="F38" i="5"/>
  <c r="F50" i="5"/>
  <c r="F62" i="5"/>
  <c r="F74" i="5"/>
  <c r="F86" i="5"/>
  <c r="F98" i="5"/>
  <c r="F15" i="5"/>
  <c r="F27" i="5"/>
  <c r="F39" i="5"/>
  <c r="F51" i="5"/>
  <c r="F63" i="5"/>
  <c r="F75" i="5"/>
  <c r="F87" i="5"/>
  <c r="F99" i="5"/>
  <c r="F7" i="5"/>
  <c r="U7" i="5" s="1"/>
  <c r="F19" i="5"/>
  <c r="F31" i="5"/>
  <c r="F43" i="5"/>
  <c r="F55" i="5"/>
  <c r="F8" i="5"/>
  <c r="F20" i="5"/>
  <c r="F32" i="5"/>
  <c r="F44" i="5"/>
  <c r="F56" i="5"/>
  <c r="F68" i="5"/>
  <c r="F80" i="5"/>
  <c r="F92" i="5"/>
  <c r="F9" i="5"/>
  <c r="F21" i="5"/>
  <c r="F33" i="5"/>
  <c r="F45" i="5"/>
  <c r="F57" i="5"/>
  <c r="F69" i="5"/>
  <c r="F81" i="5"/>
  <c r="F93" i="5"/>
  <c r="F11" i="5"/>
  <c r="F23" i="5"/>
  <c r="F35" i="5"/>
  <c r="F47" i="5"/>
  <c r="F59" i="5"/>
  <c r="F71" i="5"/>
  <c r="F83" i="5"/>
  <c r="F95" i="5"/>
  <c r="F13" i="5"/>
  <c r="F25" i="5"/>
  <c r="F37" i="5"/>
  <c r="F49" i="5"/>
  <c r="F61" i="5"/>
  <c r="F73" i="5"/>
  <c r="F85" i="5"/>
  <c r="F97" i="5"/>
  <c r="F4" i="5"/>
  <c r="M40" i="5"/>
  <c r="L44" i="5"/>
  <c r="N12" i="5"/>
  <c r="N11" i="5"/>
  <c r="M16" i="5"/>
  <c r="L47" i="5"/>
  <c r="N68" i="5"/>
  <c r="P37" i="5"/>
  <c r="P47" i="5"/>
  <c r="L98" i="5"/>
  <c r="L92" i="5"/>
  <c r="N87" i="5"/>
  <c r="K48" i="5"/>
  <c r="L55" i="5"/>
  <c r="N78" i="5"/>
  <c r="N27" i="5"/>
  <c r="L32" i="5"/>
  <c r="N36" i="5"/>
  <c r="N90" i="5"/>
  <c r="K36" i="5"/>
  <c r="K17" i="5"/>
  <c r="N92" i="5"/>
  <c r="M15" i="5"/>
  <c r="K42" i="5"/>
  <c r="M81" i="5"/>
  <c r="N58" i="5"/>
  <c r="L56" i="5"/>
  <c r="N6" i="5"/>
  <c r="L24" i="5"/>
  <c r="N25" i="5"/>
  <c r="N9" i="5"/>
  <c r="K12" i="5"/>
  <c r="L21" i="5"/>
  <c r="K32" i="5"/>
  <c r="L7" i="5"/>
  <c r="P6" i="5"/>
  <c r="N39" i="5"/>
  <c r="N61" i="5"/>
  <c r="N81" i="5"/>
  <c r="N88" i="5"/>
  <c r="M99" i="5"/>
  <c r="P67" i="5"/>
  <c r="L20" i="5"/>
  <c r="L66" i="5"/>
  <c r="N97" i="5"/>
  <c r="M5" i="5"/>
  <c r="P27" i="5"/>
  <c r="N5" i="5"/>
  <c r="L36" i="5"/>
  <c r="L71" i="5"/>
  <c r="N84" i="5"/>
  <c r="L13" i="5"/>
  <c r="N34" i="5"/>
  <c r="N40" i="5"/>
  <c r="N51" i="5"/>
  <c r="P53" i="5"/>
  <c r="N91" i="5"/>
  <c r="P93" i="5"/>
  <c r="P73" i="5"/>
  <c r="N100" i="5"/>
  <c r="K6" i="5"/>
  <c r="P28" i="5"/>
  <c r="L45" i="5"/>
  <c r="N17" i="5"/>
  <c r="M33" i="5"/>
  <c r="N55" i="5"/>
  <c r="N57" i="5"/>
  <c r="N67" i="5"/>
  <c r="L14" i="5"/>
  <c r="L50" i="5"/>
  <c r="P85" i="5"/>
  <c r="P74" i="5"/>
  <c r="P92" i="5"/>
  <c r="P87" i="5"/>
  <c r="P99" i="5"/>
  <c r="P98" i="5"/>
  <c r="N37" i="5"/>
  <c r="K44" i="5"/>
  <c r="N18" i="5"/>
  <c r="P35" i="5"/>
  <c r="N46" i="5"/>
  <c r="N48" i="5"/>
  <c r="P59" i="5"/>
  <c r="P79" i="5"/>
  <c r="P46" i="5"/>
  <c r="P57" i="5"/>
  <c r="P69" i="5"/>
  <c r="P68" i="5"/>
  <c r="P86" i="5"/>
  <c r="P97" i="5"/>
  <c r="N42" i="5"/>
  <c r="P75" i="5"/>
  <c r="P62" i="5"/>
  <c r="P91" i="5"/>
  <c r="P80" i="5"/>
  <c r="P40" i="5"/>
  <c r="P41" i="5"/>
  <c r="N29" i="5"/>
  <c r="K50" i="5"/>
  <c r="L53" i="5"/>
  <c r="N62" i="5"/>
  <c r="N75" i="5"/>
  <c r="N77" i="5"/>
  <c r="N15" i="5"/>
  <c r="P18" i="5"/>
  <c r="P48" i="5"/>
  <c r="L54" i="5"/>
  <c r="N64" i="5"/>
  <c r="N66" i="5"/>
  <c r="N89" i="5"/>
  <c r="M11" i="5"/>
  <c r="M25" i="5"/>
  <c r="N96" i="5"/>
  <c r="N35" i="5"/>
  <c r="K35" i="5"/>
  <c r="N70" i="5"/>
  <c r="N72" i="5"/>
  <c r="N50" i="5"/>
  <c r="N59" i="5"/>
  <c r="L65" i="5"/>
  <c r="N83" i="5"/>
  <c r="N19" i="5"/>
  <c r="P70" i="5"/>
  <c r="P81" i="5"/>
  <c r="K97" i="5"/>
  <c r="L10" i="5"/>
  <c r="N32" i="5"/>
  <c r="K41" i="5"/>
  <c r="N56" i="5"/>
  <c r="N63" i="5"/>
  <c r="N10" i="5"/>
  <c r="N13" i="5"/>
  <c r="K29" i="5"/>
  <c r="K38" i="5"/>
  <c r="N95" i="5"/>
  <c r="L26" i="5"/>
  <c r="M34" i="5"/>
  <c r="N44" i="5"/>
  <c r="L52" i="5"/>
  <c r="N69" i="5"/>
  <c r="N73" i="5"/>
  <c r="L77" i="5"/>
  <c r="K14" i="5"/>
  <c r="P17" i="5"/>
  <c r="P16" i="5"/>
  <c r="M23" i="5"/>
  <c r="M29" i="5"/>
  <c r="K33" i="5"/>
  <c r="L40" i="5"/>
  <c r="L41" i="5"/>
  <c r="P44" i="5"/>
  <c r="P49" i="5"/>
  <c r="L5" i="5"/>
  <c r="K8" i="5"/>
  <c r="L11" i="5"/>
  <c r="M20" i="5"/>
  <c r="M21" i="5"/>
  <c r="N23" i="5"/>
  <c r="N24" i="5"/>
  <c r="L28" i="5"/>
  <c r="L29" i="5"/>
  <c r="K5" i="5"/>
  <c r="L22" i="5"/>
  <c r="L8" i="5"/>
  <c r="K27" i="5"/>
  <c r="P31" i="5"/>
  <c r="K39" i="5"/>
  <c r="K13" i="5"/>
  <c r="M17" i="5"/>
  <c r="K21" i="5"/>
  <c r="M22" i="5"/>
  <c r="K24" i="5"/>
  <c r="K25" i="5"/>
  <c r="L17" i="5"/>
  <c r="L18" i="5"/>
  <c r="P20" i="5"/>
  <c r="P5" i="5"/>
  <c r="K7" i="5"/>
  <c r="P11" i="5"/>
  <c r="L19" i="5"/>
  <c r="P14" i="5"/>
  <c r="K16" i="5"/>
  <c r="P43" i="5"/>
  <c r="P9" i="5"/>
  <c r="P8" i="5"/>
  <c r="L16" i="5"/>
  <c r="M24" i="5"/>
  <c r="N31" i="5"/>
  <c r="N30" i="5"/>
  <c r="P29" i="5"/>
  <c r="K10" i="5"/>
  <c r="K11" i="5"/>
  <c r="M10" i="5"/>
  <c r="K26" i="5"/>
  <c r="K15" i="5"/>
  <c r="K18" i="5"/>
  <c r="K19" i="5"/>
  <c r="N22" i="5"/>
  <c r="N21" i="5"/>
  <c r="P32" i="5"/>
  <c r="P38" i="5"/>
  <c r="P19" i="5"/>
  <c r="K9" i="5"/>
  <c r="N8" i="5"/>
  <c r="N7" i="5"/>
  <c r="L9" i="5"/>
  <c r="P10" i="5"/>
  <c r="M13" i="5"/>
  <c r="M12" i="5"/>
  <c r="P13" i="5"/>
  <c r="L15" i="5"/>
  <c r="L34" i="5"/>
  <c r="L35" i="5"/>
  <c r="M6" i="5"/>
  <c r="M7" i="5"/>
  <c r="P7" i="5"/>
  <c r="M9" i="5"/>
  <c r="M19" i="5"/>
  <c r="M18" i="5"/>
  <c r="M26" i="5"/>
  <c r="M27" i="5"/>
  <c r="M41" i="5"/>
  <c r="K53" i="5"/>
  <c r="K22" i="5"/>
  <c r="P26" i="5"/>
  <c r="L37" i="5"/>
  <c r="M8" i="5"/>
  <c r="N20" i="5"/>
  <c r="P22" i="5"/>
  <c r="L27" i="5"/>
  <c r="M31" i="5"/>
  <c r="K34" i="5"/>
  <c r="P34" i="5"/>
  <c r="P36" i="5"/>
  <c r="P42" i="5"/>
  <c r="N43" i="5"/>
  <c r="M44" i="5"/>
  <c r="N49" i="5"/>
  <c r="M54" i="5"/>
  <c r="M55" i="5"/>
  <c r="M89" i="5"/>
  <c r="K72" i="5"/>
  <c r="M38" i="5"/>
  <c r="K46" i="5"/>
  <c r="P55" i="5"/>
  <c r="M86" i="5"/>
  <c r="L6" i="5"/>
  <c r="L12" i="5"/>
  <c r="N16" i="5"/>
  <c r="L23" i="5"/>
  <c r="M30" i="5"/>
  <c r="P33" i="5"/>
  <c r="N38" i="5"/>
  <c r="K40" i="5"/>
  <c r="K47" i="5"/>
  <c r="M49" i="5"/>
  <c r="P56" i="5"/>
  <c r="L58" i="5"/>
  <c r="P64" i="5"/>
  <c r="K78" i="5"/>
  <c r="L83" i="5"/>
  <c r="K23" i="5"/>
  <c r="P15" i="5"/>
  <c r="K20" i="5"/>
  <c r="M28" i="5"/>
  <c r="K31" i="5"/>
  <c r="M43" i="5"/>
  <c r="L46" i="5"/>
  <c r="N54" i="5"/>
  <c r="N53" i="5"/>
  <c r="K57" i="5"/>
  <c r="L76" i="5"/>
  <c r="P50" i="5"/>
  <c r="N26" i="5"/>
  <c r="N14" i="5"/>
  <c r="P23" i="5"/>
  <c r="N28" i="5"/>
  <c r="L31" i="5"/>
  <c r="L33" i="5"/>
  <c r="M37" i="5"/>
  <c r="M52" i="5"/>
  <c r="L57" i="5"/>
  <c r="L80" i="5"/>
  <c r="K95" i="5"/>
  <c r="P24" i="5"/>
  <c r="P25" i="5"/>
  <c r="L42" i="5"/>
  <c r="P45" i="5"/>
  <c r="L48" i="5"/>
  <c r="N52" i="5"/>
  <c r="P54" i="5"/>
  <c r="P61" i="5"/>
  <c r="L67" i="5"/>
  <c r="K28" i="5"/>
  <c r="P30" i="5"/>
  <c r="N33" i="5"/>
  <c r="M35" i="5"/>
  <c r="P39" i="5"/>
  <c r="K45" i="5"/>
  <c r="M57" i="5"/>
  <c r="K69" i="5"/>
  <c r="N93" i="5"/>
  <c r="P12" i="5"/>
  <c r="M47" i="5"/>
  <c r="K49" i="5"/>
  <c r="K30" i="5"/>
  <c r="M36" i="5"/>
  <c r="M42" i="5"/>
  <c r="K43" i="5"/>
  <c r="N47" i="5"/>
  <c r="M48" i="5"/>
  <c r="M51" i="5"/>
  <c r="N60" i="5"/>
  <c r="P63" i="5"/>
  <c r="L73" i="5"/>
  <c r="K70" i="5"/>
  <c r="L25" i="5"/>
  <c r="L38" i="5"/>
  <c r="L30" i="5"/>
  <c r="M32" i="5"/>
  <c r="K37" i="5"/>
  <c r="L39" i="5"/>
  <c r="N41" i="5"/>
  <c r="L43" i="5"/>
  <c r="M45" i="5"/>
  <c r="L51" i="5"/>
  <c r="P52" i="5"/>
  <c r="K55" i="5"/>
  <c r="P58" i="5"/>
  <c r="P65" i="5"/>
  <c r="K75" i="5"/>
  <c r="P88" i="5"/>
  <c r="M39" i="5"/>
  <c r="M46" i="5"/>
  <c r="K54" i="5"/>
  <c r="K66" i="5"/>
  <c r="M87" i="5"/>
  <c r="P51" i="5"/>
  <c r="N45" i="5"/>
  <c r="M14" i="5"/>
  <c r="P21" i="5"/>
  <c r="P60" i="5"/>
  <c r="K86" i="5"/>
  <c r="L49" i="5"/>
  <c r="M53" i="5"/>
  <c r="K67" i="5"/>
  <c r="N71" i="5"/>
  <c r="K73" i="5"/>
  <c r="K76" i="5"/>
  <c r="L81" i="5"/>
  <c r="N82" i="5"/>
  <c r="M84" i="5"/>
  <c r="K92" i="5"/>
  <c r="M93" i="5"/>
  <c r="P94" i="5"/>
  <c r="N99" i="5"/>
  <c r="K56" i="5"/>
  <c r="L59" i="5"/>
  <c r="L60" i="5"/>
  <c r="L61" i="5"/>
  <c r="L62" i="5"/>
  <c r="L63" i="5"/>
  <c r="L64" i="5"/>
  <c r="M67" i="5"/>
  <c r="L70" i="5"/>
  <c r="P71" i="5"/>
  <c r="M73" i="5"/>
  <c r="M76" i="5"/>
  <c r="L78" i="5"/>
  <c r="P82" i="5"/>
  <c r="K89" i="5"/>
  <c r="M98" i="5"/>
  <c r="M50" i="5"/>
  <c r="M70" i="5"/>
  <c r="N76" i="5"/>
  <c r="M78" i="5"/>
  <c r="K80" i="5"/>
  <c r="K83" i="5"/>
  <c r="L86" i="5"/>
  <c r="M92" i="5"/>
  <c r="M95" i="5"/>
  <c r="N98" i="5"/>
  <c r="K51" i="5"/>
  <c r="M56" i="5"/>
  <c r="L69" i="5"/>
  <c r="L75" i="5"/>
  <c r="P76" i="5"/>
  <c r="M80" i="5"/>
  <c r="M83" i="5"/>
  <c r="N86" i="5"/>
  <c r="K91" i="5"/>
  <c r="L97" i="5"/>
  <c r="K100" i="5"/>
  <c r="K58" i="5"/>
  <c r="M66" i="5"/>
  <c r="M69" i="5"/>
  <c r="M72" i="5"/>
  <c r="M75" i="5"/>
  <c r="K77" i="5"/>
  <c r="N80" i="5"/>
  <c r="K85" i="5"/>
  <c r="L91" i="5"/>
  <c r="K94" i="5"/>
  <c r="M97" i="5"/>
  <c r="L100" i="5"/>
  <c r="K59" i="5"/>
  <c r="K60" i="5"/>
  <c r="K61" i="5"/>
  <c r="K62" i="5"/>
  <c r="K63" i="5"/>
  <c r="K64" i="5"/>
  <c r="K65" i="5"/>
  <c r="L85" i="5"/>
  <c r="K88" i="5"/>
  <c r="M91" i="5"/>
  <c r="L94" i="5"/>
  <c r="L95" i="5"/>
  <c r="M100" i="5"/>
  <c r="K52" i="5"/>
  <c r="M58" i="5"/>
  <c r="K68" i="5"/>
  <c r="K74" i="5"/>
  <c r="M77" i="5"/>
  <c r="K79" i="5"/>
  <c r="K82" i="5"/>
  <c r="M85" i="5"/>
  <c r="L88" i="5"/>
  <c r="L89" i="5"/>
  <c r="M94" i="5"/>
  <c r="K96" i="5"/>
  <c r="K99" i="5"/>
  <c r="M59" i="5"/>
  <c r="M60" i="5"/>
  <c r="M61" i="5"/>
  <c r="M62" i="5"/>
  <c r="M63" i="5"/>
  <c r="M64" i="5"/>
  <c r="M65" i="5"/>
  <c r="P66" i="5"/>
  <c r="L68" i="5"/>
  <c r="K71" i="5"/>
  <c r="L74" i="5"/>
  <c r="L79" i="5"/>
  <c r="L82" i="5"/>
  <c r="N85" i="5"/>
  <c r="M88" i="5"/>
  <c r="K90" i="5"/>
  <c r="K93" i="5"/>
  <c r="L96" i="5"/>
  <c r="L99" i="5"/>
  <c r="N65" i="5"/>
  <c r="M68" i="5"/>
  <c r="L72" i="5"/>
  <c r="M74" i="5"/>
  <c r="M79" i="5"/>
  <c r="M82" i="5"/>
  <c r="K84" i="5"/>
  <c r="K87" i="5"/>
  <c r="L90" i="5"/>
  <c r="L93" i="5"/>
  <c r="N94" i="5"/>
  <c r="M96" i="5"/>
  <c r="M71" i="5"/>
  <c r="N74" i="5"/>
  <c r="N79" i="5"/>
  <c r="K81" i="5"/>
  <c r="L84" i="5"/>
  <c r="L87" i="5"/>
  <c r="M90" i="5"/>
  <c r="K98" i="5"/>
  <c r="P100" i="5"/>
  <c r="P72" i="5"/>
  <c r="P78" i="5"/>
  <c r="P84" i="5"/>
  <c r="P90" i="5"/>
  <c r="P96" i="5"/>
  <c r="P77" i="5"/>
  <c r="P83" i="5"/>
  <c r="P89" i="5"/>
  <c r="P95" i="5"/>
  <c r="A30" i="4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BN32" i="3"/>
  <c r="BM32" i="3" s="1"/>
  <c r="BN33" i="3"/>
  <c r="BM33" i="3" s="1"/>
  <c r="BN34" i="3"/>
  <c r="BM34" i="3" s="1"/>
  <c r="BN35" i="3"/>
  <c r="BM35" i="3" s="1"/>
  <c r="BN36" i="3"/>
  <c r="BM36" i="3" s="1"/>
  <c r="BN37" i="3"/>
  <c r="BM37" i="3" s="1"/>
  <c r="BN38" i="3"/>
  <c r="BM38" i="3" s="1"/>
  <c r="BN39" i="3"/>
  <c r="BM39" i="3" s="1"/>
  <c r="BN40" i="3"/>
  <c r="BM40" i="3" s="1"/>
  <c r="BN41" i="3"/>
  <c r="BM41" i="3" s="1"/>
  <c r="BN42" i="3"/>
  <c r="BM42" i="3" s="1"/>
  <c r="BN43" i="3"/>
  <c r="BM43" i="3" s="1"/>
  <c r="BN44" i="3"/>
  <c r="BM44" i="3" s="1"/>
  <c r="BN45" i="3"/>
  <c r="BM45" i="3" s="1"/>
  <c r="BN31" i="3"/>
  <c r="BM31" i="3" s="1"/>
  <c r="BM51" i="3"/>
  <c r="BM52" i="3"/>
  <c r="BM53" i="3"/>
  <c r="BM54" i="3"/>
  <c r="BM55" i="3"/>
  <c r="BM56" i="3"/>
  <c r="BM57" i="3"/>
  <c r="BM58" i="3"/>
  <c r="BM59" i="3"/>
  <c r="BM60" i="3"/>
  <c r="BM61" i="3"/>
  <c r="BM62" i="3"/>
  <c r="BM63" i="3"/>
  <c r="BM64" i="3"/>
  <c r="BN50" i="3"/>
  <c r="BM50" i="3" s="1"/>
  <c r="BN70" i="3"/>
  <c r="BM70" i="3" s="1"/>
  <c r="BN71" i="3"/>
  <c r="BM71" i="3" s="1"/>
  <c r="BN72" i="3"/>
  <c r="BM72" i="3" s="1"/>
  <c r="BN73" i="3"/>
  <c r="BM73" i="3" s="1"/>
  <c r="BN74" i="3"/>
  <c r="BM74" i="3" s="1"/>
  <c r="BN75" i="3"/>
  <c r="BM75" i="3" s="1"/>
  <c r="BN76" i="3"/>
  <c r="BM76" i="3" s="1"/>
  <c r="BN77" i="3"/>
  <c r="BM77" i="3" s="1"/>
  <c r="BN78" i="3"/>
  <c r="BM78" i="3" s="1"/>
  <c r="BN79" i="3"/>
  <c r="BM79" i="3" s="1"/>
  <c r="BN80" i="3"/>
  <c r="BM80" i="3" s="1"/>
  <c r="BN81" i="3"/>
  <c r="BM81" i="3" s="1"/>
  <c r="BN82" i="3"/>
  <c r="BM82" i="3" s="1"/>
  <c r="BN83" i="3"/>
  <c r="BM83" i="3" s="1"/>
  <c r="BN69" i="3"/>
  <c r="BM69" i="3" s="1"/>
  <c r="Z106" i="5" l="1"/>
  <c r="Y106" i="5"/>
  <c r="Y105" i="5"/>
  <c r="Z105" i="5"/>
  <c r="X104" i="5"/>
  <c r="Z104" i="5"/>
  <c r="Y104" i="5"/>
  <c r="Z103" i="5"/>
  <c r="Y103" i="5"/>
  <c r="X103" i="5"/>
  <c r="AJ120" i="5"/>
  <c r="AC120" i="5"/>
  <c r="A7" i="5"/>
  <c r="X102" i="5"/>
  <c r="Y102" i="5"/>
  <c r="Z102" i="5"/>
  <c r="Y101" i="5"/>
  <c r="Z101" i="5"/>
  <c r="X101" i="5"/>
  <c r="X95" i="5"/>
  <c r="T25" i="5"/>
  <c r="U69" i="5"/>
  <c r="U20" i="5"/>
  <c r="S39" i="5"/>
  <c r="S84" i="5"/>
  <c r="T77" i="5"/>
  <c r="T46" i="5"/>
  <c r="T13" i="5"/>
  <c r="S57" i="5"/>
  <c r="T27" i="5"/>
  <c r="T72" i="5"/>
  <c r="U65" i="5"/>
  <c r="V34" i="5"/>
  <c r="U42" i="5"/>
  <c r="V45" i="5"/>
  <c r="T55" i="5"/>
  <c r="U60" i="5"/>
  <c r="U22" i="5"/>
  <c r="S95" i="5"/>
  <c r="U15" i="5"/>
  <c r="U18" i="5"/>
  <c r="S83" i="5"/>
  <c r="S33" i="5"/>
  <c r="U43" i="5"/>
  <c r="S98" i="5"/>
  <c r="U48" i="5"/>
  <c r="S41" i="5"/>
  <c r="U100" i="5"/>
  <c r="T40" i="5"/>
  <c r="S71" i="5"/>
  <c r="U21" i="5"/>
  <c r="S31" i="5"/>
  <c r="S86" i="5"/>
  <c r="T36" i="5"/>
  <c r="S91" i="5"/>
  <c r="V28" i="5"/>
  <c r="U59" i="5"/>
  <c r="S9" i="5"/>
  <c r="S19" i="5"/>
  <c r="V74" i="5"/>
  <c r="U24" i="5"/>
  <c r="T88" i="5"/>
  <c r="U16" i="5"/>
  <c r="U97" i="5"/>
  <c r="U47" i="5"/>
  <c r="U92" i="5"/>
  <c r="S62" i="5"/>
  <c r="V12" i="5"/>
  <c r="S79" i="5"/>
  <c r="T85" i="5"/>
  <c r="V35" i="5"/>
  <c r="U99" i="5"/>
  <c r="T50" i="5"/>
  <c r="S10" i="5"/>
  <c r="U76" i="5"/>
  <c r="T23" i="5"/>
  <c r="U68" i="5"/>
  <c r="T87" i="5"/>
  <c r="U38" i="5"/>
  <c r="T54" i="5"/>
  <c r="U94" i="5"/>
  <c r="S67" i="5"/>
  <c r="T61" i="5"/>
  <c r="T56" i="5"/>
  <c r="T75" i="5"/>
  <c r="U30" i="5"/>
  <c r="S82" i="5"/>
  <c r="V64" i="5"/>
  <c r="U49" i="5"/>
  <c r="S93" i="5"/>
  <c r="T44" i="5"/>
  <c r="T63" i="5"/>
  <c r="S14" i="5"/>
  <c r="V52" i="5"/>
  <c r="T81" i="5"/>
  <c r="U32" i="5"/>
  <c r="T51" i="5"/>
  <c r="V96" i="5"/>
  <c r="S89" i="5"/>
  <c r="V58" i="5"/>
  <c r="U90" i="5"/>
  <c r="Z95" i="5"/>
  <c r="Y95" i="5"/>
  <c r="Y47" i="5"/>
  <c r="X47" i="5"/>
  <c r="Z47" i="5"/>
  <c r="X16" i="5"/>
  <c r="Y16" i="5"/>
  <c r="Z16" i="5"/>
  <c r="X49" i="5"/>
  <c r="Y49" i="5"/>
  <c r="Z49" i="5"/>
  <c r="X93" i="5"/>
  <c r="Y93" i="5"/>
  <c r="Z93" i="5"/>
  <c r="X57" i="5"/>
  <c r="Y57" i="5"/>
  <c r="Z57" i="5"/>
  <c r="X89" i="5"/>
  <c r="Y89" i="5"/>
  <c r="Z89" i="5"/>
  <c r="X41" i="5"/>
  <c r="Y41" i="5"/>
  <c r="Z41" i="5"/>
  <c r="X35" i="5"/>
  <c r="Y35" i="5"/>
  <c r="Z35" i="5"/>
  <c r="X92" i="5"/>
  <c r="Y92" i="5"/>
  <c r="Z92" i="5"/>
  <c r="X97" i="5"/>
  <c r="Y97" i="5"/>
  <c r="Z97" i="5"/>
  <c r="Z46" i="5"/>
  <c r="Y46" i="5"/>
  <c r="X46" i="5"/>
  <c r="Z90" i="5"/>
  <c r="X90" i="5"/>
  <c r="Y90" i="5"/>
  <c r="Y54" i="5"/>
  <c r="Z54" i="5"/>
  <c r="X54" i="5"/>
  <c r="Y86" i="5"/>
  <c r="Z86" i="5"/>
  <c r="X86" i="5"/>
  <c r="Y38" i="5"/>
  <c r="Z38" i="5"/>
  <c r="X38" i="5"/>
  <c r="X23" i="5"/>
  <c r="Y23" i="5"/>
  <c r="Z23" i="5"/>
  <c r="X44" i="5"/>
  <c r="Y44" i="5"/>
  <c r="Z44" i="5"/>
  <c r="Y91" i="5"/>
  <c r="X91" i="5"/>
  <c r="Z91" i="5"/>
  <c r="X40" i="5"/>
  <c r="Y40" i="5"/>
  <c r="Z40" i="5"/>
  <c r="X87" i="5"/>
  <c r="Y87" i="5"/>
  <c r="Z87" i="5"/>
  <c r="X51" i="5"/>
  <c r="Y51" i="5"/>
  <c r="Z51" i="5"/>
  <c r="X80" i="5"/>
  <c r="Y80" i="5"/>
  <c r="Z80" i="5"/>
  <c r="X32" i="5"/>
  <c r="Y32" i="5"/>
  <c r="Z32" i="5"/>
  <c r="X19" i="5"/>
  <c r="Y19" i="5"/>
  <c r="Z19" i="5"/>
  <c r="X55" i="5"/>
  <c r="Z55" i="5"/>
  <c r="Y55" i="5"/>
  <c r="X85" i="5"/>
  <c r="Y85" i="5"/>
  <c r="Z85" i="5"/>
  <c r="Y34" i="5"/>
  <c r="X34" i="5"/>
  <c r="Z34" i="5"/>
  <c r="X84" i="5"/>
  <c r="Y84" i="5"/>
  <c r="Z84" i="5"/>
  <c r="X48" i="5"/>
  <c r="Y48" i="5"/>
  <c r="Z48" i="5"/>
  <c r="X77" i="5"/>
  <c r="Y77" i="5"/>
  <c r="Z77" i="5"/>
  <c r="X29" i="5"/>
  <c r="Y29" i="5"/>
  <c r="Z29" i="5"/>
  <c r="X100" i="5"/>
  <c r="Y100" i="5"/>
  <c r="Z100" i="5"/>
  <c r="X96" i="5"/>
  <c r="Y96" i="5"/>
  <c r="Z96" i="5"/>
  <c r="X79" i="5"/>
  <c r="Z79" i="5"/>
  <c r="Y79" i="5"/>
  <c r="Z42" i="5"/>
  <c r="X42" i="5"/>
  <c r="Y42" i="5"/>
  <c r="X81" i="5"/>
  <c r="Y81" i="5"/>
  <c r="Z81" i="5"/>
  <c r="X45" i="5"/>
  <c r="Y45" i="5"/>
  <c r="Z45" i="5"/>
  <c r="Y74" i="5"/>
  <c r="X74" i="5"/>
  <c r="Z74" i="5"/>
  <c r="Y26" i="5"/>
  <c r="Z26" i="5"/>
  <c r="X26" i="5"/>
  <c r="Y94" i="5"/>
  <c r="Z94" i="5"/>
  <c r="X94" i="5"/>
  <c r="X60" i="5"/>
  <c r="Y60" i="5"/>
  <c r="Z60" i="5"/>
  <c r="X73" i="5"/>
  <c r="Y73" i="5"/>
  <c r="Z73" i="5"/>
  <c r="X33" i="5"/>
  <c r="Y33" i="5"/>
  <c r="Z33" i="5"/>
  <c r="Z78" i="5"/>
  <c r="X78" i="5"/>
  <c r="Y78" i="5"/>
  <c r="Y39" i="5"/>
  <c r="X39" i="5"/>
  <c r="Z39" i="5"/>
  <c r="X68" i="5"/>
  <c r="Y68" i="5"/>
  <c r="Z68" i="5"/>
  <c r="X20" i="5"/>
  <c r="Y20" i="5"/>
  <c r="Z20" i="5"/>
  <c r="X88" i="5"/>
  <c r="Y88" i="5"/>
  <c r="Z88" i="5"/>
  <c r="X13" i="5"/>
  <c r="Y13" i="5"/>
  <c r="Z13" i="5"/>
  <c r="Y70" i="5"/>
  <c r="X70" i="5"/>
  <c r="Z70" i="5"/>
  <c r="X27" i="5"/>
  <c r="Y27" i="5"/>
  <c r="Z27" i="5"/>
  <c r="X75" i="5"/>
  <c r="Y75" i="5"/>
  <c r="Z75" i="5"/>
  <c r="X36" i="5"/>
  <c r="Y36" i="5"/>
  <c r="Z36" i="5"/>
  <c r="X65" i="5"/>
  <c r="Y65" i="5"/>
  <c r="Z65" i="5"/>
  <c r="X17" i="5"/>
  <c r="Y17" i="5"/>
  <c r="Z17" i="5"/>
  <c r="Y82" i="5"/>
  <c r="Z82" i="5"/>
  <c r="X82" i="5"/>
  <c r="Y43" i="5"/>
  <c r="X43" i="5"/>
  <c r="Z43" i="5"/>
  <c r="X67" i="5"/>
  <c r="Y67" i="5"/>
  <c r="Z67" i="5"/>
  <c r="X21" i="5"/>
  <c r="Y21" i="5"/>
  <c r="Z21" i="5"/>
  <c r="X72" i="5"/>
  <c r="Y72" i="5"/>
  <c r="Z72" i="5"/>
  <c r="X30" i="5"/>
  <c r="Z30" i="5"/>
  <c r="Y30" i="5"/>
  <c r="Y62" i="5"/>
  <c r="Z62" i="5"/>
  <c r="X62" i="5"/>
  <c r="Z14" i="5"/>
  <c r="Y14" i="5"/>
  <c r="X14" i="5"/>
  <c r="X76" i="5"/>
  <c r="Y76" i="5"/>
  <c r="Z76" i="5"/>
  <c r="X37" i="5"/>
  <c r="Y37" i="5"/>
  <c r="Z37" i="5"/>
  <c r="X64" i="5"/>
  <c r="Y64" i="5"/>
  <c r="Z64" i="5"/>
  <c r="Y15" i="5"/>
  <c r="Z15" i="5"/>
  <c r="X15" i="5"/>
  <c r="X69" i="5"/>
  <c r="Y69" i="5"/>
  <c r="Z69" i="5"/>
  <c r="X24" i="5"/>
  <c r="Y24" i="5"/>
  <c r="Z24" i="5"/>
  <c r="X56" i="5"/>
  <c r="Y56" i="5"/>
  <c r="Z56" i="5"/>
  <c r="X83" i="5"/>
  <c r="Y83" i="5"/>
  <c r="Z83" i="5"/>
  <c r="X52" i="5"/>
  <c r="Y52" i="5"/>
  <c r="Z52" i="5"/>
  <c r="X31" i="5"/>
  <c r="Z31" i="5"/>
  <c r="Y31" i="5"/>
  <c r="X61" i="5"/>
  <c r="Y61" i="5"/>
  <c r="Z61" i="5"/>
  <c r="X12" i="5"/>
  <c r="Y12" i="5"/>
  <c r="Z12" i="5"/>
  <c r="Y66" i="5"/>
  <c r="Z66" i="5"/>
  <c r="X66" i="5"/>
  <c r="Z18" i="5"/>
  <c r="Y18" i="5"/>
  <c r="X18" i="5"/>
  <c r="X53" i="5"/>
  <c r="Y53" i="5"/>
  <c r="Z53" i="5"/>
  <c r="Y71" i="5"/>
  <c r="Z71" i="5"/>
  <c r="X71" i="5"/>
  <c r="X28" i="5"/>
  <c r="Y28" i="5"/>
  <c r="Z28" i="5"/>
  <c r="Y22" i="5"/>
  <c r="Z22" i="5"/>
  <c r="X22" i="5"/>
  <c r="X25" i="5"/>
  <c r="Y25" i="5"/>
  <c r="Z25" i="5"/>
  <c r="Z58" i="5"/>
  <c r="Y58" i="5"/>
  <c r="X58" i="5"/>
  <c r="Y99" i="5"/>
  <c r="X99" i="5"/>
  <c r="Z99" i="5"/>
  <c r="Y63" i="5"/>
  <c r="X63" i="5"/>
  <c r="Z63" i="5"/>
  <c r="Y98" i="5"/>
  <c r="X98" i="5"/>
  <c r="Z98" i="5"/>
  <c r="Y50" i="5"/>
  <c r="Z50" i="5"/>
  <c r="X50" i="5"/>
  <c r="X59" i="5"/>
  <c r="Y59" i="5"/>
  <c r="Z59" i="5"/>
  <c r="X11" i="5"/>
  <c r="Z11" i="5"/>
  <c r="Y11" i="5"/>
  <c r="T8" i="5"/>
  <c r="S74" i="5"/>
  <c r="V22" i="5"/>
  <c r="S22" i="5"/>
  <c r="T22" i="5"/>
  <c r="S54" i="5"/>
  <c r="U61" i="5"/>
  <c r="S96" i="5"/>
  <c r="U96" i="5"/>
  <c r="V81" i="5"/>
  <c r="V89" i="5"/>
  <c r="V4" i="5"/>
  <c r="T74" i="5"/>
  <c r="T24" i="5"/>
  <c r="S24" i="5"/>
  <c r="V24" i="5"/>
  <c r="S81" i="5"/>
  <c r="O60" i="5"/>
  <c r="U9" i="5"/>
  <c r="U81" i="5"/>
  <c r="T9" i="5"/>
  <c r="V9" i="5"/>
  <c r="T96" i="5"/>
  <c r="S58" i="5"/>
  <c r="U89" i="5"/>
  <c r="S90" i="5"/>
  <c r="S63" i="5"/>
  <c r="U74" i="5"/>
  <c r="S61" i="5"/>
  <c r="U54" i="5"/>
  <c r="S60" i="5"/>
  <c r="V60" i="5"/>
  <c r="O81" i="5"/>
  <c r="O62" i="5"/>
  <c r="U33" i="5"/>
  <c r="S88" i="5"/>
  <c r="V90" i="5"/>
  <c r="S48" i="5"/>
  <c r="V48" i="5"/>
  <c r="T91" i="5"/>
  <c r="T49" i="5"/>
  <c r="U91" i="5"/>
  <c r="V41" i="5"/>
  <c r="V99" i="5"/>
  <c r="O57" i="5"/>
  <c r="T89" i="5"/>
  <c r="U52" i="5"/>
  <c r="V54" i="5"/>
  <c r="U88" i="5"/>
  <c r="S65" i="5"/>
  <c r="U57" i="5"/>
  <c r="O74" i="5"/>
  <c r="O34" i="5"/>
  <c r="U45" i="5"/>
  <c r="T84" i="5"/>
  <c r="T65" i="5"/>
  <c r="T41" i="5"/>
  <c r="U41" i="5"/>
  <c r="U34" i="5"/>
  <c r="O33" i="5"/>
  <c r="O91" i="5"/>
  <c r="V91" i="5"/>
  <c r="S52" i="5"/>
  <c r="V63" i="5"/>
  <c r="T34" i="5"/>
  <c r="U93" i="5"/>
  <c r="T90" i="5"/>
  <c r="O63" i="5"/>
  <c r="O90" i="5"/>
  <c r="S34" i="5"/>
  <c r="V33" i="5"/>
  <c r="T38" i="5"/>
  <c r="S85" i="5"/>
  <c r="U64" i="5"/>
  <c r="V87" i="5"/>
  <c r="U14" i="5"/>
  <c r="T21" i="5"/>
  <c r="O89" i="5"/>
  <c r="T79" i="5"/>
  <c r="U63" i="5"/>
  <c r="T62" i="5"/>
  <c r="U87" i="5"/>
  <c r="V21" i="5"/>
  <c r="O61" i="5"/>
  <c r="U67" i="5"/>
  <c r="O35" i="5"/>
  <c r="U62" i="5"/>
  <c r="S87" i="5"/>
  <c r="V62" i="5"/>
  <c r="S12" i="5"/>
  <c r="O80" i="5"/>
  <c r="T45" i="5"/>
  <c r="S49" i="5"/>
  <c r="T60" i="5"/>
  <c r="U86" i="5"/>
  <c r="T33" i="5"/>
  <c r="U56" i="5"/>
  <c r="T80" i="5"/>
  <c r="S50" i="5"/>
  <c r="S40" i="5"/>
  <c r="V79" i="5"/>
  <c r="U4" i="5"/>
  <c r="T57" i="5"/>
  <c r="O64" i="5"/>
  <c r="T30" i="5"/>
  <c r="U58" i="5"/>
  <c r="V86" i="5"/>
  <c r="O79" i="5"/>
  <c r="O58" i="5"/>
  <c r="T39" i="5"/>
  <c r="U35" i="5"/>
  <c r="V61" i="5"/>
  <c r="O45" i="5"/>
  <c r="T35" i="5"/>
  <c r="S27" i="5"/>
  <c r="S45" i="5"/>
  <c r="V80" i="5"/>
  <c r="U80" i="5"/>
  <c r="U50" i="5"/>
  <c r="T48" i="5"/>
  <c r="O22" i="5"/>
  <c r="T86" i="5"/>
  <c r="S28" i="5"/>
  <c r="O28" i="5"/>
  <c r="T58" i="5"/>
  <c r="U5" i="5"/>
  <c r="S21" i="5"/>
  <c r="T52" i="5"/>
  <c r="O87" i="5"/>
  <c r="O27" i="5"/>
  <c r="S99" i="5"/>
  <c r="U83" i="5"/>
  <c r="T42" i="5"/>
  <c r="O30" i="5"/>
  <c r="T99" i="5"/>
  <c r="S56" i="5"/>
  <c r="U12" i="5"/>
  <c r="V42" i="5"/>
  <c r="U40" i="5"/>
  <c r="V56" i="5"/>
  <c r="S43" i="5"/>
  <c r="S30" i="5"/>
  <c r="V30" i="5"/>
  <c r="S64" i="5"/>
  <c r="T12" i="5"/>
  <c r="U82" i="5"/>
  <c r="S25" i="5"/>
  <c r="T83" i="5"/>
  <c r="O83" i="5"/>
  <c r="V83" i="5"/>
  <c r="T64" i="5"/>
  <c r="T82" i="5"/>
  <c r="S44" i="5"/>
  <c r="U27" i="5"/>
  <c r="V40" i="5"/>
  <c r="V27" i="5"/>
  <c r="S16" i="5"/>
  <c r="S26" i="5"/>
  <c r="U79" i="5"/>
  <c r="S80" i="5"/>
  <c r="V57" i="5"/>
  <c r="U44" i="5"/>
  <c r="T26" i="5"/>
  <c r="T16" i="5"/>
  <c r="T14" i="5"/>
  <c r="S42" i="5"/>
  <c r="T93" i="5"/>
  <c r="S59" i="5"/>
  <c r="T94" i="5"/>
  <c r="T71" i="5"/>
  <c r="O42" i="5"/>
  <c r="S46" i="5"/>
  <c r="U28" i="5"/>
  <c r="U75" i="5"/>
  <c r="S92" i="5"/>
  <c r="S97" i="5"/>
  <c r="S20" i="5"/>
  <c r="S5" i="5"/>
  <c r="O99" i="5"/>
  <c r="S8" i="5"/>
  <c r="S94" i="5"/>
  <c r="T69" i="5"/>
  <c r="T7" i="5"/>
  <c r="S15" i="5"/>
  <c r="U10" i="5"/>
  <c r="U78" i="5"/>
  <c r="T20" i="5"/>
  <c r="S69" i="5"/>
  <c r="U23" i="5"/>
  <c r="O86" i="5"/>
  <c r="T59" i="5"/>
  <c r="T19" i="5"/>
  <c r="S23" i="5"/>
  <c r="S76" i="5"/>
  <c r="S55" i="5"/>
  <c r="U26" i="5"/>
  <c r="T28" i="5"/>
  <c r="O41" i="5"/>
  <c r="U77" i="5"/>
  <c r="T97" i="5"/>
  <c r="S35" i="5"/>
  <c r="V17" i="5"/>
  <c r="O17" i="5"/>
  <c r="V72" i="5"/>
  <c r="O72" i="5"/>
  <c r="O37" i="5"/>
  <c r="V37" i="5"/>
  <c r="V38" i="5"/>
  <c r="O38" i="5"/>
  <c r="V77" i="5"/>
  <c r="O77" i="5"/>
  <c r="T95" i="5"/>
  <c r="S77" i="5"/>
  <c r="S100" i="5"/>
  <c r="S37" i="5"/>
  <c r="O39" i="5"/>
  <c r="V39" i="5"/>
  <c r="O40" i="5"/>
  <c r="O50" i="5"/>
  <c r="V50" i="5"/>
  <c r="V25" i="5"/>
  <c r="O25" i="5"/>
  <c r="O24" i="5"/>
  <c r="T10" i="5"/>
  <c r="T4" i="5"/>
  <c r="O8" i="5"/>
  <c r="V8" i="5"/>
  <c r="V14" i="5"/>
  <c r="O14" i="5"/>
  <c r="U8" i="5"/>
  <c r="U31" i="5"/>
  <c r="O53" i="5"/>
  <c r="V53" i="5"/>
  <c r="U29" i="5"/>
  <c r="V71" i="5"/>
  <c r="O71" i="5"/>
  <c r="O70" i="5"/>
  <c r="V70" i="5"/>
  <c r="V32" i="5"/>
  <c r="O32" i="5"/>
  <c r="V11" i="5"/>
  <c r="O11" i="5"/>
  <c r="V49" i="5"/>
  <c r="O49" i="5"/>
  <c r="U85" i="5"/>
  <c r="O75" i="5"/>
  <c r="V75" i="5"/>
  <c r="O92" i="5"/>
  <c r="V92" i="5"/>
  <c r="T92" i="5"/>
  <c r="U72" i="5"/>
  <c r="U70" i="5"/>
  <c r="V94" i="5"/>
  <c r="O94" i="5"/>
  <c r="O56" i="5"/>
  <c r="V47" i="5"/>
  <c r="O47" i="5"/>
  <c r="T47" i="5"/>
  <c r="S47" i="5"/>
  <c r="T31" i="5"/>
  <c r="S72" i="5"/>
  <c r="T15" i="5"/>
  <c r="V95" i="5"/>
  <c r="O95" i="5"/>
  <c r="U71" i="5"/>
  <c r="V66" i="5"/>
  <c r="O66" i="5"/>
  <c r="S66" i="5"/>
  <c r="V88" i="5"/>
  <c r="O88" i="5"/>
  <c r="S78" i="5"/>
  <c r="O43" i="5"/>
  <c r="V43" i="5"/>
  <c r="T17" i="5"/>
  <c r="U37" i="5"/>
  <c r="V85" i="5"/>
  <c r="O85" i="5"/>
  <c r="V67" i="5"/>
  <c r="O67" i="5"/>
  <c r="U55" i="5"/>
  <c r="V82" i="5"/>
  <c r="O82" i="5"/>
  <c r="S75" i="5"/>
  <c r="V46" i="5"/>
  <c r="U46" i="5"/>
  <c r="O46" i="5"/>
  <c r="S29" i="5"/>
  <c r="U39" i="5"/>
  <c r="T37" i="5"/>
  <c r="O21" i="5"/>
  <c r="U6" i="5"/>
  <c r="U36" i="5"/>
  <c r="S11" i="5"/>
  <c r="O9" i="5"/>
  <c r="S4" i="5"/>
  <c r="V16" i="5"/>
  <c r="O16" i="5"/>
  <c r="T66" i="5"/>
  <c r="O54" i="5"/>
  <c r="T78" i="5"/>
  <c r="O65" i="5"/>
  <c r="V65" i="5"/>
  <c r="U51" i="5"/>
  <c r="T76" i="5"/>
  <c r="S18" i="5"/>
  <c r="U25" i="5"/>
  <c r="T32" i="5"/>
  <c r="V44" i="5"/>
  <c r="O44" i="5"/>
  <c r="V73" i="5"/>
  <c r="O73" i="5"/>
  <c r="O96" i="5"/>
  <c r="O6" i="5"/>
  <c r="V6" i="5"/>
  <c r="T70" i="5"/>
  <c r="O98" i="5"/>
  <c r="V98" i="5"/>
  <c r="T98" i="5"/>
  <c r="V97" i="5"/>
  <c r="O97" i="5"/>
  <c r="O69" i="5"/>
  <c r="V69" i="5"/>
  <c r="V84" i="5"/>
  <c r="O84" i="5"/>
  <c r="S38" i="5"/>
  <c r="V23" i="5"/>
  <c r="O23" i="5"/>
  <c r="S17" i="5"/>
  <c r="V13" i="5"/>
  <c r="O13" i="5"/>
  <c r="T6" i="5"/>
  <c r="V19" i="5"/>
  <c r="O19" i="5"/>
  <c r="T18" i="5"/>
  <c r="S7" i="5"/>
  <c r="O31" i="5"/>
  <c r="V31" i="5"/>
  <c r="V29" i="5"/>
  <c r="O29" i="5"/>
  <c r="O52" i="5"/>
  <c r="T67" i="5"/>
  <c r="S32" i="5"/>
  <c r="O59" i="5"/>
  <c r="V59" i="5"/>
  <c r="U11" i="5"/>
  <c r="U13" i="5"/>
  <c r="U19" i="5"/>
  <c r="O5" i="5"/>
  <c r="V5" i="5"/>
  <c r="U17" i="5"/>
  <c r="T68" i="5"/>
  <c r="T53" i="5"/>
  <c r="S73" i="5"/>
  <c r="S68" i="5"/>
  <c r="U66" i="5"/>
  <c r="S51" i="5"/>
  <c r="U98" i="5"/>
  <c r="U84" i="5"/>
  <c r="U53" i="5"/>
  <c r="T43" i="5"/>
  <c r="O93" i="5"/>
  <c r="V93" i="5"/>
  <c r="S53" i="5"/>
  <c r="O48" i="5"/>
  <c r="T11" i="5"/>
  <c r="U95" i="5"/>
  <c r="O51" i="5"/>
  <c r="V51" i="5"/>
  <c r="V7" i="5"/>
  <c r="O7" i="5"/>
  <c r="V76" i="5"/>
  <c r="O76" i="5"/>
  <c r="O55" i="5"/>
  <c r="V55" i="5"/>
  <c r="O68" i="5"/>
  <c r="V68" i="5"/>
  <c r="O18" i="5"/>
  <c r="V18" i="5"/>
  <c r="V100" i="5"/>
  <c r="O100" i="5"/>
  <c r="T100" i="5"/>
  <c r="V78" i="5"/>
  <c r="O78" i="5"/>
  <c r="U73" i="5"/>
  <c r="S70" i="5"/>
  <c r="T73" i="5"/>
  <c r="V26" i="5"/>
  <c r="O26" i="5"/>
  <c r="V15" i="5"/>
  <c r="O15" i="5"/>
  <c r="O36" i="5"/>
  <c r="V36" i="5"/>
  <c r="S36" i="5"/>
  <c r="V10" i="5"/>
  <c r="O10" i="5"/>
  <c r="O12" i="5"/>
  <c r="T29" i="5"/>
  <c r="V20" i="5"/>
  <c r="O20" i="5"/>
  <c r="S13" i="5"/>
  <c r="U2" i="4" a="1"/>
  <c r="L2" i="4" a="1"/>
  <c r="C2" i="4" a="1"/>
  <c r="M102" i="3"/>
  <c r="M104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6" i="3"/>
  <c r="I101" i="3"/>
  <c r="I102" i="3"/>
  <c r="I104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6" i="3"/>
  <c r="D100" i="3"/>
  <c r="D101" i="3"/>
  <c r="D102" i="3"/>
  <c r="D104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AW1" i="3"/>
  <c r="AV1" i="3"/>
  <c r="AU1" i="3"/>
  <c r="AT1" i="3"/>
  <c r="AS1" i="3"/>
  <c r="AR1" i="3"/>
  <c r="AQ1" i="3"/>
  <c r="AP1" i="3"/>
  <c r="AO1" i="3"/>
  <c r="AN1" i="3"/>
  <c r="AM1" i="3"/>
  <c r="AL1" i="3"/>
  <c r="AK1" i="3"/>
  <c r="AJ1" i="3"/>
  <c r="AI1" i="3"/>
  <c r="AW2" i="3"/>
  <c r="AV2" i="3"/>
  <c r="AU2" i="3"/>
  <c r="AT2" i="3"/>
  <c r="AS2" i="3"/>
  <c r="AR2" i="3"/>
  <c r="AQ2" i="3"/>
  <c r="AP2" i="3"/>
  <c r="AO2" i="3"/>
  <c r="AN2" i="3"/>
  <c r="AM2" i="3"/>
  <c r="AL2" i="3"/>
  <c r="AK2" i="3"/>
  <c r="AJ2" i="3"/>
  <c r="AI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AF1" i="3"/>
  <c r="AG1" i="3"/>
  <c r="AB1" i="3"/>
  <c r="AC1" i="3"/>
  <c r="AD1" i="3"/>
  <c r="AE1" i="3"/>
  <c r="T1" i="3"/>
  <c r="U1" i="3"/>
  <c r="V1" i="3"/>
  <c r="W1" i="3"/>
  <c r="X1" i="3"/>
  <c r="Y1" i="3"/>
  <c r="Z1" i="3"/>
  <c r="AA1" i="3"/>
  <c r="S1" i="3"/>
  <c r="B2" i="3" a="1"/>
  <c r="B2" i="3" s="1"/>
  <c r="B3" i="3" a="1"/>
  <c r="B3" i="3" s="1"/>
  <c r="G4" i="2" a="1"/>
  <c r="G4" i="2" s="1"/>
  <c r="G5" i="2" a="1"/>
  <c r="G5" i="2" s="1"/>
  <c r="G6" i="2" a="1"/>
  <c r="G6" i="2" s="1"/>
  <c r="G7" i="2" a="1"/>
  <c r="G7" i="2" s="1"/>
  <c r="G8" i="2" a="1"/>
  <c r="G8" i="2" s="1"/>
  <c r="G9" i="2" a="1"/>
  <c r="G9" i="2" s="1"/>
  <c r="G10" i="2" a="1"/>
  <c r="G10" i="2" s="1"/>
  <c r="G11" i="2" a="1"/>
  <c r="G11" i="2" s="1"/>
  <c r="G12" i="2" a="1"/>
  <c r="G12" i="2" s="1"/>
  <c r="G13" i="2" a="1"/>
  <c r="G13" i="2" s="1"/>
  <c r="G14" i="2" a="1"/>
  <c r="G14" i="2" s="1"/>
  <c r="G15" i="2" a="1"/>
  <c r="G15" i="2" s="1"/>
  <c r="G16" i="2" a="1"/>
  <c r="G16" i="2" s="1"/>
  <c r="G17" i="2" a="1"/>
  <c r="G17" i="2" s="1"/>
  <c r="G18" i="2" a="1"/>
  <c r="G18" i="2" s="1"/>
  <c r="G19" i="2" a="1"/>
  <c r="G19" i="2" s="1"/>
  <c r="G20" i="2" a="1"/>
  <c r="G20" i="2" s="1"/>
  <c r="G21" i="2" a="1"/>
  <c r="G21" i="2" s="1"/>
  <c r="G22" i="2" a="1"/>
  <c r="G22" i="2" s="1"/>
  <c r="G23" i="2" a="1"/>
  <c r="G23" i="2" s="1"/>
  <c r="G24" i="2" a="1"/>
  <c r="G24" i="2" s="1"/>
  <c r="G25" i="2" a="1"/>
  <c r="G25" i="2" s="1"/>
  <c r="G26" i="2" a="1"/>
  <c r="G26" i="2" s="1"/>
  <c r="G27" i="2" a="1"/>
  <c r="G27" i="2" s="1"/>
  <c r="G28" i="2" a="1"/>
  <c r="G28" i="2" s="1"/>
  <c r="G29" i="2" a="1"/>
  <c r="G29" i="2" s="1"/>
  <c r="G30" i="2" a="1"/>
  <c r="G30" i="2" s="1"/>
  <c r="G31" i="2" a="1"/>
  <c r="G31" i="2" s="1"/>
  <c r="G32" i="2" a="1"/>
  <c r="G32" i="2" s="1"/>
  <c r="G33" i="2" a="1"/>
  <c r="G33" i="2" s="1"/>
  <c r="G34" i="2" a="1"/>
  <c r="G34" i="2" s="1"/>
  <c r="G35" i="2" a="1"/>
  <c r="G35" i="2" s="1"/>
  <c r="G36" i="2" a="1"/>
  <c r="G36" i="2" s="1"/>
  <c r="G37" i="2" a="1"/>
  <c r="G37" i="2" s="1"/>
  <c r="G38" i="2" a="1"/>
  <c r="G38" i="2" s="1"/>
  <c r="G39" i="2" a="1"/>
  <c r="G39" i="2" s="1"/>
  <c r="G40" i="2" a="1"/>
  <c r="G40" i="2" s="1"/>
  <c r="G41" i="2" a="1"/>
  <c r="G41" i="2" s="1"/>
  <c r="G42" i="2" a="1"/>
  <c r="G42" i="2" s="1"/>
  <c r="G43" i="2" a="1"/>
  <c r="G43" i="2" s="1"/>
  <c r="G44" i="2" a="1"/>
  <c r="G44" i="2" s="1"/>
  <c r="G45" i="2" a="1"/>
  <c r="G45" i="2" s="1"/>
  <c r="G46" i="2" a="1"/>
  <c r="G46" i="2" s="1"/>
  <c r="G47" i="2" a="1"/>
  <c r="G47" i="2" s="1"/>
  <c r="G48" i="2" a="1"/>
  <c r="G48" i="2" s="1"/>
  <c r="G49" i="2" a="1"/>
  <c r="G49" i="2" s="1"/>
  <c r="G50" i="2" a="1"/>
  <c r="G50" i="2" s="1"/>
  <c r="G51" i="2" a="1"/>
  <c r="G51" i="2" s="1"/>
  <c r="G52" i="2" a="1"/>
  <c r="G52" i="2" s="1"/>
  <c r="G53" i="2" a="1"/>
  <c r="G53" i="2" s="1"/>
  <c r="G54" i="2" a="1"/>
  <c r="G54" i="2" s="1"/>
  <c r="G55" i="2" a="1"/>
  <c r="G55" i="2" s="1"/>
  <c r="G56" i="2" a="1"/>
  <c r="G56" i="2" s="1"/>
  <c r="G57" i="2" a="1"/>
  <c r="G57" i="2" s="1"/>
  <c r="G58" i="2" a="1"/>
  <c r="G58" i="2" s="1"/>
  <c r="G59" i="2" a="1"/>
  <c r="G59" i="2" s="1"/>
  <c r="G60" i="2" a="1"/>
  <c r="G60" i="2" s="1"/>
  <c r="G61" i="2" a="1"/>
  <c r="G61" i="2" s="1"/>
  <c r="G62" i="2" a="1"/>
  <c r="G62" i="2" s="1"/>
  <c r="G63" i="2" a="1"/>
  <c r="G63" i="2" s="1"/>
  <c r="G64" i="2" a="1"/>
  <c r="G64" i="2" s="1"/>
  <c r="G65" i="2" a="1"/>
  <c r="G65" i="2" s="1"/>
  <c r="G66" i="2" a="1"/>
  <c r="G66" i="2" s="1"/>
  <c r="G67" i="2" a="1"/>
  <c r="G67" i="2" s="1"/>
  <c r="G68" i="2" a="1"/>
  <c r="G68" i="2" s="1"/>
  <c r="G69" i="2" a="1"/>
  <c r="G69" i="2" s="1"/>
  <c r="G70" i="2" a="1"/>
  <c r="G70" i="2" s="1"/>
  <c r="G71" i="2" a="1"/>
  <c r="G71" i="2" s="1"/>
  <c r="G72" i="2" a="1"/>
  <c r="G72" i="2" s="1"/>
  <c r="G73" i="2" a="1"/>
  <c r="G73" i="2" s="1"/>
  <c r="G74" i="2" a="1"/>
  <c r="G74" i="2" s="1"/>
  <c r="G75" i="2" a="1"/>
  <c r="G75" i="2" s="1"/>
  <c r="G76" i="2" a="1"/>
  <c r="G76" i="2" s="1"/>
  <c r="G77" i="2" a="1"/>
  <c r="G77" i="2" s="1"/>
  <c r="G78" i="2" a="1"/>
  <c r="G78" i="2" s="1"/>
  <c r="G79" i="2" a="1"/>
  <c r="G79" i="2" s="1"/>
  <c r="G80" i="2" a="1"/>
  <c r="G80" i="2" s="1"/>
  <c r="G81" i="2" a="1"/>
  <c r="G81" i="2" s="1"/>
  <c r="G82" i="2" a="1"/>
  <c r="G82" i="2" s="1"/>
  <c r="G83" i="2" a="1"/>
  <c r="G83" i="2" s="1"/>
  <c r="G84" i="2" a="1"/>
  <c r="G84" i="2" s="1"/>
  <c r="G85" i="2" a="1"/>
  <c r="G85" i="2" s="1"/>
  <c r="G86" i="2" a="1"/>
  <c r="G86" i="2" s="1"/>
  <c r="G87" i="2" a="1"/>
  <c r="G87" i="2" s="1"/>
  <c r="G88" i="2" a="1"/>
  <c r="G88" i="2" s="1"/>
  <c r="G89" i="2" a="1"/>
  <c r="G89" i="2" s="1"/>
  <c r="G90" i="2" a="1"/>
  <c r="G90" i="2" s="1"/>
  <c r="G91" i="2" a="1"/>
  <c r="G91" i="2" s="1"/>
  <c r="G92" i="2" a="1"/>
  <c r="G92" i="2" s="1"/>
  <c r="G93" i="2" a="1"/>
  <c r="G93" i="2" s="1"/>
  <c r="G94" i="2" a="1"/>
  <c r="G94" i="2" s="1"/>
  <c r="G95" i="2" a="1"/>
  <c r="G95" i="2" s="1"/>
  <c r="G96" i="2" a="1"/>
  <c r="G96" i="2" s="1"/>
  <c r="G97" i="2" a="1"/>
  <c r="G97" i="2" s="1"/>
  <c r="G98" i="2" a="1"/>
  <c r="G98" i="2" s="1"/>
  <c r="G99" i="2" a="1"/>
  <c r="G99" i="2" s="1"/>
  <c r="N100" i="2" s="1"/>
  <c r="G3" i="2" a="1"/>
  <c r="G3" i="2" s="1"/>
  <c r="B4" i="2" a="1"/>
  <c r="B4" i="2" s="1"/>
  <c r="C4" i="2" a="1"/>
  <c r="C4" i="2" s="1"/>
  <c r="D4" i="2" a="1"/>
  <c r="D4" i="2" s="1"/>
  <c r="E4" i="2" a="1"/>
  <c r="E4" i="2" s="1"/>
  <c r="B5" i="2" a="1"/>
  <c r="B5" i="2" s="1"/>
  <c r="C5" i="2" a="1"/>
  <c r="C5" i="2" s="1"/>
  <c r="D5" i="2" a="1"/>
  <c r="D5" i="2" s="1"/>
  <c r="E5" i="2" a="1"/>
  <c r="E5" i="2" s="1"/>
  <c r="B6" i="2" a="1"/>
  <c r="B6" i="2" s="1"/>
  <c r="C6" i="2" a="1"/>
  <c r="C6" i="2" s="1"/>
  <c r="D6" i="2" a="1"/>
  <c r="D6" i="2" s="1"/>
  <c r="E6" i="2" a="1"/>
  <c r="E6" i="2" s="1"/>
  <c r="B7" i="2" a="1"/>
  <c r="B7" i="2" s="1"/>
  <c r="C7" i="2" a="1"/>
  <c r="C7" i="2" s="1"/>
  <c r="D7" i="2" a="1"/>
  <c r="D7" i="2" s="1"/>
  <c r="E7" i="2" a="1"/>
  <c r="E7" i="2" s="1"/>
  <c r="B8" i="2" a="1"/>
  <c r="B8" i="2" s="1"/>
  <c r="C8" i="2" a="1"/>
  <c r="C8" i="2" s="1"/>
  <c r="D8" i="2" a="1"/>
  <c r="D8" i="2" s="1"/>
  <c r="E8" i="2" a="1"/>
  <c r="E8" i="2" s="1"/>
  <c r="B9" i="2" a="1"/>
  <c r="B9" i="2" s="1"/>
  <c r="C9" i="2" a="1"/>
  <c r="C9" i="2" s="1"/>
  <c r="D9" i="2" a="1"/>
  <c r="D9" i="2" s="1"/>
  <c r="E9" i="2" a="1"/>
  <c r="E9" i="2" s="1"/>
  <c r="B10" i="2" a="1"/>
  <c r="B10" i="2" s="1"/>
  <c r="C10" i="2" a="1"/>
  <c r="C10" i="2" s="1"/>
  <c r="D10" i="2" a="1"/>
  <c r="D10" i="2" s="1"/>
  <c r="E10" i="2" a="1"/>
  <c r="E10" i="2" s="1"/>
  <c r="B11" i="2" a="1"/>
  <c r="B11" i="2" s="1"/>
  <c r="C11" i="2" a="1"/>
  <c r="C11" i="2" s="1"/>
  <c r="D11" i="2" a="1"/>
  <c r="D11" i="2" s="1"/>
  <c r="E11" i="2" a="1"/>
  <c r="E11" i="2" s="1"/>
  <c r="B12" i="2" a="1"/>
  <c r="B12" i="2" s="1"/>
  <c r="C12" i="2" a="1"/>
  <c r="C12" i="2" s="1"/>
  <c r="D12" i="2" a="1"/>
  <c r="D12" i="2" s="1"/>
  <c r="E12" i="2" a="1"/>
  <c r="E12" i="2" s="1"/>
  <c r="B13" i="2" a="1"/>
  <c r="B13" i="2" s="1"/>
  <c r="C13" i="2" a="1"/>
  <c r="C13" i="2" s="1"/>
  <c r="D13" i="2" a="1"/>
  <c r="D13" i="2" s="1"/>
  <c r="E13" i="2" a="1"/>
  <c r="E13" i="2" s="1"/>
  <c r="B14" i="2" a="1"/>
  <c r="B14" i="2" s="1"/>
  <c r="C14" i="2" a="1"/>
  <c r="C14" i="2" s="1"/>
  <c r="D14" i="2" a="1"/>
  <c r="D14" i="2" s="1"/>
  <c r="E14" i="2" a="1"/>
  <c r="E14" i="2" s="1"/>
  <c r="B15" i="2" a="1"/>
  <c r="B15" i="2" s="1"/>
  <c r="C15" i="2" a="1"/>
  <c r="C15" i="2" s="1"/>
  <c r="D15" i="2" a="1"/>
  <c r="D15" i="2" s="1"/>
  <c r="E15" i="2" a="1"/>
  <c r="E15" i="2" s="1"/>
  <c r="B16" i="2" a="1"/>
  <c r="B16" i="2" s="1"/>
  <c r="C16" i="2" a="1"/>
  <c r="C16" i="2" s="1"/>
  <c r="D16" i="2" a="1"/>
  <c r="D16" i="2" s="1"/>
  <c r="E16" i="2" a="1"/>
  <c r="E16" i="2" s="1"/>
  <c r="B17" i="2" a="1"/>
  <c r="B17" i="2" s="1"/>
  <c r="C17" i="2" a="1"/>
  <c r="C17" i="2" s="1"/>
  <c r="D17" i="2" a="1"/>
  <c r="D17" i="2" s="1"/>
  <c r="E17" i="2" a="1"/>
  <c r="E17" i="2" s="1"/>
  <c r="B18" i="2" a="1"/>
  <c r="B18" i="2" s="1"/>
  <c r="C18" i="2" a="1"/>
  <c r="C18" i="2" s="1"/>
  <c r="D18" i="2" a="1"/>
  <c r="D18" i="2" s="1"/>
  <c r="E18" i="2" a="1"/>
  <c r="E18" i="2" s="1"/>
  <c r="B19" i="2" a="1"/>
  <c r="B19" i="2" s="1"/>
  <c r="C19" i="2" a="1"/>
  <c r="C19" i="2" s="1"/>
  <c r="D19" i="2" a="1"/>
  <c r="D19" i="2" s="1"/>
  <c r="E19" i="2" a="1"/>
  <c r="E19" i="2" s="1"/>
  <c r="B20" i="2" a="1"/>
  <c r="B20" i="2" s="1"/>
  <c r="C20" i="2" a="1"/>
  <c r="C20" i="2" s="1"/>
  <c r="D20" i="2" a="1"/>
  <c r="D20" i="2" s="1"/>
  <c r="E20" i="2" a="1"/>
  <c r="E20" i="2" s="1"/>
  <c r="B21" i="2" a="1"/>
  <c r="B21" i="2" s="1"/>
  <c r="C21" i="2" a="1"/>
  <c r="C21" i="2" s="1"/>
  <c r="D21" i="2" a="1"/>
  <c r="D21" i="2" s="1"/>
  <c r="E21" i="2" a="1"/>
  <c r="E21" i="2" s="1"/>
  <c r="B22" i="2" a="1"/>
  <c r="B22" i="2" s="1"/>
  <c r="C22" i="2" a="1"/>
  <c r="C22" i="2" s="1"/>
  <c r="D22" i="2" a="1"/>
  <c r="D22" i="2" s="1"/>
  <c r="E22" i="2" a="1"/>
  <c r="E22" i="2" s="1"/>
  <c r="B23" i="2" a="1"/>
  <c r="B23" i="2" s="1"/>
  <c r="C23" i="2" a="1"/>
  <c r="C23" i="2" s="1"/>
  <c r="D23" i="2" a="1"/>
  <c r="D23" i="2" s="1"/>
  <c r="E23" i="2" a="1"/>
  <c r="E23" i="2" s="1"/>
  <c r="B24" i="2" a="1"/>
  <c r="B24" i="2" s="1"/>
  <c r="C24" i="2" a="1"/>
  <c r="C24" i="2" s="1"/>
  <c r="D24" i="2" a="1"/>
  <c r="D24" i="2" s="1"/>
  <c r="E24" i="2" a="1"/>
  <c r="E24" i="2" s="1"/>
  <c r="B25" i="2" a="1"/>
  <c r="B25" i="2" s="1"/>
  <c r="C25" i="2" a="1"/>
  <c r="C25" i="2" s="1"/>
  <c r="D25" i="2" a="1"/>
  <c r="D25" i="2" s="1"/>
  <c r="E25" i="2" a="1"/>
  <c r="E25" i="2" s="1"/>
  <c r="B26" i="2" a="1"/>
  <c r="B26" i="2" s="1"/>
  <c r="C26" i="2" a="1"/>
  <c r="C26" i="2" s="1"/>
  <c r="D26" i="2" a="1"/>
  <c r="D26" i="2" s="1"/>
  <c r="E26" i="2" a="1"/>
  <c r="E26" i="2" s="1"/>
  <c r="B27" i="2" a="1"/>
  <c r="B27" i="2" s="1"/>
  <c r="C27" i="2" a="1"/>
  <c r="C27" i="2" s="1"/>
  <c r="D27" i="2" a="1"/>
  <c r="D27" i="2" s="1"/>
  <c r="E27" i="2" a="1"/>
  <c r="E27" i="2" s="1"/>
  <c r="B28" i="2" a="1"/>
  <c r="B28" i="2" s="1"/>
  <c r="C28" i="2" a="1"/>
  <c r="C28" i="2" s="1"/>
  <c r="D28" i="2" a="1"/>
  <c r="D28" i="2" s="1"/>
  <c r="E28" i="2" a="1"/>
  <c r="E28" i="2" s="1"/>
  <c r="B29" i="2" a="1"/>
  <c r="B29" i="2" s="1"/>
  <c r="C29" i="2" a="1"/>
  <c r="C29" i="2" s="1"/>
  <c r="D29" i="2" a="1"/>
  <c r="D29" i="2" s="1"/>
  <c r="E29" i="2" a="1"/>
  <c r="E29" i="2" s="1"/>
  <c r="B30" i="2" a="1"/>
  <c r="B30" i="2" s="1"/>
  <c r="C30" i="2" a="1"/>
  <c r="C30" i="2" s="1"/>
  <c r="D30" i="2" a="1"/>
  <c r="D30" i="2" s="1"/>
  <c r="E30" i="2" a="1"/>
  <c r="E30" i="2" s="1"/>
  <c r="B31" i="2" a="1"/>
  <c r="B31" i="2" s="1"/>
  <c r="C31" i="2" a="1"/>
  <c r="C31" i="2" s="1"/>
  <c r="D31" i="2" a="1"/>
  <c r="D31" i="2" s="1"/>
  <c r="E31" i="2" a="1"/>
  <c r="E31" i="2" s="1"/>
  <c r="B32" i="2" a="1"/>
  <c r="B32" i="2" s="1"/>
  <c r="C32" i="2" a="1"/>
  <c r="C32" i="2" s="1"/>
  <c r="D32" i="2" a="1"/>
  <c r="D32" i="2" s="1"/>
  <c r="E32" i="2" a="1"/>
  <c r="E32" i="2" s="1"/>
  <c r="B33" i="2" a="1"/>
  <c r="B33" i="2" s="1"/>
  <c r="C33" i="2" a="1"/>
  <c r="C33" i="2" s="1"/>
  <c r="D33" i="2" a="1"/>
  <c r="D33" i="2" s="1"/>
  <c r="E33" i="2" a="1"/>
  <c r="E33" i="2" s="1"/>
  <c r="B34" i="2" a="1"/>
  <c r="B34" i="2" s="1"/>
  <c r="C34" i="2" a="1"/>
  <c r="C34" i="2" s="1"/>
  <c r="D34" i="2" a="1"/>
  <c r="D34" i="2" s="1"/>
  <c r="E34" i="2" a="1"/>
  <c r="E34" i="2" s="1"/>
  <c r="B35" i="2" a="1"/>
  <c r="B35" i="2" s="1"/>
  <c r="C35" i="2" a="1"/>
  <c r="C35" i="2" s="1"/>
  <c r="D35" i="2" a="1"/>
  <c r="D35" i="2" s="1"/>
  <c r="E35" i="2" a="1"/>
  <c r="E35" i="2" s="1"/>
  <c r="B36" i="2" a="1"/>
  <c r="B36" i="2" s="1"/>
  <c r="C36" i="2" a="1"/>
  <c r="C36" i="2" s="1"/>
  <c r="D36" i="2" a="1"/>
  <c r="D36" i="2" s="1"/>
  <c r="E36" i="2" a="1"/>
  <c r="E36" i="2" s="1"/>
  <c r="B37" i="2" a="1"/>
  <c r="B37" i="2" s="1"/>
  <c r="C37" i="2" a="1"/>
  <c r="C37" i="2" s="1"/>
  <c r="D37" i="2" a="1"/>
  <c r="D37" i="2" s="1"/>
  <c r="E37" i="2" a="1"/>
  <c r="E37" i="2" s="1"/>
  <c r="B38" i="2" a="1"/>
  <c r="B38" i="2" s="1"/>
  <c r="C38" i="2" a="1"/>
  <c r="C38" i="2" s="1"/>
  <c r="D38" i="2" a="1"/>
  <c r="D38" i="2" s="1"/>
  <c r="E38" i="2" a="1"/>
  <c r="E38" i="2" s="1"/>
  <c r="B39" i="2" a="1"/>
  <c r="B39" i="2" s="1"/>
  <c r="C39" i="2" a="1"/>
  <c r="C39" i="2" s="1"/>
  <c r="D39" i="2" a="1"/>
  <c r="D39" i="2" s="1"/>
  <c r="E39" i="2" a="1"/>
  <c r="E39" i="2" s="1"/>
  <c r="B40" i="2" a="1"/>
  <c r="B40" i="2" s="1"/>
  <c r="C40" i="2" a="1"/>
  <c r="C40" i="2" s="1"/>
  <c r="D40" i="2" a="1"/>
  <c r="D40" i="2" s="1"/>
  <c r="E40" i="2" a="1"/>
  <c r="E40" i="2" s="1"/>
  <c r="B41" i="2" a="1"/>
  <c r="B41" i="2" s="1"/>
  <c r="C41" i="2" a="1"/>
  <c r="C41" i="2" s="1"/>
  <c r="D41" i="2" a="1"/>
  <c r="D41" i="2" s="1"/>
  <c r="E41" i="2" a="1"/>
  <c r="E41" i="2" s="1"/>
  <c r="B42" i="2" a="1"/>
  <c r="B42" i="2" s="1"/>
  <c r="C42" i="2" a="1"/>
  <c r="C42" i="2" s="1"/>
  <c r="D42" i="2" a="1"/>
  <c r="D42" i="2" s="1"/>
  <c r="E42" i="2" a="1"/>
  <c r="E42" i="2" s="1"/>
  <c r="B43" i="2" a="1"/>
  <c r="B43" i="2" s="1"/>
  <c r="C43" i="2" a="1"/>
  <c r="C43" i="2" s="1"/>
  <c r="D43" i="2" a="1"/>
  <c r="D43" i="2" s="1"/>
  <c r="E43" i="2" a="1"/>
  <c r="E43" i="2" s="1"/>
  <c r="B44" i="2" a="1"/>
  <c r="B44" i="2" s="1"/>
  <c r="C44" i="2" a="1"/>
  <c r="C44" i="2" s="1"/>
  <c r="D44" i="2" a="1"/>
  <c r="D44" i="2" s="1"/>
  <c r="E44" i="2" a="1"/>
  <c r="E44" i="2" s="1"/>
  <c r="B45" i="2" a="1"/>
  <c r="B45" i="2" s="1"/>
  <c r="C45" i="2" a="1"/>
  <c r="C45" i="2" s="1"/>
  <c r="D45" i="2" a="1"/>
  <c r="D45" i="2" s="1"/>
  <c r="E45" i="2" a="1"/>
  <c r="E45" i="2" s="1"/>
  <c r="B46" i="2" a="1"/>
  <c r="B46" i="2" s="1"/>
  <c r="C46" i="2" a="1"/>
  <c r="C46" i="2" s="1"/>
  <c r="D46" i="2" a="1"/>
  <c r="D46" i="2" s="1"/>
  <c r="E46" i="2" a="1"/>
  <c r="E46" i="2" s="1"/>
  <c r="B47" i="2" a="1"/>
  <c r="B47" i="2" s="1"/>
  <c r="C47" i="2" a="1"/>
  <c r="C47" i="2" s="1"/>
  <c r="D47" i="2" a="1"/>
  <c r="D47" i="2" s="1"/>
  <c r="E47" i="2" a="1"/>
  <c r="E47" i="2" s="1"/>
  <c r="B48" i="2" a="1"/>
  <c r="B48" i="2" s="1"/>
  <c r="C48" i="2" a="1"/>
  <c r="C48" i="2" s="1"/>
  <c r="D48" i="2" a="1"/>
  <c r="D48" i="2" s="1"/>
  <c r="E48" i="2" a="1"/>
  <c r="E48" i="2" s="1"/>
  <c r="B49" i="2" a="1"/>
  <c r="B49" i="2" s="1"/>
  <c r="C49" i="2" a="1"/>
  <c r="C49" i="2" s="1"/>
  <c r="D49" i="2" a="1"/>
  <c r="D49" i="2" s="1"/>
  <c r="E49" i="2" a="1"/>
  <c r="E49" i="2" s="1"/>
  <c r="B50" i="2" a="1"/>
  <c r="B50" i="2" s="1"/>
  <c r="C50" i="2" a="1"/>
  <c r="C50" i="2" s="1"/>
  <c r="D50" i="2" a="1"/>
  <c r="D50" i="2" s="1"/>
  <c r="E50" i="2" a="1"/>
  <c r="E50" i="2" s="1"/>
  <c r="B51" i="2" a="1"/>
  <c r="B51" i="2" s="1"/>
  <c r="C51" i="2" a="1"/>
  <c r="C51" i="2" s="1"/>
  <c r="D51" i="2" a="1"/>
  <c r="D51" i="2" s="1"/>
  <c r="E51" i="2" a="1"/>
  <c r="E51" i="2" s="1"/>
  <c r="B52" i="2" a="1"/>
  <c r="B52" i="2" s="1"/>
  <c r="C52" i="2" a="1"/>
  <c r="C52" i="2" s="1"/>
  <c r="D52" i="2" a="1"/>
  <c r="D52" i="2" s="1"/>
  <c r="E52" i="2" a="1"/>
  <c r="E52" i="2" s="1"/>
  <c r="B53" i="2" a="1"/>
  <c r="B53" i="2" s="1"/>
  <c r="C53" i="2" a="1"/>
  <c r="C53" i="2" s="1"/>
  <c r="D53" i="2" a="1"/>
  <c r="D53" i="2" s="1"/>
  <c r="E53" i="2" a="1"/>
  <c r="E53" i="2" s="1"/>
  <c r="B54" i="2" a="1"/>
  <c r="B54" i="2" s="1"/>
  <c r="C54" i="2" a="1"/>
  <c r="C54" i="2" s="1"/>
  <c r="D54" i="2" a="1"/>
  <c r="D54" i="2" s="1"/>
  <c r="E54" i="2" a="1"/>
  <c r="E54" i="2" s="1"/>
  <c r="B55" i="2" a="1"/>
  <c r="B55" i="2" s="1"/>
  <c r="C55" i="2" a="1"/>
  <c r="C55" i="2" s="1"/>
  <c r="D55" i="2" a="1"/>
  <c r="D55" i="2" s="1"/>
  <c r="E55" i="2" a="1"/>
  <c r="E55" i="2" s="1"/>
  <c r="B56" i="2" a="1"/>
  <c r="B56" i="2" s="1"/>
  <c r="C56" i="2" a="1"/>
  <c r="C56" i="2" s="1"/>
  <c r="D56" i="2" a="1"/>
  <c r="D56" i="2" s="1"/>
  <c r="E56" i="2" a="1"/>
  <c r="E56" i="2" s="1"/>
  <c r="B57" i="2" a="1"/>
  <c r="B57" i="2" s="1"/>
  <c r="C57" i="2" a="1"/>
  <c r="C57" i="2" s="1"/>
  <c r="D57" i="2" a="1"/>
  <c r="D57" i="2" s="1"/>
  <c r="E57" i="2" a="1"/>
  <c r="E57" i="2" s="1"/>
  <c r="B58" i="2" a="1"/>
  <c r="B58" i="2" s="1"/>
  <c r="C58" i="2" a="1"/>
  <c r="C58" i="2" s="1"/>
  <c r="D58" i="2" a="1"/>
  <c r="D58" i="2" s="1"/>
  <c r="E58" i="2" a="1"/>
  <c r="E58" i="2" s="1"/>
  <c r="B59" i="2" a="1"/>
  <c r="B59" i="2" s="1"/>
  <c r="C59" i="2" a="1"/>
  <c r="C59" i="2" s="1"/>
  <c r="D59" i="2" a="1"/>
  <c r="D59" i="2" s="1"/>
  <c r="E59" i="2" a="1"/>
  <c r="E59" i="2" s="1"/>
  <c r="B60" i="2" a="1"/>
  <c r="B60" i="2" s="1"/>
  <c r="C60" i="2" a="1"/>
  <c r="C60" i="2" s="1"/>
  <c r="D60" i="2" a="1"/>
  <c r="D60" i="2" s="1"/>
  <c r="E60" i="2" a="1"/>
  <c r="E60" i="2" s="1"/>
  <c r="B61" i="2" a="1"/>
  <c r="B61" i="2" s="1"/>
  <c r="C61" i="2" a="1"/>
  <c r="C61" i="2" s="1"/>
  <c r="D61" i="2" a="1"/>
  <c r="D61" i="2" s="1"/>
  <c r="E61" i="2" a="1"/>
  <c r="E61" i="2" s="1"/>
  <c r="B62" i="2" a="1"/>
  <c r="B62" i="2" s="1"/>
  <c r="C62" i="2" a="1"/>
  <c r="C62" i="2" s="1"/>
  <c r="D62" i="2" a="1"/>
  <c r="D62" i="2" s="1"/>
  <c r="E62" i="2" a="1"/>
  <c r="E62" i="2" s="1"/>
  <c r="B63" i="2" a="1"/>
  <c r="B63" i="2" s="1"/>
  <c r="C63" i="2" a="1"/>
  <c r="C63" i="2" s="1"/>
  <c r="D63" i="2" a="1"/>
  <c r="D63" i="2" s="1"/>
  <c r="E63" i="2" a="1"/>
  <c r="E63" i="2" s="1"/>
  <c r="B64" i="2" a="1"/>
  <c r="B64" i="2" s="1"/>
  <c r="C64" i="2" a="1"/>
  <c r="C64" i="2" s="1"/>
  <c r="D64" i="2" a="1"/>
  <c r="D64" i="2" s="1"/>
  <c r="E64" i="2" a="1"/>
  <c r="E64" i="2" s="1"/>
  <c r="B65" i="2" a="1"/>
  <c r="B65" i="2" s="1"/>
  <c r="C65" i="2" a="1"/>
  <c r="C65" i="2" s="1"/>
  <c r="D65" i="2" a="1"/>
  <c r="D65" i="2" s="1"/>
  <c r="E65" i="2" a="1"/>
  <c r="E65" i="2" s="1"/>
  <c r="B66" i="2" a="1"/>
  <c r="B66" i="2" s="1"/>
  <c r="C66" i="2" a="1"/>
  <c r="C66" i="2" s="1"/>
  <c r="D66" i="2" a="1"/>
  <c r="D66" i="2" s="1"/>
  <c r="E66" i="2" a="1"/>
  <c r="E66" i="2" s="1"/>
  <c r="B67" i="2" a="1"/>
  <c r="B67" i="2" s="1"/>
  <c r="C67" i="2" a="1"/>
  <c r="C67" i="2" s="1"/>
  <c r="D67" i="2" a="1"/>
  <c r="D67" i="2" s="1"/>
  <c r="E67" i="2" a="1"/>
  <c r="E67" i="2" s="1"/>
  <c r="B68" i="2" a="1"/>
  <c r="B68" i="2" s="1"/>
  <c r="C68" i="2" a="1"/>
  <c r="C68" i="2" s="1"/>
  <c r="D68" i="2" a="1"/>
  <c r="D68" i="2" s="1"/>
  <c r="E68" i="2" a="1"/>
  <c r="E68" i="2" s="1"/>
  <c r="B69" i="2" a="1"/>
  <c r="B69" i="2" s="1"/>
  <c r="C69" i="2" a="1"/>
  <c r="C69" i="2" s="1"/>
  <c r="D69" i="2" a="1"/>
  <c r="D69" i="2" s="1"/>
  <c r="E69" i="2" a="1"/>
  <c r="E69" i="2" s="1"/>
  <c r="B70" i="2" a="1"/>
  <c r="B70" i="2" s="1"/>
  <c r="C70" i="2" a="1"/>
  <c r="C70" i="2" s="1"/>
  <c r="D70" i="2" a="1"/>
  <c r="D70" i="2" s="1"/>
  <c r="E70" i="2" a="1"/>
  <c r="E70" i="2" s="1"/>
  <c r="B71" i="2" a="1"/>
  <c r="B71" i="2" s="1"/>
  <c r="C71" i="2" a="1"/>
  <c r="C71" i="2" s="1"/>
  <c r="D71" i="2" a="1"/>
  <c r="D71" i="2" s="1"/>
  <c r="E71" i="2" a="1"/>
  <c r="E71" i="2" s="1"/>
  <c r="B72" i="2" a="1"/>
  <c r="B72" i="2" s="1"/>
  <c r="C72" i="2" a="1"/>
  <c r="C72" i="2" s="1"/>
  <c r="D72" i="2" a="1"/>
  <c r="D72" i="2" s="1"/>
  <c r="E72" i="2" a="1"/>
  <c r="E72" i="2" s="1"/>
  <c r="B73" i="2" a="1"/>
  <c r="B73" i="2" s="1"/>
  <c r="C73" i="2" a="1"/>
  <c r="C73" i="2" s="1"/>
  <c r="D73" i="2" a="1"/>
  <c r="D73" i="2" s="1"/>
  <c r="E73" i="2" a="1"/>
  <c r="E73" i="2" s="1"/>
  <c r="B74" i="2" a="1"/>
  <c r="B74" i="2" s="1"/>
  <c r="C74" i="2" a="1"/>
  <c r="C74" i="2" s="1"/>
  <c r="D74" i="2" a="1"/>
  <c r="D74" i="2" s="1"/>
  <c r="E74" i="2" a="1"/>
  <c r="E74" i="2" s="1"/>
  <c r="B75" i="2" a="1"/>
  <c r="B75" i="2" s="1"/>
  <c r="C75" i="2" a="1"/>
  <c r="C75" i="2" s="1"/>
  <c r="D75" i="2" a="1"/>
  <c r="D75" i="2" s="1"/>
  <c r="E75" i="2" a="1"/>
  <c r="E75" i="2" s="1"/>
  <c r="B76" i="2" a="1"/>
  <c r="B76" i="2" s="1"/>
  <c r="C76" i="2" a="1"/>
  <c r="C76" i="2" s="1"/>
  <c r="D76" i="2" a="1"/>
  <c r="D76" i="2" s="1"/>
  <c r="E76" i="2" a="1"/>
  <c r="E76" i="2" s="1"/>
  <c r="B77" i="2" a="1"/>
  <c r="B77" i="2" s="1"/>
  <c r="C77" i="2" a="1"/>
  <c r="C77" i="2" s="1"/>
  <c r="D77" i="2" a="1"/>
  <c r="D77" i="2" s="1"/>
  <c r="E77" i="2" a="1"/>
  <c r="E77" i="2" s="1"/>
  <c r="B78" i="2" a="1"/>
  <c r="B78" i="2" s="1"/>
  <c r="C78" i="2" a="1"/>
  <c r="C78" i="2" s="1"/>
  <c r="D78" i="2" a="1"/>
  <c r="D78" i="2" s="1"/>
  <c r="E78" i="2" a="1"/>
  <c r="E78" i="2" s="1"/>
  <c r="B79" i="2" a="1"/>
  <c r="B79" i="2" s="1"/>
  <c r="C79" i="2" a="1"/>
  <c r="C79" i="2" s="1"/>
  <c r="D79" i="2" a="1"/>
  <c r="D79" i="2" s="1"/>
  <c r="E79" i="2" a="1"/>
  <c r="E79" i="2" s="1"/>
  <c r="B80" i="2" a="1"/>
  <c r="B80" i="2" s="1"/>
  <c r="C80" i="2" a="1"/>
  <c r="C80" i="2" s="1"/>
  <c r="D80" i="2" a="1"/>
  <c r="D80" i="2" s="1"/>
  <c r="E80" i="2" a="1"/>
  <c r="E80" i="2" s="1"/>
  <c r="B81" i="2" a="1"/>
  <c r="B81" i="2" s="1"/>
  <c r="C81" i="2" a="1"/>
  <c r="C81" i="2" s="1"/>
  <c r="D81" i="2" a="1"/>
  <c r="D81" i="2" s="1"/>
  <c r="E81" i="2" a="1"/>
  <c r="E81" i="2" s="1"/>
  <c r="B82" i="2" a="1"/>
  <c r="B82" i="2" s="1"/>
  <c r="C82" i="2" a="1"/>
  <c r="C82" i="2" s="1"/>
  <c r="D82" i="2" a="1"/>
  <c r="D82" i="2" s="1"/>
  <c r="E82" i="2" a="1"/>
  <c r="E82" i="2" s="1"/>
  <c r="B83" i="2" a="1"/>
  <c r="B83" i="2" s="1"/>
  <c r="C83" i="2" a="1"/>
  <c r="C83" i="2" s="1"/>
  <c r="D83" i="2" a="1"/>
  <c r="D83" i="2" s="1"/>
  <c r="E83" i="2" a="1"/>
  <c r="E83" i="2" s="1"/>
  <c r="B84" i="2" a="1"/>
  <c r="B84" i="2" s="1"/>
  <c r="C84" i="2" a="1"/>
  <c r="C84" i="2" s="1"/>
  <c r="D84" i="2" a="1"/>
  <c r="D84" i="2" s="1"/>
  <c r="E84" i="2" a="1"/>
  <c r="E84" i="2" s="1"/>
  <c r="B85" i="2" a="1"/>
  <c r="B85" i="2" s="1"/>
  <c r="C85" i="2" a="1"/>
  <c r="C85" i="2" s="1"/>
  <c r="D85" i="2" a="1"/>
  <c r="D85" i="2" s="1"/>
  <c r="E85" i="2" a="1"/>
  <c r="E85" i="2" s="1"/>
  <c r="B86" i="2" a="1"/>
  <c r="B86" i="2" s="1"/>
  <c r="C86" i="2" a="1"/>
  <c r="C86" i="2" s="1"/>
  <c r="D86" i="2" a="1"/>
  <c r="D86" i="2" s="1"/>
  <c r="E86" i="2" a="1"/>
  <c r="E86" i="2" s="1"/>
  <c r="B87" i="2" a="1"/>
  <c r="B87" i="2" s="1"/>
  <c r="C87" i="2" a="1"/>
  <c r="C87" i="2" s="1"/>
  <c r="D87" i="2" a="1"/>
  <c r="D87" i="2" s="1"/>
  <c r="E87" i="2" a="1"/>
  <c r="E87" i="2" s="1"/>
  <c r="B88" i="2" a="1"/>
  <c r="B88" i="2" s="1"/>
  <c r="C88" i="2" a="1"/>
  <c r="C88" i="2" s="1"/>
  <c r="D88" i="2" a="1"/>
  <c r="D88" i="2" s="1"/>
  <c r="E88" i="2" a="1"/>
  <c r="E88" i="2" s="1"/>
  <c r="B89" i="2" a="1"/>
  <c r="B89" i="2" s="1"/>
  <c r="C89" i="2" a="1"/>
  <c r="C89" i="2" s="1"/>
  <c r="D89" i="2" a="1"/>
  <c r="D89" i="2" s="1"/>
  <c r="E89" i="2" a="1"/>
  <c r="E89" i="2" s="1"/>
  <c r="B90" i="2" a="1"/>
  <c r="B90" i="2" s="1"/>
  <c r="C90" i="2" a="1"/>
  <c r="C90" i="2" s="1"/>
  <c r="D90" i="2" a="1"/>
  <c r="D90" i="2" s="1"/>
  <c r="E90" i="2" a="1"/>
  <c r="E90" i="2" s="1"/>
  <c r="B91" i="2" a="1"/>
  <c r="B91" i="2" s="1"/>
  <c r="C91" i="2" a="1"/>
  <c r="C91" i="2" s="1"/>
  <c r="D91" i="2" a="1"/>
  <c r="D91" i="2" s="1"/>
  <c r="E91" i="2" a="1"/>
  <c r="E91" i="2" s="1"/>
  <c r="B92" i="2" a="1"/>
  <c r="B92" i="2" s="1"/>
  <c r="C92" i="2" a="1"/>
  <c r="C92" i="2" s="1"/>
  <c r="D92" i="2" a="1"/>
  <c r="D92" i="2" s="1"/>
  <c r="E92" i="2" a="1"/>
  <c r="E92" i="2" s="1"/>
  <c r="B93" i="2" a="1"/>
  <c r="B93" i="2" s="1"/>
  <c r="C93" i="2" a="1"/>
  <c r="C93" i="2" s="1"/>
  <c r="D93" i="2" a="1"/>
  <c r="D93" i="2" s="1"/>
  <c r="E93" i="2" a="1"/>
  <c r="E93" i="2" s="1"/>
  <c r="B94" i="2" a="1"/>
  <c r="B94" i="2" s="1"/>
  <c r="C94" i="2" a="1"/>
  <c r="C94" i="2" s="1"/>
  <c r="D94" i="2" a="1"/>
  <c r="D94" i="2" s="1"/>
  <c r="E94" i="2" a="1"/>
  <c r="E94" i="2" s="1"/>
  <c r="B95" i="2" a="1"/>
  <c r="B95" i="2" s="1"/>
  <c r="C95" i="2" a="1"/>
  <c r="C95" i="2" s="1"/>
  <c r="D95" i="2" a="1"/>
  <c r="D95" i="2" s="1"/>
  <c r="E95" i="2" a="1"/>
  <c r="E95" i="2" s="1"/>
  <c r="B96" i="2" a="1"/>
  <c r="B96" i="2" s="1"/>
  <c r="C96" i="2" a="1"/>
  <c r="C96" i="2" s="1"/>
  <c r="D96" i="2" a="1"/>
  <c r="D96" i="2" s="1"/>
  <c r="E96" i="2" a="1"/>
  <c r="E96" i="2" s="1"/>
  <c r="B97" i="2" a="1"/>
  <c r="B97" i="2" s="1"/>
  <c r="C97" i="2" a="1"/>
  <c r="C97" i="2" s="1"/>
  <c r="D97" i="2" a="1"/>
  <c r="D97" i="2" s="1"/>
  <c r="E97" i="2" a="1"/>
  <c r="E97" i="2" s="1"/>
  <c r="B98" i="2" a="1"/>
  <c r="B98" i="2" s="1"/>
  <c r="C98" i="2" a="1"/>
  <c r="C98" i="2" s="1"/>
  <c r="D98" i="2" a="1"/>
  <c r="D98" i="2" s="1"/>
  <c r="E98" i="2" a="1"/>
  <c r="E98" i="2" s="1"/>
  <c r="B99" i="2" a="1"/>
  <c r="B99" i="2" s="1"/>
  <c r="C99" i="2" a="1"/>
  <c r="C99" i="2" s="1"/>
  <c r="D99" i="2" a="1"/>
  <c r="D99" i="2" s="1"/>
  <c r="E99" i="2" a="1"/>
  <c r="E99" i="2" s="1"/>
  <c r="C3" i="2" a="1"/>
  <c r="C3" i="2" s="1"/>
  <c r="D3" i="2" a="1"/>
  <c r="D3" i="2" s="1"/>
  <c r="E3" i="2" a="1"/>
  <c r="E3" i="2" s="1"/>
  <c r="A4" i="2"/>
  <c r="Y4" i="2" l="1"/>
  <c r="K100" i="2"/>
  <c r="J100" i="2"/>
  <c r="I100" i="2"/>
  <c r="L100" i="2"/>
  <c r="X4" i="2"/>
  <c r="X5" i="2" s="1"/>
  <c r="X6" i="2" s="1"/>
  <c r="X7" i="2" s="1"/>
  <c r="X8" i="2" s="1"/>
  <c r="X9" i="2" s="1"/>
  <c r="X10" i="2" s="1"/>
  <c r="X11" i="2" s="1"/>
  <c r="X12" i="2" s="1"/>
  <c r="X13" i="2" s="1"/>
  <c r="X14" i="2" s="1"/>
  <c r="X15" i="2" s="1"/>
  <c r="X16" i="2" s="1"/>
  <c r="X17" i="2" s="1"/>
  <c r="X18" i="2" s="1"/>
  <c r="X19" i="2" s="1"/>
  <c r="X20" i="2" s="1"/>
  <c r="X21" i="2" s="1"/>
  <c r="X22" i="2" s="1"/>
  <c r="X23" i="2" s="1"/>
  <c r="X24" i="2" s="1"/>
  <c r="X25" i="2" s="1"/>
  <c r="X26" i="2" s="1"/>
  <c r="X27" i="2" s="1"/>
  <c r="X28" i="2" s="1"/>
  <c r="X29" i="2" s="1"/>
  <c r="X30" i="2" s="1"/>
  <c r="X31" i="2" s="1"/>
  <c r="X32" i="2" s="1"/>
  <c r="X33" i="2" s="1"/>
  <c r="X34" i="2" s="1"/>
  <c r="X35" i="2" s="1"/>
  <c r="X36" i="2" s="1"/>
  <c r="X37" i="2" s="1"/>
  <c r="X38" i="2" s="1"/>
  <c r="X39" i="2" s="1"/>
  <c r="X40" i="2" s="1"/>
  <c r="X41" i="2" s="1"/>
  <c r="X42" i="2" s="1"/>
  <c r="X43" i="2" s="1"/>
  <c r="X44" i="2" s="1"/>
  <c r="X45" i="2" s="1"/>
  <c r="X46" i="2" s="1"/>
  <c r="X47" i="2" s="1"/>
  <c r="X48" i="2" s="1"/>
  <c r="X49" i="2" s="1"/>
  <c r="X50" i="2" s="1"/>
  <c r="X51" i="2" s="1"/>
  <c r="X52" i="2" s="1"/>
  <c r="X53" i="2" s="1"/>
  <c r="X54" i="2" s="1"/>
  <c r="X55" i="2" s="1"/>
  <c r="X56" i="2" s="1"/>
  <c r="X57" i="2" s="1"/>
  <c r="X58" i="2" s="1"/>
  <c r="X59" i="2" s="1"/>
  <c r="X60" i="2" s="1"/>
  <c r="X61" i="2" s="1"/>
  <c r="X62" i="2" s="1"/>
  <c r="X63" i="2" s="1"/>
  <c r="X64" i="2" s="1"/>
  <c r="X65" i="2" s="1"/>
  <c r="X66" i="2" s="1"/>
  <c r="X67" i="2" s="1"/>
  <c r="X68" i="2" s="1"/>
  <c r="X69" i="2" s="1"/>
  <c r="X70" i="2" s="1"/>
  <c r="X71" i="2" s="1"/>
  <c r="X72" i="2" s="1"/>
  <c r="X73" i="2" s="1"/>
  <c r="X74" i="2" s="1"/>
  <c r="X75" i="2" s="1"/>
  <c r="X76" i="2" s="1"/>
  <c r="X77" i="2" s="1"/>
  <c r="X78" i="2" s="1"/>
  <c r="X79" i="2" s="1"/>
  <c r="X80" i="2" s="1"/>
  <c r="X81" i="2" s="1"/>
  <c r="X82" i="2" s="1"/>
  <c r="X83" i="2" s="1"/>
  <c r="X84" i="2" s="1"/>
  <c r="X85" i="2" s="1"/>
  <c r="X86" i="2" s="1"/>
  <c r="X87" i="2" s="1"/>
  <c r="X88" i="2" s="1"/>
  <c r="X89" i="2" s="1"/>
  <c r="X90" i="2" s="1"/>
  <c r="X91" i="2" s="1"/>
  <c r="X92" i="2" s="1"/>
  <c r="X93" i="2" s="1"/>
  <c r="X94" i="2" s="1"/>
  <c r="X95" i="2" s="1"/>
  <c r="X96" i="2" s="1"/>
  <c r="X97" i="2" s="1"/>
  <c r="X98" i="2" s="1"/>
  <c r="X99" i="2" s="1"/>
  <c r="X100" i="2" s="1"/>
  <c r="X101" i="2" s="1"/>
  <c r="X102" i="2" s="1"/>
  <c r="X103" i="2" s="1"/>
  <c r="X104" i="2" s="1"/>
  <c r="X105" i="2" s="1"/>
  <c r="W4" i="2"/>
  <c r="W5" i="2" s="1"/>
  <c r="W6" i="2" s="1"/>
  <c r="W7" i="2" s="1"/>
  <c r="W8" i="2" s="1"/>
  <c r="W9" i="2" s="1"/>
  <c r="W10" i="2" s="1"/>
  <c r="W11" i="2" s="1"/>
  <c r="W12" i="2" s="1"/>
  <c r="W13" i="2" s="1"/>
  <c r="W14" i="2" s="1"/>
  <c r="W15" i="2" s="1"/>
  <c r="W16" i="2" s="1"/>
  <c r="W17" i="2" s="1"/>
  <c r="W18" i="2" s="1"/>
  <c r="W19" i="2" s="1"/>
  <c r="W20" i="2" s="1"/>
  <c r="W21" i="2" s="1"/>
  <c r="W22" i="2" s="1"/>
  <c r="W23" i="2" s="1"/>
  <c r="W24" i="2" s="1"/>
  <c r="W25" i="2" s="1"/>
  <c r="W26" i="2" s="1"/>
  <c r="W27" i="2" s="1"/>
  <c r="W28" i="2" s="1"/>
  <c r="W29" i="2" s="1"/>
  <c r="W30" i="2" s="1"/>
  <c r="W31" i="2" s="1"/>
  <c r="W32" i="2" s="1"/>
  <c r="W33" i="2" s="1"/>
  <c r="W34" i="2" s="1"/>
  <c r="W35" i="2" s="1"/>
  <c r="W36" i="2" s="1"/>
  <c r="W37" i="2" s="1"/>
  <c r="W38" i="2" s="1"/>
  <c r="W39" i="2" s="1"/>
  <c r="W40" i="2" s="1"/>
  <c r="W41" i="2" s="1"/>
  <c r="W42" i="2" s="1"/>
  <c r="W43" i="2" s="1"/>
  <c r="W44" i="2" s="1"/>
  <c r="W45" i="2" s="1"/>
  <c r="W46" i="2" s="1"/>
  <c r="W47" i="2" s="1"/>
  <c r="W48" i="2" s="1"/>
  <c r="W49" i="2" s="1"/>
  <c r="W50" i="2" s="1"/>
  <c r="W51" i="2" s="1"/>
  <c r="W52" i="2" s="1"/>
  <c r="W53" i="2" s="1"/>
  <c r="W54" i="2" s="1"/>
  <c r="W55" i="2" s="1"/>
  <c r="W56" i="2" s="1"/>
  <c r="W57" i="2" s="1"/>
  <c r="W58" i="2" s="1"/>
  <c r="W59" i="2" s="1"/>
  <c r="W60" i="2" s="1"/>
  <c r="W61" i="2" s="1"/>
  <c r="W62" i="2" s="1"/>
  <c r="W63" i="2" s="1"/>
  <c r="W64" i="2" s="1"/>
  <c r="W65" i="2" s="1"/>
  <c r="W66" i="2" s="1"/>
  <c r="W67" i="2" s="1"/>
  <c r="W68" i="2" s="1"/>
  <c r="W69" i="2" s="1"/>
  <c r="W70" i="2" s="1"/>
  <c r="W71" i="2" s="1"/>
  <c r="W72" i="2" s="1"/>
  <c r="W73" i="2" s="1"/>
  <c r="W74" i="2" s="1"/>
  <c r="W75" i="2" s="1"/>
  <c r="W76" i="2" s="1"/>
  <c r="W77" i="2" s="1"/>
  <c r="W78" i="2" s="1"/>
  <c r="W79" i="2" s="1"/>
  <c r="W80" i="2" s="1"/>
  <c r="W81" i="2" s="1"/>
  <c r="W82" i="2" s="1"/>
  <c r="W83" i="2" s="1"/>
  <c r="W84" i="2" s="1"/>
  <c r="W85" i="2" s="1"/>
  <c r="W86" i="2" s="1"/>
  <c r="W87" i="2" s="1"/>
  <c r="W88" i="2" s="1"/>
  <c r="W89" i="2" s="1"/>
  <c r="W90" i="2" s="1"/>
  <c r="W91" i="2" s="1"/>
  <c r="W92" i="2" s="1"/>
  <c r="W93" i="2" s="1"/>
  <c r="W94" i="2" s="1"/>
  <c r="W95" i="2" s="1"/>
  <c r="W96" i="2" s="1"/>
  <c r="W97" i="2" s="1"/>
  <c r="W98" i="2" s="1"/>
  <c r="W99" i="2" s="1"/>
  <c r="W100" i="2" s="1"/>
  <c r="W101" i="2" s="1"/>
  <c r="W102" i="2" s="1"/>
  <c r="W103" i="2" s="1"/>
  <c r="W104" i="2" s="1"/>
  <c r="W105" i="2" s="1"/>
  <c r="V4" i="2"/>
  <c r="V5" i="2" s="1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V44" i="2" s="1"/>
  <c r="V45" i="2" s="1"/>
  <c r="V46" i="2" s="1"/>
  <c r="V47" i="2" s="1"/>
  <c r="V48" i="2" s="1"/>
  <c r="V49" i="2" s="1"/>
  <c r="V50" i="2" s="1"/>
  <c r="V51" i="2" s="1"/>
  <c r="V52" i="2" s="1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V67" i="2" s="1"/>
  <c r="V68" i="2" s="1"/>
  <c r="V69" i="2" s="1"/>
  <c r="V70" i="2" s="1"/>
  <c r="V71" i="2" s="1"/>
  <c r="V72" i="2" s="1"/>
  <c r="V73" i="2" s="1"/>
  <c r="V74" i="2" s="1"/>
  <c r="V75" i="2" s="1"/>
  <c r="V76" i="2" s="1"/>
  <c r="V77" i="2" s="1"/>
  <c r="V78" i="2" s="1"/>
  <c r="V79" i="2" s="1"/>
  <c r="V80" i="2" s="1"/>
  <c r="V81" i="2" s="1"/>
  <c r="V82" i="2" s="1"/>
  <c r="V83" i="2" s="1"/>
  <c r="V84" i="2" s="1"/>
  <c r="V85" i="2" s="1"/>
  <c r="V86" i="2" s="1"/>
  <c r="V87" i="2" s="1"/>
  <c r="V88" i="2" s="1"/>
  <c r="V89" i="2" s="1"/>
  <c r="V90" i="2" s="1"/>
  <c r="V91" i="2" s="1"/>
  <c r="V92" i="2" s="1"/>
  <c r="V93" i="2" s="1"/>
  <c r="V94" i="2" s="1"/>
  <c r="V95" i="2" s="1"/>
  <c r="V96" i="2" s="1"/>
  <c r="V97" i="2" s="1"/>
  <c r="V98" i="2" s="1"/>
  <c r="V99" i="2" s="1"/>
  <c r="V100" i="2" s="1"/>
  <c r="V101" i="2" s="1"/>
  <c r="V102" i="2" s="1"/>
  <c r="V103" i="2" s="1"/>
  <c r="V104" i="2" s="1"/>
  <c r="V105" i="2" s="1"/>
  <c r="U4" i="2"/>
  <c r="U5" i="2" s="1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U50" i="2" s="1"/>
  <c r="U51" i="2" s="1"/>
  <c r="U52" i="2" s="1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U67" i="2" s="1"/>
  <c r="U68" i="2" s="1"/>
  <c r="U69" i="2" s="1"/>
  <c r="U70" i="2" s="1"/>
  <c r="U71" i="2" s="1"/>
  <c r="U72" i="2" s="1"/>
  <c r="U73" i="2" s="1"/>
  <c r="U74" i="2" s="1"/>
  <c r="U75" i="2" s="1"/>
  <c r="U76" i="2" s="1"/>
  <c r="U77" i="2" s="1"/>
  <c r="U78" i="2" s="1"/>
  <c r="U79" i="2" s="1"/>
  <c r="U80" i="2" s="1"/>
  <c r="U81" i="2" s="1"/>
  <c r="U82" i="2" s="1"/>
  <c r="U83" i="2" s="1"/>
  <c r="U84" i="2" s="1"/>
  <c r="U85" i="2" s="1"/>
  <c r="U86" i="2" s="1"/>
  <c r="U87" i="2" s="1"/>
  <c r="U88" i="2" s="1"/>
  <c r="U89" i="2" s="1"/>
  <c r="U90" i="2" s="1"/>
  <c r="U91" i="2" s="1"/>
  <c r="U92" i="2" s="1"/>
  <c r="U93" i="2" s="1"/>
  <c r="U94" i="2" s="1"/>
  <c r="U95" i="2" s="1"/>
  <c r="U96" i="2" s="1"/>
  <c r="U97" i="2" s="1"/>
  <c r="U98" i="2" s="1"/>
  <c r="U99" i="2" s="1"/>
  <c r="U100" i="2" s="1"/>
  <c r="U101" i="2" s="1"/>
  <c r="U102" i="2" s="1"/>
  <c r="U103" i="2" s="1"/>
  <c r="U104" i="2" s="1"/>
  <c r="U105" i="2" s="1"/>
  <c r="A5" i="2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C121" i="5"/>
  <c r="AJ121" i="5"/>
  <c r="AJ122" i="5"/>
  <c r="I6" i="5"/>
  <c r="Q6" i="5"/>
  <c r="A8" i="5"/>
  <c r="U2" i="4"/>
  <c r="Y2" i="4" s="1"/>
  <c r="V2" i="4"/>
  <c r="W2" i="4"/>
  <c r="AA2" i="4" s="1"/>
  <c r="L2" i="4"/>
  <c r="P2" i="4" s="1"/>
  <c r="M2" i="4"/>
  <c r="N2" i="4"/>
  <c r="R2" i="4" s="1"/>
  <c r="E2" i="4"/>
  <c r="I2" i="4" s="1"/>
  <c r="D2" i="4"/>
  <c r="H2" i="4" s="1"/>
  <c r="C2" i="4"/>
  <c r="F89" i="2"/>
  <c r="F77" i="2"/>
  <c r="F78" i="2"/>
  <c r="F90" i="2"/>
  <c r="F65" i="2"/>
  <c r="F53" i="2"/>
  <c r="K4" i="2"/>
  <c r="I63" i="2"/>
  <c r="I57" i="2"/>
  <c r="I51" i="2"/>
  <c r="I45" i="2"/>
  <c r="I39" i="2"/>
  <c r="I33" i="2"/>
  <c r="I27" i="2"/>
  <c r="I15" i="2"/>
  <c r="I9" i="2"/>
  <c r="K40" i="2"/>
  <c r="K37" i="2"/>
  <c r="K34" i="2"/>
  <c r="K31" i="2"/>
  <c r="K28" i="2"/>
  <c r="K25" i="2"/>
  <c r="K22" i="2"/>
  <c r="K19" i="2"/>
  <c r="K16" i="2"/>
  <c r="K13" i="2"/>
  <c r="K10" i="2"/>
  <c r="F87" i="2"/>
  <c r="F66" i="2"/>
  <c r="F54" i="2"/>
  <c r="N97" i="2"/>
  <c r="N85" i="2"/>
  <c r="N73" i="2"/>
  <c r="N61" i="2"/>
  <c r="N49" i="2"/>
  <c r="N37" i="2"/>
  <c r="N25" i="2"/>
  <c r="N13" i="2"/>
  <c r="J98" i="2"/>
  <c r="J95" i="2"/>
  <c r="N91" i="2"/>
  <c r="N79" i="2"/>
  <c r="N67" i="2"/>
  <c r="N55" i="2"/>
  <c r="N43" i="2"/>
  <c r="N31" i="2"/>
  <c r="N19" i="2"/>
  <c r="N7" i="2"/>
  <c r="I98" i="2"/>
  <c r="I92" i="2"/>
  <c r="I83" i="2"/>
  <c r="I77" i="2"/>
  <c r="I68" i="2"/>
  <c r="I62" i="2"/>
  <c r="I95" i="2"/>
  <c r="I86" i="2"/>
  <c r="I80" i="2"/>
  <c r="I74" i="2"/>
  <c r="I65" i="2"/>
  <c r="I69" i="2"/>
  <c r="I21" i="2"/>
  <c r="F41" i="2"/>
  <c r="F29" i="2"/>
  <c r="F17" i="2"/>
  <c r="F5" i="2"/>
  <c r="L58" i="2"/>
  <c r="L55" i="2"/>
  <c r="L52" i="2"/>
  <c r="L49" i="2"/>
  <c r="L46" i="2"/>
  <c r="L43" i="2"/>
  <c r="L40" i="2"/>
  <c r="L37" i="2"/>
  <c r="L34" i="2"/>
  <c r="L31" i="2"/>
  <c r="L28" i="2"/>
  <c r="L25" i="2"/>
  <c r="L22" i="2"/>
  <c r="L19" i="2"/>
  <c r="L16" i="2"/>
  <c r="L13" i="2"/>
  <c r="L10" i="2"/>
  <c r="L7" i="2"/>
  <c r="N11" i="2"/>
  <c r="N94" i="2"/>
  <c r="N82" i="2"/>
  <c r="N58" i="2"/>
  <c r="N46" i="2"/>
  <c r="N34" i="2"/>
  <c r="N22" i="2"/>
  <c r="N10" i="2"/>
  <c r="I56" i="2"/>
  <c r="I53" i="2"/>
  <c r="I50" i="2"/>
  <c r="I47" i="2"/>
  <c r="I44" i="2"/>
  <c r="I41" i="2"/>
  <c r="I38" i="2"/>
  <c r="I35" i="2"/>
  <c r="I32" i="2"/>
  <c r="I26" i="2"/>
  <c r="I20" i="2"/>
  <c r="I17" i="2"/>
  <c r="I14" i="2"/>
  <c r="I11" i="2"/>
  <c r="I8" i="2"/>
  <c r="I5" i="2"/>
  <c r="N44" i="2"/>
  <c r="N32" i="2"/>
  <c r="N8" i="2"/>
  <c r="K7" i="2"/>
  <c r="J14" i="2"/>
  <c r="N90" i="2"/>
  <c r="N78" i="2"/>
  <c r="N66" i="2"/>
  <c r="N54" i="2"/>
  <c r="N18" i="2"/>
  <c r="N6" i="2"/>
  <c r="L99" i="2"/>
  <c r="L96" i="2"/>
  <c r="L93" i="2"/>
  <c r="L81" i="2"/>
  <c r="L72" i="2"/>
  <c r="L69" i="2"/>
  <c r="L60" i="2"/>
  <c r="L57" i="2"/>
  <c r="L45" i="2"/>
  <c r="L36" i="2"/>
  <c r="L9" i="2"/>
  <c r="L6" i="2"/>
  <c r="N29" i="2"/>
  <c r="N17" i="2"/>
  <c r="J99" i="2"/>
  <c r="J93" i="2"/>
  <c r="J87" i="2"/>
  <c r="J81" i="2"/>
  <c r="J78" i="2"/>
  <c r="J75" i="2"/>
  <c r="J72" i="2"/>
  <c r="J69" i="2"/>
  <c r="J66" i="2"/>
  <c r="J63" i="2"/>
  <c r="J60" i="2"/>
  <c r="J57" i="2"/>
  <c r="J54" i="2"/>
  <c r="J51" i="2"/>
  <c r="J48" i="2"/>
  <c r="J45" i="2"/>
  <c r="J42" i="2"/>
  <c r="J39" i="2"/>
  <c r="J36" i="2"/>
  <c r="J33" i="2"/>
  <c r="J30" i="2"/>
  <c r="J27" i="2"/>
  <c r="J24" i="2"/>
  <c r="J21" i="2"/>
  <c r="J18" i="2"/>
  <c r="J15" i="2"/>
  <c r="J12" i="2"/>
  <c r="J9" i="2"/>
  <c r="J6" i="2"/>
  <c r="N98" i="2"/>
  <c r="N86" i="2"/>
  <c r="N74" i="2"/>
  <c r="N62" i="2"/>
  <c r="N50" i="2"/>
  <c r="N38" i="2"/>
  <c r="I7" i="2"/>
  <c r="N96" i="2"/>
  <c r="N84" i="2"/>
  <c r="N72" i="2"/>
  <c r="N60" i="2"/>
  <c r="N48" i="2"/>
  <c r="N36" i="2"/>
  <c r="N24" i="2"/>
  <c r="N12" i="2"/>
  <c r="J92" i="2"/>
  <c r="J89" i="2"/>
  <c r="J86" i="2"/>
  <c r="J83" i="2"/>
  <c r="J80" i="2"/>
  <c r="J77" i="2"/>
  <c r="J74" i="2"/>
  <c r="J71" i="2"/>
  <c r="J68" i="2"/>
  <c r="J62" i="2"/>
  <c r="J56" i="2"/>
  <c r="J50" i="2"/>
  <c r="J44" i="2"/>
  <c r="J38" i="2"/>
  <c r="J32" i="2"/>
  <c r="J26" i="2"/>
  <c r="J20" i="2"/>
  <c r="J8" i="2"/>
  <c r="I90" i="2"/>
  <c r="L97" i="2"/>
  <c r="L94" i="2"/>
  <c r="L91" i="2"/>
  <c r="L88" i="2"/>
  <c r="L85" i="2"/>
  <c r="L82" i="2"/>
  <c r="L79" i="2"/>
  <c r="L76" i="2"/>
  <c r="L73" i="2"/>
  <c r="L70" i="2"/>
  <c r="L67" i="2"/>
  <c r="L64" i="2"/>
  <c r="L61" i="2"/>
  <c r="N92" i="2"/>
  <c r="N80" i="2"/>
  <c r="N68" i="2"/>
  <c r="N56" i="2"/>
  <c r="N20" i="2"/>
  <c r="J88" i="2"/>
  <c r="J82" i="2"/>
  <c r="J76" i="2"/>
  <c r="J70" i="2"/>
  <c r="J64" i="2"/>
  <c r="J58" i="2"/>
  <c r="J52" i="2"/>
  <c r="J46" i="2"/>
  <c r="J40" i="2"/>
  <c r="J34" i="2"/>
  <c r="J28" i="2"/>
  <c r="J22" i="2"/>
  <c r="J16" i="2"/>
  <c r="J10" i="2"/>
  <c r="I94" i="2"/>
  <c r="I88" i="2"/>
  <c r="I82" i="2"/>
  <c r="I76" i="2"/>
  <c r="I70" i="2"/>
  <c r="I64" i="2"/>
  <c r="I58" i="2"/>
  <c r="I52" i="2"/>
  <c r="I46" i="2"/>
  <c r="I40" i="2"/>
  <c r="I34" i="2"/>
  <c r="I28" i="2"/>
  <c r="I22" i="2"/>
  <c r="I10" i="2"/>
  <c r="K99" i="2"/>
  <c r="K96" i="2"/>
  <c r="K93" i="2"/>
  <c r="K90" i="2"/>
  <c r="K87" i="2"/>
  <c r="K84" i="2"/>
  <c r="K81" i="2"/>
  <c r="K78" i="2"/>
  <c r="K75" i="2"/>
  <c r="K72" i="2"/>
  <c r="K69" i="2"/>
  <c r="K66" i="2"/>
  <c r="K63" i="2"/>
  <c r="K60" i="2"/>
  <c r="K57" i="2"/>
  <c r="K54" i="2"/>
  <c r="K51" i="2"/>
  <c r="K48" i="2"/>
  <c r="K45" i="2"/>
  <c r="K42" i="2"/>
  <c r="K39" i="2"/>
  <c r="K36" i="2"/>
  <c r="K33" i="2"/>
  <c r="K30" i="2"/>
  <c r="K27" i="2"/>
  <c r="K24" i="2"/>
  <c r="K21" i="2"/>
  <c r="K18" i="2"/>
  <c r="K15" i="2"/>
  <c r="K12" i="2"/>
  <c r="K9" i="2"/>
  <c r="K6" i="2"/>
  <c r="K91" i="2"/>
  <c r="K79" i="2"/>
  <c r="K67" i="2"/>
  <c r="K55" i="2"/>
  <c r="J94" i="2"/>
  <c r="I97" i="2"/>
  <c r="I91" i="2"/>
  <c r="I85" i="2"/>
  <c r="I79" i="2"/>
  <c r="I73" i="2"/>
  <c r="I67" i="2"/>
  <c r="I61" i="2"/>
  <c r="I55" i="2"/>
  <c r="I49" i="2"/>
  <c r="I43" i="2"/>
  <c r="I37" i="2"/>
  <c r="I31" i="2"/>
  <c r="I25" i="2"/>
  <c r="I19" i="2"/>
  <c r="I13" i="2"/>
  <c r="N89" i="2"/>
  <c r="N77" i="2"/>
  <c r="N65" i="2"/>
  <c r="N53" i="2"/>
  <c r="N41" i="2"/>
  <c r="K94" i="2"/>
  <c r="K85" i="2"/>
  <c r="K73" i="2"/>
  <c r="K64" i="2"/>
  <c r="K52" i="2"/>
  <c r="J97" i="2"/>
  <c r="L84" i="2"/>
  <c r="L75" i="2"/>
  <c r="L63" i="2"/>
  <c r="L51" i="2"/>
  <c r="L48" i="2"/>
  <c r="L42" i="2"/>
  <c r="L39" i="2"/>
  <c r="L33" i="2"/>
  <c r="L30" i="2"/>
  <c r="L27" i="2"/>
  <c r="L24" i="2"/>
  <c r="L21" i="2"/>
  <c r="L18" i="2"/>
  <c r="L15" i="2"/>
  <c r="L12" i="2"/>
  <c r="N88" i="2"/>
  <c r="N76" i="2"/>
  <c r="N64" i="2"/>
  <c r="N52" i="2"/>
  <c r="N40" i="2"/>
  <c r="N87" i="2"/>
  <c r="I93" i="2"/>
  <c r="I81" i="2"/>
  <c r="I75" i="2"/>
  <c r="I99" i="2"/>
  <c r="I87" i="2"/>
  <c r="L98" i="2"/>
  <c r="L95" i="2"/>
  <c r="L92" i="2"/>
  <c r="L86" i="2"/>
  <c r="L83" i="2"/>
  <c r="L80" i="2"/>
  <c r="L74" i="2"/>
  <c r="L71" i="2"/>
  <c r="L68" i="2"/>
  <c r="L62" i="2"/>
  <c r="L59" i="2"/>
  <c r="L56" i="2"/>
  <c r="L50" i="2"/>
  <c r="L47" i="2"/>
  <c r="L44" i="2"/>
  <c r="L38" i="2"/>
  <c r="L35" i="2"/>
  <c r="L32" i="2"/>
  <c r="L26" i="2"/>
  <c r="L23" i="2"/>
  <c r="L20" i="2"/>
  <c r="L14" i="2"/>
  <c r="L11" i="2"/>
  <c r="L8" i="2"/>
  <c r="K98" i="2"/>
  <c r="K95" i="2"/>
  <c r="K92" i="2"/>
  <c r="K89" i="2"/>
  <c r="K86" i="2"/>
  <c r="K83" i="2"/>
  <c r="K80" i="2"/>
  <c r="K77" i="2"/>
  <c r="K74" i="2"/>
  <c r="K71" i="2"/>
  <c r="K68" i="2"/>
  <c r="K65" i="2"/>
  <c r="K62" i="2"/>
  <c r="K59" i="2"/>
  <c r="K56" i="2"/>
  <c r="K53" i="2"/>
  <c r="K50" i="2"/>
  <c r="K47" i="2"/>
  <c r="K44" i="2"/>
  <c r="K41" i="2"/>
  <c r="K38" i="2"/>
  <c r="K35" i="2"/>
  <c r="K32" i="2"/>
  <c r="K29" i="2"/>
  <c r="K26" i="2"/>
  <c r="K23" i="2"/>
  <c r="K20" i="2"/>
  <c r="K17" i="2"/>
  <c r="K14" i="2"/>
  <c r="K11" i="2"/>
  <c r="K8" i="2"/>
  <c r="K5" i="2"/>
  <c r="N95" i="2"/>
  <c r="N83" i="2"/>
  <c r="N71" i="2"/>
  <c r="N59" i="2"/>
  <c r="N47" i="2"/>
  <c r="N35" i="2"/>
  <c r="N23" i="2"/>
  <c r="J65" i="2"/>
  <c r="J59" i="2"/>
  <c r="J53" i="2"/>
  <c r="J47" i="2"/>
  <c r="J41" i="2"/>
  <c r="J35" i="2"/>
  <c r="J29" i="2"/>
  <c r="J23" i="2"/>
  <c r="J17" i="2"/>
  <c r="J11" i="2"/>
  <c r="J5" i="2"/>
  <c r="N70" i="2"/>
  <c r="I72" i="2"/>
  <c r="I60" i="2"/>
  <c r="I30" i="2"/>
  <c r="I24" i="2"/>
  <c r="N93" i="2"/>
  <c r="N81" i="2"/>
  <c r="N69" i="2"/>
  <c r="N57" i="2"/>
  <c r="N45" i="2"/>
  <c r="N33" i="2"/>
  <c r="N21" i="2"/>
  <c r="N9" i="2"/>
  <c r="K88" i="2"/>
  <c r="K76" i="2"/>
  <c r="K61" i="2"/>
  <c r="K49" i="2"/>
  <c r="K43" i="2"/>
  <c r="I16" i="2"/>
  <c r="K97" i="2"/>
  <c r="K82" i="2"/>
  <c r="K70" i="2"/>
  <c r="K58" i="2"/>
  <c r="K46" i="2"/>
  <c r="J91" i="2"/>
  <c r="J85" i="2"/>
  <c r="J79" i="2"/>
  <c r="J73" i="2"/>
  <c r="J67" i="2"/>
  <c r="J61" i="2"/>
  <c r="J55" i="2"/>
  <c r="J49" i="2"/>
  <c r="J43" i="2"/>
  <c r="J37" i="2"/>
  <c r="J31" i="2"/>
  <c r="J25" i="2"/>
  <c r="J19" i="2"/>
  <c r="J13" i="2"/>
  <c r="J7" i="2"/>
  <c r="I36" i="2"/>
  <c r="I42" i="2"/>
  <c r="I48" i="2"/>
  <c r="I78" i="2"/>
  <c r="I84" i="2"/>
  <c r="J84" i="2"/>
  <c r="J90" i="2"/>
  <c r="J96" i="2"/>
  <c r="I96" i="2"/>
  <c r="F42" i="2"/>
  <c r="F30" i="2"/>
  <c r="F18" i="2"/>
  <c r="F6" i="2"/>
  <c r="L54" i="2"/>
  <c r="L66" i="2"/>
  <c r="L78" i="2"/>
  <c r="L90" i="2"/>
  <c r="I12" i="2"/>
  <c r="I54" i="2"/>
  <c r="I66" i="2"/>
  <c r="I6" i="2"/>
  <c r="I18" i="2"/>
  <c r="F4" i="2"/>
  <c r="N14" i="2"/>
  <c r="N16" i="2"/>
  <c r="N26" i="2"/>
  <c r="N28" i="2"/>
  <c r="N30" i="2"/>
  <c r="N42" i="2"/>
  <c r="F99" i="2"/>
  <c r="F75" i="2"/>
  <c r="F63" i="2"/>
  <c r="F51" i="2"/>
  <c r="F39" i="2"/>
  <c r="F27" i="2"/>
  <c r="F15" i="2"/>
  <c r="I23" i="2"/>
  <c r="I29" i="2"/>
  <c r="I59" i="2"/>
  <c r="I71" i="2"/>
  <c r="I89" i="2"/>
  <c r="L5" i="2"/>
  <c r="L17" i="2"/>
  <c r="L29" i="2"/>
  <c r="L41" i="2"/>
  <c r="L53" i="2"/>
  <c r="L65" i="2"/>
  <c r="L77" i="2"/>
  <c r="L87" i="2"/>
  <c r="L89" i="2"/>
  <c r="F34" i="2"/>
  <c r="F22" i="2"/>
  <c r="F10" i="2"/>
  <c r="N5" i="2"/>
  <c r="N15" i="2"/>
  <c r="N27" i="2"/>
  <c r="N39" i="2"/>
  <c r="N51" i="2"/>
  <c r="N63" i="2"/>
  <c r="N75" i="2"/>
  <c r="N99" i="2"/>
  <c r="F97" i="2"/>
  <c r="F85" i="2"/>
  <c r="F73" i="2"/>
  <c r="F61" i="2"/>
  <c r="F49" i="2"/>
  <c r="F37" i="2"/>
  <c r="F25" i="2"/>
  <c r="F13" i="2"/>
  <c r="F98" i="2"/>
  <c r="F86" i="2"/>
  <c r="F74" i="2"/>
  <c r="F62" i="2"/>
  <c r="F50" i="2"/>
  <c r="F38" i="2"/>
  <c r="F26" i="2"/>
  <c r="F14" i="2"/>
  <c r="F96" i="2"/>
  <c r="F84" i="2"/>
  <c r="F72" i="2"/>
  <c r="F60" i="2"/>
  <c r="F48" i="2"/>
  <c r="F36" i="2"/>
  <c r="F24" i="2"/>
  <c r="F12" i="2"/>
  <c r="F95" i="2"/>
  <c r="F83" i="2"/>
  <c r="F71" i="2"/>
  <c r="F59" i="2"/>
  <c r="F47" i="2"/>
  <c r="F35" i="2"/>
  <c r="F23" i="2"/>
  <c r="F11" i="2"/>
  <c r="F94" i="2"/>
  <c r="F82" i="2"/>
  <c r="F70" i="2"/>
  <c r="F58" i="2"/>
  <c r="F46" i="2"/>
  <c r="F93" i="2"/>
  <c r="F81" i="2"/>
  <c r="F69" i="2"/>
  <c r="F57" i="2"/>
  <c r="F45" i="2"/>
  <c r="F33" i="2"/>
  <c r="F21" i="2"/>
  <c r="F9" i="2"/>
  <c r="F92" i="2"/>
  <c r="F80" i="2"/>
  <c r="F68" i="2"/>
  <c r="F56" i="2"/>
  <c r="F44" i="2"/>
  <c r="F32" i="2"/>
  <c r="F20" i="2"/>
  <c r="F8" i="2"/>
  <c r="F91" i="2"/>
  <c r="F79" i="2"/>
  <c r="F67" i="2"/>
  <c r="F55" i="2"/>
  <c r="F43" i="2"/>
  <c r="F31" i="2"/>
  <c r="F19" i="2"/>
  <c r="F7" i="2"/>
  <c r="F88" i="2"/>
  <c r="F76" i="2"/>
  <c r="F64" i="2"/>
  <c r="F52" i="2"/>
  <c r="F40" i="2"/>
  <c r="F28" i="2"/>
  <c r="F16" i="2"/>
  <c r="F3" i="2"/>
  <c r="S3" i="2" s="1"/>
  <c r="N4" i="2"/>
  <c r="L4" i="2"/>
  <c r="J4" i="2"/>
  <c r="I4" i="2"/>
  <c r="AF39" i="2" l="1"/>
  <c r="AE39" i="2"/>
  <c r="AD39" i="2"/>
  <c r="AC39" i="2"/>
  <c r="AB26" i="2"/>
  <c r="S12" i="2"/>
  <c r="S24" i="2"/>
  <c r="S82" i="2"/>
  <c r="S36" i="2"/>
  <c r="S86" i="2"/>
  <c r="S27" i="2"/>
  <c r="S30" i="2"/>
  <c r="S70" i="2"/>
  <c r="S9" i="2"/>
  <c r="S48" i="2"/>
  <c r="S39" i="2"/>
  <c r="S42" i="2"/>
  <c r="S58" i="2"/>
  <c r="S6" i="2"/>
  <c r="S31" i="2"/>
  <c r="S18" i="2"/>
  <c r="S55" i="2"/>
  <c r="S94" i="2"/>
  <c r="S98" i="2"/>
  <c r="S16" i="2"/>
  <c r="S67" i="2"/>
  <c r="S21" i="2"/>
  <c r="S11" i="2"/>
  <c r="S60" i="2"/>
  <c r="S13" i="2"/>
  <c r="S51" i="2"/>
  <c r="S74" i="2"/>
  <c r="S33" i="2"/>
  <c r="S92" i="2"/>
  <c r="S75" i="2"/>
  <c r="S54" i="2"/>
  <c r="S53" i="2"/>
  <c r="S43" i="2"/>
  <c r="S72" i="2"/>
  <c r="S25" i="2"/>
  <c r="S91" i="2"/>
  <c r="S52" i="2"/>
  <c r="S8" i="2"/>
  <c r="S57" i="2"/>
  <c r="S47" i="2"/>
  <c r="S96" i="2"/>
  <c r="S49" i="2"/>
  <c r="S5" i="2"/>
  <c r="S66" i="2"/>
  <c r="S65" i="2"/>
  <c r="S62" i="2"/>
  <c r="S79" i="2"/>
  <c r="S40" i="2"/>
  <c r="S37" i="2"/>
  <c r="S20" i="2"/>
  <c r="S59" i="2"/>
  <c r="S14" i="2"/>
  <c r="S61" i="2"/>
  <c r="S10" i="2"/>
  <c r="S17" i="2"/>
  <c r="S87" i="2"/>
  <c r="S90" i="2"/>
  <c r="S68" i="2"/>
  <c r="S80" i="2"/>
  <c r="S28" i="2"/>
  <c r="S35" i="2"/>
  <c r="S64" i="2"/>
  <c r="S69" i="2"/>
  <c r="S76" i="2"/>
  <c r="S32" i="2"/>
  <c r="S81" i="2"/>
  <c r="S71" i="2"/>
  <c r="S26" i="2"/>
  <c r="S73" i="2"/>
  <c r="S22" i="2"/>
  <c r="S29" i="2"/>
  <c r="S78" i="2"/>
  <c r="S19" i="2"/>
  <c r="S45" i="2"/>
  <c r="S88" i="2"/>
  <c r="S44" i="2"/>
  <c r="S93" i="2"/>
  <c r="S83" i="2"/>
  <c r="S38" i="2"/>
  <c r="S85" i="2"/>
  <c r="S34" i="2"/>
  <c r="S41" i="2"/>
  <c r="S77" i="2"/>
  <c r="S15" i="2"/>
  <c r="S23" i="2"/>
  <c r="S63" i="2"/>
  <c r="S84" i="2"/>
  <c r="S7" i="2"/>
  <c r="S56" i="2"/>
  <c r="S46" i="2"/>
  <c r="S95" i="2"/>
  <c r="S50" i="2"/>
  <c r="S97" i="2"/>
  <c r="S89" i="2"/>
  <c r="S4" i="2"/>
  <c r="Y5" i="2"/>
  <c r="Y6" i="2" s="1"/>
  <c r="Y7" i="2" s="1"/>
  <c r="Y8" i="2" s="1"/>
  <c r="Y9" i="2" s="1"/>
  <c r="Y10" i="2" s="1"/>
  <c r="Y11" i="2" s="1"/>
  <c r="Y12" i="2" s="1"/>
  <c r="Y13" i="2" s="1"/>
  <c r="Y14" i="2" s="1"/>
  <c r="Y15" i="2" s="1"/>
  <c r="Y16" i="2" s="1"/>
  <c r="Y17" i="2" s="1"/>
  <c r="Y18" i="2" s="1"/>
  <c r="Y19" i="2" s="1"/>
  <c r="Y20" i="2" s="1"/>
  <c r="Y21" i="2" s="1"/>
  <c r="Y22" i="2" s="1"/>
  <c r="Y23" i="2" s="1"/>
  <c r="Y24" i="2" s="1"/>
  <c r="Y25" i="2" s="1"/>
  <c r="Y26" i="2" s="1"/>
  <c r="Y27" i="2" s="1"/>
  <c r="Y28" i="2" s="1"/>
  <c r="Y29" i="2" s="1"/>
  <c r="Y30" i="2" s="1"/>
  <c r="Y31" i="2" s="1"/>
  <c r="Y32" i="2" s="1"/>
  <c r="Y33" i="2" s="1"/>
  <c r="Y34" i="2" s="1"/>
  <c r="Y35" i="2" s="1"/>
  <c r="Y36" i="2" s="1"/>
  <c r="Y37" i="2" s="1"/>
  <c r="Y38" i="2" s="1"/>
  <c r="Y39" i="2" s="1"/>
  <c r="Y40" i="2" s="1"/>
  <c r="Y41" i="2" s="1"/>
  <c r="Y42" i="2" s="1"/>
  <c r="Y43" i="2" s="1"/>
  <c r="Y44" i="2" s="1"/>
  <c r="Y45" i="2" s="1"/>
  <c r="Y46" i="2" s="1"/>
  <c r="Y47" i="2" s="1"/>
  <c r="Y48" i="2" s="1"/>
  <c r="Y49" i="2" s="1"/>
  <c r="Y50" i="2" s="1"/>
  <c r="Y51" i="2" s="1"/>
  <c r="Y52" i="2" s="1"/>
  <c r="Y53" i="2" s="1"/>
  <c r="Y54" i="2" s="1"/>
  <c r="Y55" i="2" s="1"/>
  <c r="Y56" i="2" s="1"/>
  <c r="Y57" i="2" s="1"/>
  <c r="Y58" i="2" s="1"/>
  <c r="Y59" i="2" s="1"/>
  <c r="Y60" i="2" s="1"/>
  <c r="Y61" i="2" s="1"/>
  <c r="Y62" i="2" s="1"/>
  <c r="Y63" i="2" s="1"/>
  <c r="Y64" i="2" s="1"/>
  <c r="Y65" i="2" s="1"/>
  <c r="Y66" i="2" s="1"/>
  <c r="Y67" i="2" s="1"/>
  <c r="Y68" i="2" s="1"/>
  <c r="Y69" i="2" s="1"/>
  <c r="Y70" i="2" s="1"/>
  <c r="Y71" i="2" s="1"/>
  <c r="Y72" i="2" s="1"/>
  <c r="Y73" i="2" s="1"/>
  <c r="Y74" i="2" s="1"/>
  <c r="Y75" i="2" s="1"/>
  <c r="Y76" i="2" s="1"/>
  <c r="Y77" i="2" s="1"/>
  <c r="Y78" i="2" s="1"/>
  <c r="Y79" i="2" s="1"/>
  <c r="Y80" i="2" s="1"/>
  <c r="Y81" i="2" s="1"/>
  <c r="Y82" i="2" s="1"/>
  <c r="Y83" i="2" s="1"/>
  <c r="Y84" i="2" s="1"/>
  <c r="Y85" i="2" s="1"/>
  <c r="Y86" i="2" s="1"/>
  <c r="Y87" i="2" s="1"/>
  <c r="Y88" i="2" s="1"/>
  <c r="Y89" i="2" s="1"/>
  <c r="Y90" i="2" s="1"/>
  <c r="Y91" i="2" s="1"/>
  <c r="Y92" i="2" s="1"/>
  <c r="Y93" i="2" s="1"/>
  <c r="Y94" i="2" s="1"/>
  <c r="Y95" i="2" s="1"/>
  <c r="Y96" i="2" s="1"/>
  <c r="Y97" i="2" s="1"/>
  <c r="Y98" i="2" s="1"/>
  <c r="Y99" i="2" s="1"/>
  <c r="Y100" i="2" s="1"/>
  <c r="Y101" i="2" s="1"/>
  <c r="Y102" i="2" s="1"/>
  <c r="Y103" i="2" s="1"/>
  <c r="Y104" i="2" s="1"/>
  <c r="Y105" i="2" s="1"/>
  <c r="K26" i="4"/>
  <c r="T24" i="4"/>
  <c r="B26" i="4"/>
  <c r="T26" i="4"/>
  <c r="B27" i="4"/>
  <c r="K24" i="4"/>
  <c r="K28" i="4"/>
  <c r="K27" i="4"/>
  <c r="B29" i="4"/>
  <c r="T27" i="4"/>
  <c r="T29" i="4"/>
  <c r="K25" i="4"/>
  <c r="B28" i="4"/>
  <c r="B25" i="4"/>
  <c r="T28" i="4"/>
  <c r="B24" i="4"/>
  <c r="T25" i="4"/>
  <c r="K29" i="4"/>
  <c r="AC122" i="5"/>
  <c r="I7" i="5"/>
  <c r="Q7" i="5"/>
  <c r="A9" i="5"/>
  <c r="W8" i="5"/>
  <c r="S99" i="2"/>
  <c r="M100" i="2"/>
  <c r="Z2" i="4"/>
  <c r="Q2" i="4"/>
  <c r="G2" i="4"/>
  <c r="T3" i="4"/>
  <c r="T20" i="4"/>
  <c r="T14" i="4"/>
  <c r="T15" i="4"/>
  <c r="T8" i="4"/>
  <c r="T21" i="4"/>
  <c r="T5" i="4"/>
  <c r="T19" i="4"/>
  <c r="T11" i="4"/>
  <c r="T22" i="4"/>
  <c r="T18" i="4"/>
  <c r="T17" i="4"/>
  <c r="T4" i="4"/>
  <c r="T23" i="4"/>
  <c r="T7" i="4"/>
  <c r="T6" i="4"/>
  <c r="T10" i="4"/>
  <c r="T9" i="4"/>
  <c r="T12" i="4"/>
  <c r="T13" i="4"/>
  <c r="T16" i="4"/>
  <c r="K15" i="4"/>
  <c r="K16" i="4"/>
  <c r="K14" i="4"/>
  <c r="K5" i="4"/>
  <c r="K19" i="4"/>
  <c r="K8" i="4"/>
  <c r="K11" i="4"/>
  <c r="K22" i="4"/>
  <c r="K18" i="4"/>
  <c r="K17" i="4"/>
  <c r="K4" i="4"/>
  <c r="K23" i="4"/>
  <c r="K21" i="4"/>
  <c r="K7" i="4"/>
  <c r="K3" i="4"/>
  <c r="K6" i="4"/>
  <c r="K10" i="4"/>
  <c r="K12" i="4"/>
  <c r="K13" i="4"/>
  <c r="K9" i="4"/>
  <c r="K20" i="4"/>
  <c r="B5" i="4"/>
  <c r="B20" i="4"/>
  <c r="B10" i="4"/>
  <c r="B4" i="4"/>
  <c r="B19" i="4"/>
  <c r="B12" i="4"/>
  <c r="B11" i="4"/>
  <c r="B3" i="4"/>
  <c r="B23" i="4"/>
  <c r="B9" i="4"/>
  <c r="B13" i="4"/>
  <c r="B8" i="4"/>
  <c r="B15" i="4"/>
  <c r="B21" i="4"/>
  <c r="B14" i="4"/>
  <c r="B7" i="4"/>
  <c r="B17" i="4"/>
  <c r="B6" i="4"/>
  <c r="B16" i="4"/>
  <c r="B22" i="4"/>
  <c r="B18" i="4"/>
  <c r="P9" i="2"/>
  <c r="Q55" i="2"/>
  <c r="Q9" i="2"/>
  <c r="R6" i="2"/>
  <c r="P93" i="2"/>
  <c r="R94" i="2"/>
  <c r="Q30" i="2"/>
  <c r="P58" i="2"/>
  <c r="Q52" i="2"/>
  <c r="P20" i="2"/>
  <c r="Q41" i="2"/>
  <c r="Q68" i="2"/>
  <c r="R4" i="2"/>
  <c r="R65" i="2"/>
  <c r="Q84" i="2"/>
  <c r="P96" i="2"/>
  <c r="Q96" i="2"/>
  <c r="Q61" i="2"/>
  <c r="P49" i="2"/>
  <c r="R49" i="2"/>
  <c r="P34" i="2"/>
  <c r="Q39" i="2"/>
  <c r="P55" i="2"/>
  <c r="P8" i="2"/>
  <c r="Q8" i="2"/>
  <c r="P12" i="2"/>
  <c r="Q88" i="2"/>
  <c r="P23" i="2"/>
  <c r="Q44" i="2"/>
  <c r="Q46" i="2"/>
  <c r="P41" i="2"/>
  <c r="R79" i="2"/>
  <c r="R12" i="2"/>
  <c r="P6" i="2"/>
  <c r="P44" i="2"/>
  <c r="Q98" i="2"/>
  <c r="P42" i="2"/>
  <c r="R33" i="2"/>
  <c r="R19" i="2"/>
  <c r="R30" i="2"/>
  <c r="R42" i="2"/>
  <c r="P56" i="2"/>
  <c r="R8" i="2"/>
  <c r="P48" i="2"/>
  <c r="R39" i="2"/>
  <c r="R25" i="2"/>
  <c r="R72" i="2"/>
  <c r="R66" i="2"/>
  <c r="P65" i="2"/>
  <c r="R23" i="2"/>
  <c r="P57" i="2"/>
  <c r="Q66" i="2"/>
  <c r="R28" i="2"/>
  <c r="P10" i="2"/>
  <c r="R90" i="2"/>
  <c r="P77" i="2"/>
  <c r="R29" i="2"/>
  <c r="P63" i="2"/>
  <c r="R96" i="2"/>
  <c r="R34" i="2"/>
  <c r="P19" i="2"/>
  <c r="Q25" i="2"/>
  <c r="P92" i="2"/>
  <c r="R38" i="2"/>
  <c r="P66" i="2"/>
  <c r="P46" i="2"/>
  <c r="R40" i="2"/>
  <c r="P25" i="2"/>
  <c r="Q37" i="2"/>
  <c r="Q83" i="2"/>
  <c r="R44" i="2"/>
  <c r="P72" i="2"/>
  <c r="Q85" i="2"/>
  <c r="P85" i="2"/>
  <c r="Q33" i="2"/>
  <c r="P52" i="2"/>
  <c r="P5" i="2"/>
  <c r="Q5" i="2"/>
  <c r="R68" i="2"/>
  <c r="R85" i="2"/>
  <c r="R21" i="2"/>
  <c r="R61" i="2"/>
  <c r="P14" i="2"/>
  <c r="Q43" i="2"/>
  <c r="R37" i="2"/>
  <c r="Q75" i="2"/>
  <c r="R24" i="2"/>
  <c r="P7" i="2"/>
  <c r="P43" i="2"/>
  <c r="R88" i="2"/>
  <c r="R78" i="2"/>
  <c r="Q34" i="2"/>
  <c r="P17" i="2"/>
  <c r="P53" i="2"/>
  <c r="P89" i="2"/>
  <c r="R73" i="2"/>
  <c r="Q38" i="2"/>
  <c r="Q92" i="2"/>
  <c r="R26" i="2"/>
  <c r="R62" i="2"/>
  <c r="R98" i="2"/>
  <c r="P99" i="2"/>
  <c r="P60" i="2"/>
  <c r="P94" i="2"/>
  <c r="R27" i="2"/>
  <c r="Q63" i="2"/>
  <c r="R99" i="2"/>
  <c r="R7" i="2"/>
  <c r="Q87" i="2"/>
  <c r="P13" i="2"/>
  <c r="P97" i="2"/>
  <c r="Q4" i="2"/>
  <c r="Q40" i="2"/>
  <c r="P59" i="2"/>
  <c r="P95" i="2"/>
  <c r="Q82" i="2"/>
  <c r="R32" i="2"/>
  <c r="P24" i="2"/>
  <c r="Q73" i="2"/>
  <c r="R69" i="2"/>
  <c r="P27" i="2"/>
  <c r="R36" i="2"/>
  <c r="R10" i="2"/>
  <c r="P33" i="2"/>
  <c r="Q93" i="2"/>
  <c r="R45" i="2"/>
  <c r="P16" i="2"/>
  <c r="P61" i="2"/>
  <c r="Q79" i="2"/>
  <c r="Q7" i="2"/>
  <c r="R43" i="2"/>
  <c r="P26" i="2"/>
  <c r="P62" i="2"/>
  <c r="P98" i="2"/>
  <c r="Q11" i="2"/>
  <c r="Q47" i="2"/>
  <c r="R52" i="2"/>
  <c r="R35" i="2"/>
  <c r="R71" i="2"/>
  <c r="P36" i="2"/>
  <c r="R58" i="2"/>
  <c r="P69" i="2"/>
  <c r="R67" i="2"/>
  <c r="Q36" i="2"/>
  <c r="Q72" i="2"/>
  <c r="P64" i="2"/>
  <c r="Q10" i="2"/>
  <c r="Q59" i="2"/>
  <c r="Q14" i="2"/>
  <c r="Q50" i="2"/>
  <c r="R82" i="2"/>
  <c r="R74" i="2"/>
  <c r="P70" i="2"/>
  <c r="R13" i="2"/>
  <c r="R51" i="2"/>
  <c r="P67" i="2"/>
  <c r="P29" i="2"/>
  <c r="R75" i="2"/>
  <c r="R16" i="2"/>
  <c r="Q15" i="2"/>
  <c r="Q99" i="2"/>
  <c r="R57" i="2"/>
  <c r="P22" i="2"/>
  <c r="P73" i="2"/>
  <c r="R76" i="2"/>
  <c r="Q13" i="2"/>
  <c r="Q64" i="2"/>
  <c r="P32" i="2"/>
  <c r="P68" i="2"/>
  <c r="Q65" i="2"/>
  <c r="Q17" i="2"/>
  <c r="Q53" i="2"/>
  <c r="R5" i="2"/>
  <c r="R41" i="2"/>
  <c r="R77" i="2"/>
  <c r="P79" i="2"/>
  <c r="P39" i="2"/>
  <c r="P75" i="2"/>
  <c r="Q6" i="2"/>
  <c r="Q42" i="2"/>
  <c r="Q78" i="2"/>
  <c r="P76" i="2"/>
  <c r="Q21" i="2"/>
  <c r="R60" i="2"/>
  <c r="P82" i="2"/>
  <c r="Q16" i="2"/>
  <c r="R70" i="2"/>
  <c r="P35" i="2"/>
  <c r="P71" i="2"/>
  <c r="Q71" i="2"/>
  <c r="Q20" i="2"/>
  <c r="Q56" i="2"/>
  <c r="P91" i="2"/>
  <c r="P78" i="2"/>
  <c r="Q45" i="2"/>
  <c r="Q81" i="2"/>
  <c r="R80" i="2"/>
  <c r="R22" i="2"/>
  <c r="Q27" i="2"/>
  <c r="R9" i="2"/>
  <c r="R63" i="2"/>
  <c r="P28" i="2"/>
  <c r="P88" i="2"/>
  <c r="P18" i="2"/>
  <c r="Q19" i="2"/>
  <c r="R97" i="2"/>
  <c r="P38" i="2"/>
  <c r="P74" i="2"/>
  <c r="Q77" i="2"/>
  <c r="Q23" i="2"/>
  <c r="Q62" i="2"/>
  <c r="R11" i="2"/>
  <c r="R47" i="2"/>
  <c r="R83" i="2"/>
  <c r="Q58" i="2"/>
  <c r="P45" i="2"/>
  <c r="P81" i="2"/>
  <c r="Q12" i="2"/>
  <c r="R48" i="2"/>
  <c r="R84" i="2"/>
  <c r="Q49" i="2"/>
  <c r="P31" i="2"/>
  <c r="P30" i="2"/>
  <c r="Q22" i="2"/>
  <c r="Q26" i="2"/>
  <c r="R14" i="2"/>
  <c r="R50" i="2"/>
  <c r="R86" i="2"/>
  <c r="Q70" i="2"/>
  <c r="P84" i="2"/>
  <c r="P15" i="2"/>
  <c r="Q51" i="2"/>
  <c r="R87" i="2"/>
  <c r="Q67" i="2"/>
  <c r="R81" i="2"/>
  <c r="Q76" i="2"/>
  <c r="P80" i="2"/>
  <c r="Q89" i="2"/>
  <c r="Q74" i="2"/>
  <c r="R17" i="2"/>
  <c r="R53" i="2"/>
  <c r="R89" i="2"/>
  <c r="Q97" i="2"/>
  <c r="P51" i="2"/>
  <c r="P87" i="2"/>
  <c r="Q18" i="2"/>
  <c r="Q54" i="2"/>
  <c r="Q90" i="2"/>
  <c r="Q91" i="2"/>
  <c r="R15" i="2"/>
  <c r="Q29" i="2"/>
  <c r="R31" i="2"/>
  <c r="Q48" i="2"/>
  <c r="R18" i="2"/>
  <c r="R46" i="2"/>
  <c r="P37" i="2"/>
  <c r="Q94" i="2"/>
  <c r="R54" i="2"/>
  <c r="Q28" i="2"/>
  <c r="P11" i="2"/>
  <c r="P47" i="2"/>
  <c r="P83" i="2"/>
  <c r="Q95" i="2"/>
  <c r="Q32" i="2"/>
  <c r="Q80" i="2"/>
  <c r="R20" i="2"/>
  <c r="R56" i="2"/>
  <c r="R92" i="2"/>
  <c r="R64" i="2"/>
  <c r="P54" i="2"/>
  <c r="P90" i="2"/>
  <c r="P21" i="2"/>
  <c r="Q57" i="2"/>
  <c r="R93" i="2"/>
  <c r="R55" i="2"/>
  <c r="Q69" i="2"/>
  <c r="P4" i="2"/>
  <c r="P40" i="2"/>
  <c r="Q31" i="2"/>
  <c r="P50" i="2"/>
  <c r="P86" i="2"/>
  <c r="Q35" i="2"/>
  <c r="Q86" i="2"/>
  <c r="R59" i="2"/>
  <c r="R95" i="2"/>
  <c r="R91" i="2"/>
  <c r="Q24" i="2"/>
  <c r="Q60" i="2"/>
  <c r="R3" i="2"/>
  <c r="Q3" i="2"/>
  <c r="P3" i="2"/>
  <c r="M79" i="2"/>
  <c r="M54" i="2"/>
  <c r="M66" i="2"/>
  <c r="M88" i="2"/>
  <c r="M90" i="2"/>
  <c r="M78" i="2"/>
  <c r="M91" i="2"/>
  <c r="M87" i="2"/>
  <c r="M5" i="2"/>
  <c r="M6" i="2"/>
  <c r="M55" i="2"/>
  <c r="M17" i="2"/>
  <c r="M67" i="2"/>
  <c r="M18" i="2"/>
  <c r="M4" i="2"/>
  <c r="M30" i="2"/>
  <c r="M32" i="2"/>
  <c r="M81" i="2"/>
  <c r="M71" i="2"/>
  <c r="M7" i="2"/>
  <c r="M20" i="2"/>
  <c r="M69" i="2"/>
  <c r="M59" i="2"/>
  <c r="M19" i="2"/>
  <c r="M42" i="2"/>
  <c r="M50" i="2"/>
  <c r="M22" i="2"/>
  <c r="M28" i="2"/>
  <c r="M40" i="2"/>
  <c r="M52" i="2"/>
  <c r="M14" i="2"/>
  <c r="M61" i="2"/>
  <c r="M10" i="2"/>
  <c r="M83" i="2"/>
  <c r="M93" i="2"/>
  <c r="M56" i="2"/>
  <c r="M95" i="2"/>
  <c r="M97" i="2"/>
  <c r="M85" i="2"/>
  <c r="M68" i="2"/>
  <c r="M58" i="2"/>
  <c r="M12" i="2"/>
  <c r="M44" i="2"/>
  <c r="M38" i="2"/>
  <c r="M31" i="2"/>
  <c r="M43" i="2"/>
  <c r="M64" i="2"/>
  <c r="M76" i="2"/>
  <c r="M26" i="2"/>
  <c r="M73" i="2"/>
  <c r="M34" i="2"/>
  <c r="M80" i="2"/>
  <c r="M24" i="2"/>
  <c r="M92" i="2"/>
  <c r="M36" i="2"/>
  <c r="M9" i="2"/>
  <c r="M48" i="2"/>
  <c r="M46" i="2"/>
  <c r="M62" i="2"/>
  <c r="M70" i="2"/>
  <c r="M74" i="2"/>
  <c r="M82" i="2"/>
  <c r="M86" i="2"/>
  <c r="M27" i="2"/>
  <c r="M94" i="2"/>
  <c r="M98" i="2"/>
  <c r="M39" i="2"/>
  <c r="M15" i="2"/>
  <c r="M16" i="2"/>
  <c r="M21" i="2"/>
  <c r="M11" i="2"/>
  <c r="M60" i="2"/>
  <c r="M13" i="2"/>
  <c r="M51" i="2"/>
  <c r="M29" i="2"/>
  <c r="M33" i="2"/>
  <c r="M23" i="2"/>
  <c r="M72" i="2"/>
  <c r="M25" i="2"/>
  <c r="M63" i="2"/>
  <c r="M41" i="2"/>
  <c r="M45" i="2"/>
  <c r="M35" i="2"/>
  <c r="M84" i="2"/>
  <c r="M37" i="2"/>
  <c r="M75" i="2"/>
  <c r="M53" i="2"/>
  <c r="M8" i="2"/>
  <c r="M57" i="2"/>
  <c r="M47" i="2"/>
  <c r="M96" i="2"/>
  <c r="M49" i="2"/>
  <c r="M99" i="2"/>
  <c r="M65" i="2"/>
  <c r="M77" i="2"/>
  <c r="M89" i="2"/>
  <c r="AA30" i="2" l="1"/>
  <c r="AJ123" i="5"/>
  <c r="AC123" i="5"/>
  <c r="I8" i="5"/>
  <c r="Q8" i="5"/>
  <c r="A10" i="5"/>
  <c r="V6" i="4"/>
  <c r="U6" i="4"/>
  <c r="W6" i="4"/>
  <c r="M6" i="4"/>
  <c r="Q6" i="4" s="1"/>
  <c r="L6" i="4"/>
  <c r="N6" i="4"/>
  <c r="R6" i="4" s="1"/>
  <c r="E6" i="4"/>
  <c r="I6" i="4" s="1"/>
  <c r="E7" i="4" s="1"/>
  <c r="C6" i="4"/>
  <c r="G6" i="4" s="1"/>
  <c r="C7" i="4" s="1"/>
  <c r="D6" i="4"/>
  <c r="H6" i="4" s="1"/>
  <c r="D7" i="4" s="1"/>
  <c r="Q6" i="3"/>
  <c r="AG6" i="3" s="1"/>
  <c r="AW6" i="3" s="1"/>
  <c r="C6" i="3"/>
  <c r="C7" i="3" s="1"/>
  <c r="C8" i="3" s="1"/>
  <c r="C9" i="3" s="1"/>
  <c r="C10" i="3" s="1"/>
  <c r="C11" i="3" s="1"/>
  <c r="C12" i="3" s="1"/>
  <c r="C13" i="3" s="1"/>
  <c r="C14" i="3" s="1"/>
  <c r="C15" i="3" s="1"/>
  <c r="AC6" i="3"/>
  <c r="AS6" i="3" s="1"/>
  <c r="Y6" i="3"/>
  <c r="AO6" i="3" s="1"/>
  <c r="O6" i="3"/>
  <c r="AE6" i="3" s="1"/>
  <c r="AU6" i="3" s="1"/>
  <c r="P6" i="3"/>
  <c r="AF6" i="3" s="1"/>
  <c r="AV6" i="3" s="1"/>
  <c r="N6" i="3"/>
  <c r="AD6" i="3" s="1"/>
  <c r="AT6" i="3" s="1"/>
  <c r="L6" i="3"/>
  <c r="AB6" i="3" s="1"/>
  <c r="AR6" i="3" s="1"/>
  <c r="J6" i="3"/>
  <c r="Z6" i="3" s="1"/>
  <c r="AP6" i="3" s="1"/>
  <c r="K6" i="3"/>
  <c r="AA6" i="3" s="1"/>
  <c r="AQ6" i="3" s="1"/>
  <c r="H6" i="3"/>
  <c r="G6" i="3"/>
  <c r="F6" i="3"/>
  <c r="V6" i="3" s="1"/>
  <c r="AL6" i="3" s="1"/>
  <c r="E6" i="3"/>
  <c r="U6" i="3" s="1"/>
  <c r="AK6" i="3" s="1"/>
  <c r="D6" i="3"/>
  <c r="T6" i="3" s="1"/>
  <c r="AJ6" i="3" s="1"/>
  <c r="AE30" i="2" l="1"/>
  <c r="AF30" i="2"/>
  <c r="AD30" i="2"/>
  <c r="AC30" i="2"/>
  <c r="AA31" i="2"/>
  <c r="AB30" i="2"/>
  <c r="I9" i="5"/>
  <c r="Q9" i="5"/>
  <c r="A11" i="5"/>
  <c r="C16" i="3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AA6" i="4"/>
  <c r="W7" i="4" s="1"/>
  <c r="AA7" i="4" s="1"/>
  <c r="W8" i="4" s="1"/>
  <c r="AA8" i="4" s="1"/>
  <c r="Z6" i="4"/>
  <c r="V7" i="4" s="1"/>
  <c r="Y6" i="4"/>
  <c r="U7" i="4" s="1"/>
  <c r="N7" i="4"/>
  <c r="R7" i="4" s="1"/>
  <c r="N8" i="4" s="1"/>
  <c r="R8" i="4" s="1"/>
  <c r="M7" i="4"/>
  <c r="Q7" i="4" s="1"/>
  <c r="M8" i="4" s="1"/>
  <c r="Q8" i="4" s="1"/>
  <c r="P6" i="4"/>
  <c r="L7" i="4" s="1"/>
  <c r="G7" i="4"/>
  <c r="C8" i="4" s="1"/>
  <c r="H7" i="4"/>
  <c r="D8" i="4" s="1"/>
  <c r="I7" i="4"/>
  <c r="E8" i="4" s="1"/>
  <c r="G7" i="3"/>
  <c r="W6" i="3"/>
  <c r="AM6" i="3" s="1"/>
  <c r="X6" i="3"/>
  <c r="AN6" i="3" s="1"/>
  <c r="S7" i="3"/>
  <c r="AI7" i="3" s="1"/>
  <c r="M7" i="3"/>
  <c r="AC7" i="3" s="1"/>
  <c r="AS7" i="3" s="1"/>
  <c r="Q7" i="3"/>
  <c r="AG7" i="3" s="1"/>
  <c r="AW7" i="3" s="1"/>
  <c r="E7" i="3"/>
  <c r="U7" i="3" s="1"/>
  <c r="AK7" i="3" s="1"/>
  <c r="L7" i="3"/>
  <c r="J7" i="3"/>
  <c r="S6" i="3"/>
  <c r="AI6" i="3" s="1"/>
  <c r="AE31" i="2" l="1"/>
  <c r="AF31" i="2"/>
  <c r="AD31" i="2"/>
  <c r="AB31" i="2"/>
  <c r="AC31" i="2"/>
  <c r="AA32" i="2"/>
  <c r="I10" i="5"/>
  <c r="Q10" i="5"/>
  <c r="A12" i="5"/>
  <c r="C92" i="3"/>
  <c r="C93" i="3" s="1"/>
  <c r="C94" i="3" s="1"/>
  <c r="C95" i="3" s="1"/>
  <c r="Y7" i="4"/>
  <c r="U8" i="4" s="1"/>
  <c r="Y8" i="4" s="1"/>
  <c r="U9" i="4" s="1"/>
  <c r="Y9" i="4" s="1"/>
  <c r="Z7" i="4"/>
  <c r="V8" i="4" s="1"/>
  <c r="Z8" i="4" s="1"/>
  <c r="V9" i="4" s="1"/>
  <c r="Z9" i="4" s="1"/>
  <c r="P7" i="4"/>
  <c r="L8" i="4" s="1"/>
  <c r="P8" i="4" s="1"/>
  <c r="L9" i="4" s="1"/>
  <c r="P9" i="4" s="1"/>
  <c r="W9" i="4"/>
  <c r="AA9" i="4" s="1"/>
  <c r="I8" i="4"/>
  <c r="E9" i="4" s="1"/>
  <c r="H8" i="4"/>
  <c r="D9" i="4" s="1"/>
  <c r="G8" i="4"/>
  <c r="C9" i="4" s="1"/>
  <c r="N9" i="4"/>
  <c r="R9" i="4" s="1"/>
  <c r="M9" i="4"/>
  <c r="Q9" i="4" s="1"/>
  <c r="H7" i="3"/>
  <c r="X7" i="3" s="1"/>
  <c r="AN7" i="3" s="1"/>
  <c r="G8" i="3"/>
  <c r="W8" i="3" s="1"/>
  <c r="AM8" i="3" s="1"/>
  <c r="W7" i="3"/>
  <c r="AM7" i="3" s="1"/>
  <c r="Z7" i="3"/>
  <c r="AP7" i="3" s="1"/>
  <c r="S8" i="3"/>
  <c r="AI8" i="3" s="1"/>
  <c r="L8" i="3"/>
  <c r="AB7" i="3"/>
  <c r="AR7" i="3" s="1"/>
  <c r="O7" i="3"/>
  <c r="F7" i="3"/>
  <c r="V7" i="3" s="1"/>
  <c r="AL7" i="3" s="1"/>
  <c r="Q8" i="3"/>
  <c r="AG8" i="3" s="1"/>
  <c r="AW8" i="3" s="1"/>
  <c r="M8" i="3"/>
  <c r="AC8" i="3" s="1"/>
  <c r="AS8" i="3" s="1"/>
  <c r="P7" i="3"/>
  <c r="AF7" i="3" s="1"/>
  <c r="AV7" i="3" s="1"/>
  <c r="N7" i="3"/>
  <c r="K7" i="3"/>
  <c r="AA7" i="3" s="1"/>
  <c r="AQ7" i="3" s="1"/>
  <c r="D7" i="3"/>
  <c r="AE32" i="2" l="1"/>
  <c r="AF32" i="2"/>
  <c r="AB32" i="2"/>
  <c r="AD32" i="2"/>
  <c r="AC32" i="2"/>
  <c r="AA33" i="2"/>
  <c r="C96" i="3"/>
  <c r="S95" i="3"/>
  <c r="AI95" i="3" s="1"/>
  <c r="I11" i="5"/>
  <c r="Q11" i="5"/>
  <c r="AC11" i="5"/>
  <c r="A13" i="5"/>
  <c r="W12" i="5"/>
  <c r="U10" i="4"/>
  <c r="Y10" i="4" s="1"/>
  <c r="W10" i="4"/>
  <c r="AA10" i="4" s="1"/>
  <c r="V10" i="4"/>
  <c r="Z10" i="4" s="1"/>
  <c r="I9" i="4"/>
  <c r="E10" i="4" s="1"/>
  <c r="G9" i="4"/>
  <c r="C10" i="4" s="1"/>
  <c r="H9" i="4"/>
  <c r="D10" i="4" s="1"/>
  <c r="M10" i="4"/>
  <c r="Q10" i="4" s="1"/>
  <c r="L10" i="4"/>
  <c r="P10" i="4" s="1"/>
  <c r="N10" i="4"/>
  <c r="R10" i="4" s="1"/>
  <c r="J8" i="3"/>
  <c r="Z8" i="3" s="1"/>
  <c r="L9" i="3"/>
  <c r="AB8" i="3"/>
  <c r="AR8" i="3" s="1"/>
  <c r="G9" i="3"/>
  <c r="S9" i="3"/>
  <c r="AI9" i="3" s="1"/>
  <c r="AE7" i="3"/>
  <c r="AU7" i="3" s="1"/>
  <c r="T7" i="3"/>
  <c r="AD7" i="3"/>
  <c r="Q9" i="3"/>
  <c r="AG9" i="3" s="1"/>
  <c r="AW9" i="3" s="1"/>
  <c r="M9" i="3"/>
  <c r="AC9" i="3" s="1"/>
  <c r="AS9" i="3" s="1"/>
  <c r="P8" i="3"/>
  <c r="AF8" i="3" s="1"/>
  <c r="AV8" i="3" s="1"/>
  <c r="E8" i="3"/>
  <c r="U8" i="3" s="1"/>
  <c r="AK8" i="3" s="1"/>
  <c r="H8" i="3"/>
  <c r="AE33" i="2" l="1"/>
  <c r="AF33" i="2"/>
  <c r="AB33" i="2"/>
  <c r="AD33" i="2"/>
  <c r="AC33" i="2"/>
  <c r="AA34" i="2"/>
  <c r="C97" i="3"/>
  <c r="S96" i="3"/>
  <c r="AI96" i="3" s="1"/>
  <c r="I12" i="5"/>
  <c r="Q12" i="5"/>
  <c r="AC12" i="5"/>
  <c r="A14" i="5"/>
  <c r="AC13" i="5"/>
  <c r="W11" i="4"/>
  <c r="AA11" i="4" s="1"/>
  <c r="U11" i="4"/>
  <c r="Y11" i="4" s="1"/>
  <c r="V11" i="4"/>
  <c r="Z11" i="4" s="1"/>
  <c r="I10" i="4"/>
  <c r="E11" i="4" s="1"/>
  <c r="H10" i="4"/>
  <c r="D11" i="4" s="1"/>
  <c r="G10" i="4"/>
  <c r="C11" i="4" s="1"/>
  <c r="N11" i="4"/>
  <c r="R11" i="4" s="1"/>
  <c r="L11" i="4"/>
  <c r="P11" i="4" s="1"/>
  <c r="M11" i="4"/>
  <c r="Q11" i="4" s="1"/>
  <c r="D8" i="3"/>
  <c r="T8" i="3" s="1"/>
  <c r="AJ8" i="3" s="1"/>
  <c r="AJ7" i="3"/>
  <c r="N8" i="3"/>
  <c r="AD8" i="3" s="1"/>
  <c r="AT8" i="3" s="1"/>
  <c r="AT7" i="3"/>
  <c r="J9" i="3"/>
  <c r="Z9" i="3" s="1"/>
  <c r="AP9" i="3" s="1"/>
  <c r="AP8" i="3"/>
  <c r="O8" i="3"/>
  <c r="AE8" i="3" s="1"/>
  <c r="X8" i="3"/>
  <c r="H9" i="3" s="1"/>
  <c r="G10" i="3"/>
  <c r="W9" i="3"/>
  <c r="AM9" i="3" s="1"/>
  <c r="S10" i="3"/>
  <c r="AI10" i="3" s="1"/>
  <c r="L10" i="3"/>
  <c r="AB9" i="3"/>
  <c r="AR9" i="3" s="1"/>
  <c r="E9" i="3"/>
  <c r="U9" i="3" s="1"/>
  <c r="AK9" i="3" s="1"/>
  <c r="P9" i="3"/>
  <c r="AF9" i="3" s="1"/>
  <c r="AV9" i="3" s="1"/>
  <c r="M10" i="3"/>
  <c r="AC10" i="3" s="1"/>
  <c r="AS10" i="3" s="1"/>
  <c r="K8" i="3"/>
  <c r="AA8" i="3" s="1"/>
  <c r="AQ8" i="3" s="1"/>
  <c r="F8" i="3"/>
  <c r="V8" i="3" s="1"/>
  <c r="AL8" i="3" s="1"/>
  <c r="AE34" i="2" l="1"/>
  <c r="AF34" i="2"/>
  <c r="AB34" i="2"/>
  <c r="AD34" i="2"/>
  <c r="AC34" i="2"/>
  <c r="AA35" i="2"/>
  <c r="C98" i="3"/>
  <c r="S97" i="3"/>
  <c r="AI97" i="3" s="1"/>
  <c r="I13" i="5"/>
  <c r="Q13" i="5"/>
  <c r="A15" i="5"/>
  <c r="U12" i="4"/>
  <c r="Y12" i="4" s="1"/>
  <c r="W12" i="4"/>
  <c r="AA12" i="4" s="1"/>
  <c r="V12" i="4"/>
  <c r="Z12" i="4" s="1"/>
  <c r="I11" i="4"/>
  <c r="E12" i="4" s="1"/>
  <c r="G11" i="4"/>
  <c r="C12" i="4" s="1"/>
  <c r="H11" i="4"/>
  <c r="D12" i="4" s="1"/>
  <c r="L12" i="4"/>
  <c r="P12" i="4" s="1"/>
  <c r="M12" i="4"/>
  <c r="Q12" i="4" s="1"/>
  <c r="N12" i="4"/>
  <c r="R12" i="4" s="1"/>
  <c r="X9" i="3"/>
  <c r="AN9" i="3" s="1"/>
  <c r="AN8" i="3"/>
  <c r="O9" i="3"/>
  <c r="AE9" i="3" s="1"/>
  <c r="AU9" i="3" s="1"/>
  <c r="AU8" i="3"/>
  <c r="D9" i="3"/>
  <c r="T9" i="3" s="1"/>
  <c r="G11" i="3"/>
  <c r="W10" i="3"/>
  <c r="AM10" i="3" s="1"/>
  <c r="S11" i="3"/>
  <c r="AI11" i="3" s="1"/>
  <c r="L11" i="3"/>
  <c r="AB10" i="3"/>
  <c r="AR10" i="3" s="1"/>
  <c r="Q10" i="3"/>
  <c r="AG10" i="3" s="1"/>
  <c r="AW10" i="3" s="1"/>
  <c r="M11" i="3"/>
  <c r="AC11" i="3" s="1"/>
  <c r="AS11" i="3" s="1"/>
  <c r="N9" i="3"/>
  <c r="AD9" i="3" s="1"/>
  <c r="AT9" i="3" s="1"/>
  <c r="P10" i="3"/>
  <c r="AF10" i="3" s="1"/>
  <c r="AV10" i="3" s="1"/>
  <c r="E10" i="3"/>
  <c r="U10" i="3" s="1"/>
  <c r="AK10" i="3" s="1"/>
  <c r="J10" i="3"/>
  <c r="Z10" i="3" s="1"/>
  <c r="AP10" i="3" s="1"/>
  <c r="AF36" i="2" l="1"/>
  <c r="AF35" i="2"/>
  <c r="AE36" i="2"/>
  <c r="AE35" i="2"/>
  <c r="AB35" i="2"/>
  <c r="AD36" i="2"/>
  <c r="AD35" i="2"/>
  <c r="AC36" i="2"/>
  <c r="AC35" i="2"/>
  <c r="AB36" i="2"/>
  <c r="C99" i="3"/>
  <c r="S98" i="3"/>
  <c r="AI98" i="3" s="1"/>
  <c r="I14" i="5"/>
  <c r="Q14" i="5"/>
  <c r="AC14" i="5"/>
  <c r="A16" i="5"/>
  <c r="W13" i="4"/>
  <c r="AA13" i="4" s="1"/>
  <c r="U13" i="4"/>
  <c r="Y13" i="4" s="1"/>
  <c r="V13" i="4"/>
  <c r="Z13" i="4" s="1"/>
  <c r="I12" i="4"/>
  <c r="E13" i="4" s="1"/>
  <c r="H12" i="4"/>
  <c r="D13" i="4" s="1"/>
  <c r="G12" i="4"/>
  <c r="C13" i="4" s="1"/>
  <c r="N13" i="4"/>
  <c r="R13" i="4" s="1"/>
  <c r="M13" i="4"/>
  <c r="Q13" i="4" s="1"/>
  <c r="L13" i="4"/>
  <c r="P13" i="4" s="1"/>
  <c r="H10" i="3"/>
  <c r="D10" i="3"/>
  <c r="T10" i="3" s="1"/>
  <c r="AJ10" i="3" s="1"/>
  <c r="AJ9" i="3"/>
  <c r="S12" i="3"/>
  <c r="AI12" i="3" s="1"/>
  <c r="L12" i="3"/>
  <c r="AB11" i="3"/>
  <c r="AR11" i="3" s="1"/>
  <c r="G12" i="3"/>
  <c r="W11" i="3"/>
  <c r="AM11" i="3" s="1"/>
  <c r="J11" i="3"/>
  <c r="N10" i="3"/>
  <c r="AD10" i="3" s="1"/>
  <c r="AT10" i="3" s="1"/>
  <c r="F9" i="3"/>
  <c r="E11" i="3"/>
  <c r="U11" i="3" s="1"/>
  <c r="AK11" i="3" s="1"/>
  <c r="P11" i="3"/>
  <c r="AF11" i="3" s="1"/>
  <c r="AV11" i="3" s="1"/>
  <c r="K9" i="3"/>
  <c r="AA9" i="3" s="1"/>
  <c r="AQ9" i="3" s="1"/>
  <c r="M12" i="3"/>
  <c r="AC12" i="3" s="1"/>
  <c r="AS12" i="3" s="1"/>
  <c r="O10" i="3"/>
  <c r="AD38" i="2" l="1"/>
  <c r="AF38" i="2"/>
  <c r="AE38" i="2"/>
  <c r="AC38" i="2"/>
  <c r="C100" i="3"/>
  <c r="C101" i="3" s="1"/>
  <c r="C102" i="3" s="1"/>
  <c r="C103" i="3" s="1"/>
  <c r="C104" i="3" s="1"/>
  <c r="AC15" i="5"/>
  <c r="I15" i="5"/>
  <c r="Q15" i="5"/>
  <c r="A17" i="5"/>
  <c r="W16" i="5"/>
  <c r="V14" i="4"/>
  <c r="Z14" i="4" s="1"/>
  <c r="U14" i="4"/>
  <c r="Y14" i="4" s="1"/>
  <c r="W14" i="4"/>
  <c r="AA14" i="4" s="1"/>
  <c r="I13" i="4"/>
  <c r="E14" i="4" s="1"/>
  <c r="G13" i="4"/>
  <c r="C14" i="4" s="1"/>
  <c r="H13" i="4"/>
  <c r="D14" i="4" s="1"/>
  <c r="M14" i="4"/>
  <c r="Q14" i="4" s="1"/>
  <c r="L14" i="4"/>
  <c r="P14" i="4" s="1"/>
  <c r="N14" i="4"/>
  <c r="R14" i="4" s="1"/>
  <c r="X10" i="3"/>
  <c r="AN10" i="3" s="1"/>
  <c r="D11" i="3"/>
  <c r="T11" i="3" s="1"/>
  <c r="AJ11" i="3" s="1"/>
  <c r="Z11" i="3"/>
  <c r="AP11" i="3" s="1"/>
  <c r="L13" i="3"/>
  <c r="AB12" i="3"/>
  <c r="AR12" i="3" s="1"/>
  <c r="G13" i="3"/>
  <c r="W12" i="3"/>
  <c r="AM12" i="3" s="1"/>
  <c r="V9" i="3"/>
  <c r="AL9" i="3" s="1"/>
  <c r="S13" i="3"/>
  <c r="AI13" i="3" s="1"/>
  <c r="AE10" i="3"/>
  <c r="AU10" i="3" s="1"/>
  <c r="K10" i="3"/>
  <c r="AA10" i="3" s="1"/>
  <c r="AQ10" i="3" s="1"/>
  <c r="P12" i="3"/>
  <c r="AF12" i="3" s="1"/>
  <c r="AV12" i="3" s="1"/>
  <c r="E12" i="3"/>
  <c r="U12" i="3" s="1"/>
  <c r="AK12" i="3" s="1"/>
  <c r="Q11" i="3"/>
  <c r="AG11" i="3" s="1"/>
  <c r="AW11" i="3" s="1"/>
  <c r="M13" i="3"/>
  <c r="AC13" i="3" s="1"/>
  <c r="AS13" i="3" s="1"/>
  <c r="C105" i="3" l="1"/>
  <c r="I16" i="5"/>
  <c r="Q16" i="5"/>
  <c r="AC16" i="5"/>
  <c r="A18" i="5"/>
  <c r="W15" i="4"/>
  <c r="AA15" i="4" s="1"/>
  <c r="U15" i="4"/>
  <c r="Y15" i="4" s="1"/>
  <c r="V15" i="4"/>
  <c r="Z15" i="4" s="1"/>
  <c r="I14" i="4"/>
  <c r="E15" i="4" s="1"/>
  <c r="H14" i="4"/>
  <c r="D15" i="4" s="1"/>
  <c r="G14" i="4"/>
  <c r="C15" i="4" s="1"/>
  <c r="N15" i="4"/>
  <c r="R15" i="4" s="1"/>
  <c r="L15" i="4"/>
  <c r="P15" i="4" s="1"/>
  <c r="M15" i="4"/>
  <c r="Q15" i="4" s="1"/>
  <c r="H11" i="3"/>
  <c r="F10" i="3"/>
  <c r="V10" i="3" s="1"/>
  <c r="AL10" i="3" s="1"/>
  <c r="D12" i="3"/>
  <c r="T12" i="3" s="1"/>
  <c r="AJ12" i="3" s="1"/>
  <c r="J12" i="3"/>
  <c r="Z12" i="3" s="1"/>
  <c r="AP12" i="3" s="1"/>
  <c r="G14" i="3"/>
  <c r="W13" i="3"/>
  <c r="AM13" i="3" s="1"/>
  <c r="L14" i="3"/>
  <c r="AB13" i="3"/>
  <c r="AR13" i="3" s="1"/>
  <c r="O11" i="3"/>
  <c r="S14" i="3"/>
  <c r="AI14" i="3" s="1"/>
  <c r="P13" i="3"/>
  <c r="AF13" i="3" s="1"/>
  <c r="AV13" i="3" s="1"/>
  <c r="M14" i="3"/>
  <c r="AC14" i="3" s="1"/>
  <c r="AS14" i="3" s="1"/>
  <c r="E13" i="3"/>
  <c r="U13" i="3" s="1"/>
  <c r="AK13" i="3" s="1"/>
  <c r="K11" i="3"/>
  <c r="AA11" i="3" s="1"/>
  <c r="AQ11" i="3" s="1"/>
  <c r="N11" i="3"/>
  <c r="AD11" i="3" s="1"/>
  <c r="AT11" i="3" s="1"/>
  <c r="C106" i="3" l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I17" i="5"/>
  <c r="Q17" i="5"/>
  <c r="AC17" i="5"/>
  <c r="A19" i="5"/>
  <c r="V16" i="4"/>
  <c r="Z16" i="4" s="1"/>
  <c r="U16" i="4"/>
  <c r="Y16" i="4" s="1"/>
  <c r="W16" i="4"/>
  <c r="AA16" i="4" s="1"/>
  <c r="H15" i="4"/>
  <c r="D16" i="4" s="1"/>
  <c r="G15" i="4"/>
  <c r="C16" i="4" s="1"/>
  <c r="I15" i="4"/>
  <c r="E16" i="4" s="1"/>
  <c r="M16" i="4"/>
  <c r="Q16" i="4" s="1"/>
  <c r="L16" i="4"/>
  <c r="P16" i="4" s="1"/>
  <c r="N16" i="4"/>
  <c r="R16" i="4" s="1"/>
  <c r="X11" i="3"/>
  <c r="AN11" i="3" s="1"/>
  <c r="D13" i="3"/>
  <c r="T13" i="3" s="1"/>
  <c r="S15" i="3"/>
  <c r="AI15" i="3" s="1"/>
  <c r="AE11" i="3"/>
  <c r="F11" i="3"/>
  <c r="V11" i="3" s="1"/>
  <c r="AL11" i="3" s="1"/>
  <c r="L15" i="3"/>
  <c r="AB14" i="3"/>
  <c r="AR14" i="3" s="1"/>
  <c r="G15" i="3"/>
  <c r="W14" i="3"/>
  <c r="AM14" i="3" s="1"/>
  <c r="K12" i="3"/>
  <c r="AA12" i="3" s="1"/>
  <c r="AQ12" i="3" s="1"/>
  <c r="E14" i="3"/>
  <c r="U14" i="3" s="1"/>
  <c r="AK14" i="3" s="1"/>
  <c r="Q12" i="3"/>
  <c r="AG12" i="3" s="1"/>
  <c r="AW12" i="3" s="1"/>
  <c r="M15" i="3"/>
  <c r="AC15" i="3" s="1"/>
  <c r="AS15" i="3" s="1"/>
  <c r="P14" i="3"/>
  <c r="AF14" i="3" s="1"/>
  <c r="AV14" i="3" s="1"/>
  <c r="J13" i="3"/>
  <c r="Z13" i="3" s="1"/>
  <c r="AP13" i="3" s="1"/>
  <c r="BK10" i="3" l="1"/>
  <c r="I18" i="5"/>
  <c r="Q18" i="5"/>
  <c r="AC18" i="5"/>
  <c r="A20" i="5"/>
  <c r="W17" i="4"/>
  <c r="AA17" i="4" s="1"/>
  <c r="U17" i="4"/>
  <c r="Y17" i="4" s="1"/>
  <c r="V17" i="4"/>
  <c r="Z17" i="4" s="1"/>
  <c r="I16" i="4"/>
  <c r="E17" i="4" s="1"/>
  <c r="G16" i="4"/>
  <c r="C17" i="4" s="1"/>
  <c r="H16" i="4"/>
  <c r="D17" i="4" s="1"/>
  <c r="N17" i="4"/>
  <c r="R17" i="4" s="1"/>
  <c r="L17" i="4"/>
  <c r="P17" i="4" s="1"/>
  <c r="M17" i="4"/>
  <c r="Q17" i="4" s="1"/>
  <c r="H12" i="3"/>
  <c r="X12" i="3" s="1"/>
  <c r="AN12" i="3" s="1"/>
  <c r="D14" i="3"/>
  <c r="T14" i="3" s="1"/>
  <c r="AJ14" i="3" s="1"/>
  <c r="AJ13" i="3"/>
  <c r="O12" i="3"/>
  <c r="AE12" i="3" s="1"/>
  <c r="AU11" i="3"/>
  <c r="L16" i="3"/>
  <c r="AB15" i="3"/>
  <c r="AR15" i="3" s="1"/>
  <c r="S16" i="3"/>
  <c r="AI16" i="3" s="1"/>
  <c r="G16" i="3"/>
  <c r="W15" i="3"/>
  <c r="AM15" i="3" s="1"/>
  <c r="P15" i="3"/>
  <c r="AF15" i="3" s="1"/>
  <c r="AV15" i="3" s="1"/>
  <c r="E15" i="3"/>
  <c r="U15" i="3" s="1"/>
  <c r="AK15" i="3" s="1"/>
  <c r="M16" i="3"/>
  <c r="AC16" i="3" s="1"/>
  <c r="AS16" i="3" s="1"/>
  <c r="K13" i="3"/>
  <c r="AA13" i="3" s="1"/>
  <c r="AQ13" i="3" s="1"/>
  <c r="N12" i="3"/>
  <c r="AD12" i="3" s="1"/>
  <c r="AT12" i="3" s="1"/>
  <c r="F12" i="3"/>
  <c r="V12" i="3" s="1"/>
  <c r="AL12" i="3" s="1"/>
  <c r="I19" i="5" l="1"/>
  <c r="Q19" i="5"/>
  <c r="AC19" i="5"/>
  <c r="A21" i="5"/>
  <c r="W20" i="5"/>
  <c r="V18" i="4"/>
  <c r="Z18" i="4" s="1"/>
  <c r="U18" i="4"/>
  <c r="Y18" i="4" s="1"/>
  <c r="W18" i="4"/>
  <c r="AA18" i="4" s="1"/>
  <c r="H17" i="4"/>
  <c r="D18" i="4" s="1"/>
  <c r="G17" i="4"/>
  <c r="C18" i="4" s="1"/>
  <c r="I17" i="4"/>
  <c r="E18" i="4" s="1"/>
  <c r="M18" i="4"/>
  <c r="Q18" i="4" s="1"/>
  <c r="L18" i="4"/>
  <c r="P18" i="4" s="1"/>
  <c r="N18" i="4"/>
  <c r="R18" i="4" s="1"/>
  <c r="H13" i="3"/>
  <c r="O13" i="3"/>
  <c r="AE13" i="3" s="1"/>
  <c r="AU13" i="3" s="1"/>
  <c r="AU12" i="3"/>
  <c r="D15" i="3"/>
  <c r="T15" i="3" s="1"/>
  <c r="L17" i="3"/>
  <c r="AB16" i="3"/>
  <c r="AR16" i="3" s="1"/>
  <c r="S17" i="3"/>
  <c r="AI17" i="3" s="1"/>
  <c r="G17" i="3"/>
  <c r="W16" i="3"/>
  <c r="AM16" i="3" s="1"/>
  <c r="K14" i="3"/>
  <c r="AA14" i="3" s="1"/>
  <c r="AQ14" i="3" s="1"/>
  <c r="Q13" i="3"/>
  <c r="AG13" i="3" s="1"/>
  <c r="AW13" i="3" s="1"/>
  <c r="P16" i="3"/>
  <c r="AF16" i="3" s="1"/>
  <c r="AV16" i="3" s="1"/>
  <c r="E16" i="3"/>
  <c r="U16" i="3" s="1"/>
  <c r="AK16" i="3" s="1"/>
  <c r="M17" i="3"/>
  <c r="AC17" i="3" s="1"/>
  <c r="AS17" i="3" s="1"/>
  <c r="J14" i="3"/>
  <c r="Z14" i="3" s="1"/>
  <c r="AP14" i="3" s="1"/>
  <c r="I20" i="5" l="1"/>
  <c r="Q20" i="5"/>
  <c r="AC20" i="5"/>
  <c r="A22" i="5"/>
  <c r="W19" i="4"/>
  <c r="AA19" i="4" s="1"/>
  <c r="U19" i="4"/>
  <c r="Y19" i="4" s="1"/>
  <c r="V19" i="4"/>
  <c r="Z19" i="4" s="1"/>
  <c r="I18" i="4"/>
  <c r="E19" i="4" s="1"/>
  <c r="G18" i="4"/>
  <c r="C19" i="4" s="1"/>
  <c r="H18" i="4"/>
  <c r="D19" i="4" s="1"/>
  <c r="N19" i="4"/>
  <c r="R19" i="4" s="1"/>
  <c r="L19" i="4"/>
  <c r="P19" i="4" s="1"/>
  <c r="M19" i="4"/>
  <c r="Q19" i="4" s="1"/>
  <c r="X13" i="3"/>
  <c r="AN13" i="3" s="1"/>
  <c r="O14" i="3"/>
  <c r="AE14" i="3" s="1"/>
  <c r="D16" i="3"/>
  <c r="T16" i="3" s="1"/>
  <c r="AJ16" i="3" s="1"/>
  <c r="AJ15" i="3"/>
  <c r="S18" i="3"/>
  <c r="AI18" i="3" s="1"/>
  <c r="G18" i="3"/>
  <c r="W17" i="3"/>
  <c r="AM17" i="3" s="1"/>
  <c r="L18" i="3"/>
  <c r="AB17" i="3"/>
  <c r="AR17" i="3" s="1"/>
  <c r="K15" i="3"/>
  <c r="AA15" i="3" s="1"/>
  <c r="AQ15" i="3" s="1"/>
  <c r="E17" i="3"/>
  <c r="U17" i="3" s="1"/>
  <c r="AK17" i="3" s="1"/>
  <c r="N13" i="3"/>
  <c r="AD13" i="3" s="1"/>
  <c r="AT13" i="3" s="1"/>
  <c r="P17" i="3"/>
  <c r="AF17" i="3" s="1"/>
  <c r="AV17" i="3" s="1"/>
  <c r="M18" i="3"/>
  <c r="AC18" i="3" s="1"/>
  <c r="AS18" i="3" s="1"/>
  <c r="F13" i="3"/>
  <c r="V13" i="3" s="1"/>
  <c r="AL13" i="3" s="1"/>
  <c r="I21" i="5" l="1"/>
  <c r="Q21" i="5"/>
  <c r="AC21" i="5"/>
  <c r="A23" i="5"/>
  <c r="V20" i="4"/>
  <c r="Z20" i="4" s="1"/>
  <c r="U20" i="4"/>
  <c r="Y20" i="4" s="1"/>
  <c r="W20" i="4"/>
  <c r="AA20" i="4" s="1"/>
  <c r="H19" i="4"/>
  <c r="D20" i="4" s="1"/>
  <c r="G19" i="4"/>
  <c r="C20" i="4" s="1"/>
  <c r="I19" i="4"/>
  <c r="E20" i="4" s="1"/>
  <c r="M20" i="4"/>
  <c r="Q20" i="4" s="1"/>
  <c r="L20" i="4"/>
  <c r="P20" i="4" s="1"/>
  <c r="N20" i="4"/>
  <c r="R20" i="4" s="1"/>
  <c r="H14" i="3"/>
  <c r="O15" i="3"/>
  <c r="AE15" i="3" s="1"/>
  <c r="AU15" i="3" s="1"/>
  <c r="AU14" i="3"/>
  <c r="D17" i="3"/>
  <c r="T17" i="3" s="1"/>
  <c r="AJ17" i="3" s="1"/>
  <c r="L19" i="3"/>
  <c r="AB18" i="3"/>
  <c r="AR18" i="3" s="1"/>
  <c r="G19" i="3"/>
  <c r="W18" i="3"/>
  <c r="AM18" i="3" s="1"/>
  <c r="S19" i="3"/>
  <c r="AI19" i="3" s="1"/>
  <c r="P18" i="3"/>
  <c r="AF18" i="3" s="1"/>
  <c r="AV18" i="3" s="1"/>
  <c r="E18" i="3"/>
  <c r="U18" i="3" s="1"/>
  <c r="AK18" i="3" s="1"/>
  <c r="M19" i="3"/>
  <c r="AC19" i="3" s="1"/>
  <c r="AS19" i="3" s="1"/>
  <c r="K16" i="3"/>
  <c r="AA16" i="3" s="1"/>
  <c r="AQ16" i="3" s="1"/>
  <c r="Q14" i="3"/>
  <c r="AG14" i="3" s="1"/>
  <c r="AW14" i="3" s="1"/>
  <c r="J15" i="3"/>
  <c r="Z15" i="3" s="1"/>
  <c r="AP15" i="3" s="1"/>
  <c r="I22" i="5" l="1"/>
  <c r="Q22" i="5"/>
  <c r="AC22" i="5"/>
  <c r="A24" i="5"/>
  <c r="W21" i="4"/>
  <c r="AA21" i="4" s="1"/>
  <c r="U21" i="4"/>
  <c r="Y21" i="4" s="1"/>
  <c r="V21" i="4"/>
  <c r="Z21" i="4" s="1"/>
  <c r="I20" i="4"/>
  <c r="E21" i="4" s="1"/>
  <c r="G20" i="4"/>
  <c r="C21" i="4" s="1"/>
  <c r="H20" i="4"/>
  <c r="D21" i="4" s="1"/>
  <c r="N21" i="4"/>
  <c r="R21" i="4" s="1"/>
  <c r="L21" i="4"/>
  <c r="P21" i="4" s="1"/>
  <c r="M21" i="4"/>
  <c r="Q21" i="4" s="1"/>
  <c r="X14" i="3"/>
  <c r="AN14" i="3" s="1"/>
  <c r="O16" i="3"/>
  <c r="AE16" i="3" s="1"/>
  <c r="AU16" i="3" s="1"/>
  <c r="S20" i="3"/>
  <c r="AI20" i="3" s="1"/>
  <c r="D18" i="3"/>
  <c r="L20" i="3"/>
  <c r="AB19" i="3"/>
  <c r="AR19" i="3" s="1"/>
  <c r="G20" i="3"/>
  <c r="W19" i="3"/>
  <c r="AM19" i="3" s="1"/>
  <c r="P19" i="3"/>
  <c r="AF19" i="3" s="1"/>
  <c r="AV19" i="3" s="1"/>
  <c r="K17" i="3"/>
  <c r="AA17" i="3" s="1"/>
  <c r="AQ17" i="3" s="1"/>
  <c r="E19" i="3"/>
  <c r="U19" i="3" s="1"/>
  <c r="AK19" i="3" s="1"/>
  <c r="N14" i="3"/>
  <c r="AD14" i="3" s="1"/>
  <c r="AT14" i="3" s="1"/>
  <c r="M20" i="3"/>
  <c r="AC20" i="3" s="1"/>
  <c r="AS20" i="3" s="1"/>
  <c r="F14" i="3"/>
  <c r="I23" i="5" l="1"/>
  <c r="Q23" i="5"/>
  <c r="AC23" i="5"/>
  <c r="A25" i="5"/>
  <c r="W24" i="5"/>
  <c r="V22" i="4"/>
  <c r="Z22" i="4" s="1"/>
  <c r="W22" i="4"/>
  <c r="AA22" i="4" s="1"/>
  <c r="H21" i="4"/>
  <c r="D22" i="4" s="1"/>
  <c r="G21" i="4"/>
  <c r="C22" i="4" s="1"/>
  <c r="I21" i="4"/>
  <c r="E22" i="4" s="1"/>
  <c r="M22" i="4"/>
  <c r="Q22" i="4" s="1"/>
  <c r="L22" i="4"/>
  <c r="P22" i="4" s="1"/>
  <c r="N22" i="4"/>
  <c r="R22" i="4" s="1"/>
  <c r="H15" i="3"/>
  <c r="X15" i="3" s="1"/>
  <c r="AN15" i="3" s="1"/>
  <c r="O17" i="3"/>
  <c r="AE17" i="3" s="1"/>
  <c r="AU17" i="3" s="1"/>
  <c r="G21" i="3"/>
  <c r="W20" i="3"/>
  <c r="AM20" i="3" s="1"/>
  <c r="S21" i="3"/>
  <c r="AI21" i="3" s="1"/>
  <c r="T18" i="3"/>
  <c r="V14" i="3"/>
  <c r="AL14" i="3" s="1"/>
  <c r="L21" i="3"/>
  <c r="AB20" i="3"/>
  <c r="AR20" i="3" s="1"/>
  <c r="N15" i="3"/>
  <c r="AD15" i="3" s="1"/>
  <c r="AT15" i="3" s="1"/>
  <c r="E20" i="3"/>
  <c r="U20" i="3" s="1"/>
  <c r="AK20" i="3" s="1"/>
  <c r="M21" i="3"/>
  <c r="AC21" i="3" s="1"/>
  <c r="AS21" i="3" s="1"/>
  <c r="K18" i="3"/>
  <c r="AA18" i="3" s="1"/>
  <c r="AQ18" i="3" s="1"/>
  <c r="P20" i="3"/>
  <c r="AF20" i="3" s="1"/>
  <c r="AV20" i="3" s="1"/>
  <c r="Q15" i="3"/>
  <c r="AG15" i="3" s="1"/>
  <c r="AW15" i="3" s="1"/>
  <c r="J16" i="3"/>
  <c r="Z16" i="3" s="1"/>
  <c r="AP16" i="3" s="1"/>
  <c r="AC24" i="5" l="1"/>
  <c r="I24" i="5"/>
  <c r="Q24" i="5"/>
  <c r="A26" i="5"/>
  <c r="U22" i="4"/>
  <c r="Y22" i="4" s="1"/>
  <c r="W23" i="4"/>
  <c r="V23" i="4"/>
  <c r="Z23" i="4" s="1"/>
  <c r="I22" i="4"/>
  <c r="E23" i="4" s="1"/>
  <c r="G22" i="4"/>
  <c r="C23" i="4" s="1"/>
  <c r="H22" i="4"/>
  <c r="D23" i="4" s="1"/>
  <c r="N23" i="4"/>
  <c r="R23" i="4" s="1"/>
  <c r="L23" i="4"/>
  <c r="P23" i="4" s="1"/>
  <c r="M23" i="4"/>
  <c r="Q23" i="4" s="1"/>
  <c r="H16" i="3"/>
  <c r="D19" i="3"/>
  <c r="T19" i="3" s="1"/>
  <c r="AJ18" i="3"/>
  <c r="O18" i="3"/>
  <c r="AE18" i="3" s="1"/>
  <c r="AU18" i="3" s="1"/>
  <c r="F15" i="3"/>
  <c r="V15" i="3" s="1"/>
  <c r="AL15" i="3" s="1"/>
  <c r="G22" i="3"/>
  <c r="W21" i="3"/>
  <c r="AM21" i="3" s="1"/>
  <c r="S22" i="3"/>
  <c r="AI22" i="3" s="1"/>
  <c r="L22" i="3"/>
  <c r="AB21" i="3"/>
  <c r="AR21" i="3" s="1"/>
  <c r="P21" i="3"/>
  <c r="AF21" i="3" s="1"/>
  <c r="AV21" i="3" s="1"/>
  <c r="K19" i="3"/>
  <c r="AA19" i="3" s="1"/>
  <c r="AQ19" i="3" s="1"/>
  <c r="M22" i="3"/>
  <c r="AC22" i="3" s="1"/>
  <c r="AS22" i="3" s="1"/>
  <c r="E21" i="3"/>
  <c r="U21" i="3" s="1"/>
  <c r="AK21" i="3" s="1"/>
  <c r="I25" i="5" l="1"/>
  <c r="Q25" i="5"/>
  <c r="AC25" i="5"/>
  <c r="A27" i="5"/>
  <c r="AC26" i="5"/>
  <c r="AA23" i="4"/>
  <c r="W24" i="4" s="1"/>
  <c r="AA24" i="4" s="1"/>
  <c r="W25" i="4" s="1"/>
  <c r="AA25" i="4" s="1"/>
  <c r="W26" i="4" s="1"/>
  <c r="V24" i="4"/>
  <c r="Z24" i="4" s="1"/>
  <c r="V25" i="4" s="1"/>
  <c r="Z25" i="4" s="1"/>
  <c r="V26" i="4" s="1"/>
  <c r="U23" i="4"/>
  <c r="Y23" i="4" s="1"/>
  <c r="H23" i="4"/>
  <c r="G23" i="4"/>
  <c r="C24" i="4" s="1"/>
  <c r="G24" i="4" s="1"/>
  <c r="C25" i="4" s="1"/>
  <c r="G25" i="4" s="1"/>
  <c r="C26" i="4" s="1"/>
  <c r="I23" i="4"/>
  <c r="M24" i="4"/>
  <c r="Q24" i="4" s="1"/>
  <c r="M25" i="4" s="1"/>
  <c r="Q25" i="4" s="1"/>
  <c r="M26" i="4" s="1"/>
  <c r="X16" i="3"/>
  <c r="AN16" i="3" s="1"/>
  <c r="D20" i="3"/>
  <c r="T20" i="3" s="1"/>
  <c r="AJ19" i="3"/>
  <c r="S23" i="3"/>
  <c r="AI23" i="3" s="1"/>
  <c r="G23" i="3"/>
  <c r="W22" i="3"/>
  <c r="AM22" i="3" s="1"/>
  <c r="O19" i="3"/>
  <c r="L23" i="3"/>
  <c r="AB22" i="3"/>
  <c r="AR22" i="3" s="1"/>
  <c r="K20" i="3"/>
  <c r="AA20" i="3" s="1"/>
  <c r="AQ20" i="3" s="1"/>
  <c r="P22" i="3"/>
  <c r="AF22" i="3" s="1"/>
  <c r="AV22" i="3" s="1"/>
  <c r="Q16" i="3"/>
  <c r="AG16" i="3" s="1"/>
  <c r="AW16" i="3" s="1"/>
  <c r="E22" i="3"/>
  <c r="U22" i="3" s="1"/>
  <c r="AK22" i="3" s="1"/>
  <c r="M23" i="3"/>
  <c r="AC23" i="3" s="1"/>
  <c r="AS23" i="3" s="1"/>
  <c r="N16" i="3"/>
  <c r="AD16" i="3" s="1"/>
  <c r="AT16" i="3" s="1"/>
  <c r="J17" i="3"/>
  <c r="Z17" i="3" s="1"/>
  <c r="AP17" i="3" s="1"/>
  <c r="F16" i="3"/>
  <c r="Q26" i="4" l="1"/>
  <c r="M27" i="4" s="1"/>
  <c r="Q27" i="4" s="1"/>
  <c r="M28" i="4" s="1"/>
  <c r="Q28" i="4" s="1"/>
  <c r="M29" i="4" s="1"/>
  <c r="Q29" i="4" s="1"/>
  <c r="G26" i="4"/>
  <c r="C27" i="4" s="1"/>
  <c r="G27" i="4" s="1"/>
  <c r="C28" i="4" s="1"/>
  <c r="G28" i="4" s="1"/>
  <c r="C29" i="4" s="1"/>
  <c r="G29" i="4" s="1"/>
  <c r="AA26" i="4"/>
  <c r="W27" i="4" s="1"/>
  <c r="AA27" i="4" s="1"/>
  <c r="W28" i="4" s="1"/>
  <c r="AA28" i="4" s="1"/>
  <c r="W29" i="4" s="1"/>
  <c r="AA29" i="4" s="1"/>
  <c r="Z26" i="4"/>
  <c r="I26" i="5"/>
  <c r="Q26" i="5"/>
  <c r="A28" i="5"/>
  <c r="E24" i="4"/>
  <c r="I24" i="4" s="1"/>
  <c r="E25" i="4" s="1"/>
  <c r="I25" i="4" s="1"/>
  <c r="E26" i="4" s="1"/>
  <c r="D24" i="4"/>
  <c r="H24" i="4" s="1"/>
  <c r="D25" i="4" s="1"/>
  <c r="H25" i="4" s="1"/>
  <c r="D26" i="4" s="1"/>
  <c r="N24" i="4"/>
  <c r="R24" i="4" s="1"/>
  <c r="N25" i="4" s="1"/>
  <c r="R25" i="4" s="1"/>
  <c r="N26" i="4" s="1"/>
  <c r="L24" i="4"/>
  <c r="P24" i="4" s="1"/>
  <c r="L25" i="4" s="1"/>
  <c r="P25" i="4" s="1"/>
  <c r="L26" i="4" s="1"/>
  <c r="U24" i="4"/>
  <c r="Y24" i="4" s="1"/>
  <c r="U25" i="4" s="1"/>
  <c r="Y25" i="4" s="1"/>
  <c r="U26" i="4" s="1"/>
  <c r="H17" i="3"/>
  <c r="D21" i="3"/>
  <c r="T21" i="3" s="1"/>
  <c r="AJ20" i="3"/>
  <c r="V16" i="3"/>
  <c r="AL16" i="3" s="1"/>
  <c r="L24" i="3"/>
  <c r="AB23" i="3"/>
  <c r="AR23" i="3" s="1"/>
  <c r="G24" i="3"/>
  <c r="W23" i="3"/>
  <c r="AM23" i="3" s="1"/>
  <c r="AE19" i="3"/>
  <c r="S24" i="3"/>
  <c r="AI24" i="3" s="1"/>
  <c r="N17" i="3"/>
  <c r="AD17" i="3" s="1"/>
  <c r="AT17" i="3" s="1"/>
  <c r="E23" i="3"/>
  <c r="U23" i="3" s="1"/>
  <c r="AK23" i="3" s="1"/>
  <c r="M24" i="3"/>
  <c r="AC24" i="3" s="1"/>
  <c r="AS24" i="3" s="1"/>
  <c r="K21" i="3"/>
  <c r="AA21" i="3" s="1"/>
  <c r="AQ21" i="3" s="1"/>
  <c r="P23" i="3"/>
  <c r="AF23" i="3" s="1"/>
  <c r="AV23" i="3" s="1"/>
  <c r="V27" i="4" l="1"/>
  <c r="Z27" i="4" s="1"/>
  <c r="W30" i="4"/>
  <c r="W31" i="4" s="1"/>
  <c r="W32" i="4" s="1"/>
  <c r="W33" i="4" s="1"/>
  <c r="W34" i="4" s="1"/>
  <c r="W35" i="4" s="1"/>
  <c r="W36" i="4" s="1"/>
  <c r="W37" i="4" s="1"/>
  <c r="W38" i="4" s="1"/>
  <c r="W39" i="4" s="1"/>
  <c r="W40" i="4" s="1"/>
  <c r="W41" i="4" s="1"/>
  <c r="W42" i="4" s="1"/>
  <c r="W43" i="4" s="1"/>
  <c r="W44" i="4" s="1"/>
  <c r="W45" i="4" s="1"/>
  <c r="W46" i="4" s="1"/>
  <c r="W47" i="4" s="1"/>
  <c r="W48" i="4" s="1"/>
  <c r="W49" i="4" s="1"/>
  <c r="W50" i="4" s="1"/>
  <c r="P26" i="4"/>
  <c r="L27" i="4" s="1"/>
  <c r="P27" i="4" s="1"/>
  <c r="L28" i="4" s="1"/>
  <c r="P28" i="4" s="1"/>
  <c r="L29" i="4" s="1"/>
  <c r="P29" i="4" s="1"/>
  <c r="H26" i="4"/>
  <c r="D27" i="4" s="1"/>
  <c r="H27" i="4" s="1"/>
  <c r="D28" i="4" s="1"/>
  <c r="H28" i="4" s="1"/>
  <c r="D29" i="4" s="1"/>
  <c r="H29" i="4" s="1"/>
  <c r="Y26" i="4"/>
  <c r="U27" i="4" s="1"/>
  <c r="Y27" i="4" s="1"/>
  <c r="U28" i="4" s="1"/>
  <c r="Y28" i="4" s="1"/>
  <c r="U29" i="4" s="1"/>
  <c r="Y29" i="4" s="1"/>
  <c r="R26" i="4"/>
  <c r="N27" i="4" s="1"/>
  <c r="R27" i="4" s="1"/>
  <c r="N28" i="4" s="1"/>
  <c r="R28" i="4" s="1"/>
  <c r="N29" i="4" s="1"/>
  <c r="R29" i="4" s="1"/>
  <c r="I26" i="4"/>
  <c r="E27" i="4" s="1"/>
  <c r="I27" i="4" s="1"/>
  <c r="E28" i="4" s="1"/>
  <c r="I28" i="4" s="1"/>
  <c r="E29" i="4" s="1"/>
  <c r="I29" i="4" s="1"/>
  <c r="I27" i="5"/>
  <c r="Q27" i="5"/>
  <c r="AC27" i="5"/>
  <c r="A29" i="5"/>
  <c r="W28" i="5"/>
  <c r="X17" i="3"/>
  <c r="AN17" i="3" s="1"/>
  <c r="O20" i="3"/>
  <c r="AE20" i="3" s="1"/>
  <c r="AU20" i="3" s="1"/>
  <c r="AU19" i="3"/>
  <c r="D22" i="3"/>
  <c r="T22" i="3" s="1"/>
  <c r="AJ21" i="3"/>
  <c r="F17" i="3"/>
  <c r="V17" i="3" s="1"/>
  <c r="AL17" i="3" s="1"/>
  <c r="G25" i="3"/>
  <c r="W24" i="3"/>
  <c r="AM24" i="3" s="1"/>
  <c r="S25" i="3"/>
  <c r="AI25" i="3" s="1"/>
  <c r="L25" i="3"/>
  <c r="AB24" i="3"/>
  <c r="AR24" i="3" s="1"/>
  <c r="K22" i="3"/>
  <c r="AA22" i="3" s="1"/>
  <c r="AQ22" i="3" s="1"/>
  <c r="E24" i="3"/>
  <c r="U24" i="3" s="1"/>
  <c r="AK24" i="3" s="1"/>
  <c r="Q17" i="3"/>
  <c r="AG17" i="3" s="1"/>
  <c r="AW17" i="3" s="1"/>
  <c r="P24" i="3"/>
  <c r="AF24" i="3" s="1"/>
  <c r="AV24" i="3" s="1"/>
  <c r="M25" i="3"/>
  <c r="AC25" i="3" s="1"/>
  <c r="AS25" i="3" s="1"/>
  <c r="J18" i="3"/>
  <c r="Z18" i="3" s="1"/>
  <c r="AP18" i="3" s="1"/>
  <c r="V28" i="4" l="1"/>
  <c r="Z28" i="4" s="1"/>
  <c r="N30" i="4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D30" i="4"/>
  <c r="D31" i="4" s="1"/>
  <c r="D32" i="4" s="1"/>
  <c r="D33" i="4" s="1"/>
  <c r="D34" i="4" s="1"/>
  <c r="D35" i="4" s="1"/>
  <c r="D36" i="4" s="1"/>
  <c r="D37" i="4" s="1"/>
  <c r="D38" i="4" s="1"/>
  <c r="D39" i="4" s="1"/>
  <c r="D40" i="4" s="1"/>
  <c r="D41" i="4" s="1"/>
  <c r="D42" i="4" s="1"/>
  <c r="D43" i="4" s="1"/>
  <c r="D44" i="4" s="1"/>
  <c r="D45" i="4" s="1"/>
  <c r="D46" i="4" s="1"/>
  <c r="D47" i="4" s="1"/>
  <c r="D48" i="4" s="1"/>
  <c r="D49" i="4" s="1"/>
  <c r="D50" i="4" s="1"/>
  <c r="L30" i="4"/>
  <c r="L31" i="4" s="1"/>
  <c r="L32" i="4" s="1"/>
  <c r="I28" i="5"/>
  <c r="Q28" i="5"/>
  <c r="AC28" i="5"/>
  <c r="A30" i="5"/>
  <c r="AC29" i="5"/>
  <c r="H18" i="3"/>
  <c r="D23" i="3"/>
  <c r="T23" i="3" s="1"/>
  <c r="AJ22" i="3"/>
  <c r="O21" i="3"/>
  <c r="AE21" i="3" s="1"/>
  <c r="F18" i="3"/>
  <c r="V18" i="3" s="1"/>
  <c r="S26" i="3"/>
  <c r="AI26" i="3" s="1"/>
  <c r="L26" i="3"/>
  <c r="AB25" i="3"/>
  <c r="AR25" i="3" s="1"/>
  <c r="G26" i="3"/>
  <c r="W25" i="3"/>
  <c r="AM25" i="3" s="1"/>
  <c r="P25" i="3"/>
  <c r="AF25" i="3" s="1"/>
  <c r="AV25" i="3" s="1"/>
  <c r="M26" i="3"/>
  <c r="AC26" i="3" s="1"/>
  <c r="AS26" i="3" s="1"/>
  <c r="E25" i="3"/>
  <c r="U25" i="3" s="1"/>
  <c r="AK25" i="3" s="1"/>
  <c r="K23" i="3"/>
  <c r="AA23" i="3" s="1"/>
  <c r="AQ23" i="3" s="1"/>
  <c r="N18" i="3"/>
  <c r="AD18" i="3" s="1"/>
  <c r="AT18" i="3" s="1"/>
  <c r="V29" i="4" l="1"/>
  <c r="Z29" i="4" s="1"/>
  <c r="L33" i="4"/>
  <c r="I29" i="5"/>
  <c r="Q29" i="5"/>
  <c r="A31" i="5"/>
  <c r="E30" i="4"/>
  <c r="K107" i="5" s="1"/>
  <c r="X18" i="3"/>
  <c r="AN18" i="3" s="1"/>
  <c r="F19" i="3"/>
  <c r="V19" i="3" s="1"/>
  <c r="AL19" i="3" s="1"/>
  <c r="AL18" i="3"/>
  <c r="O22" i="3"/>
  <c r="AE22" i="3" s="1"/>
  <c r="AU22" i="3" s="1"/>
  <c r="AU21" i="3"/>
  <c r="D24" i="3"/>
  <c r="T24" i="3" s="1"/>
  <c r="AJ23" i="3"/>
  <c r="L27" i="3"/>
  <c r="AB26" i="3"/>
  <c r="AR26" i="3" s="1"/>
  <c r="S27" i="3"/>
  <c r="AI27" i="3" s="1"/>
  <c r="G27" i="3"/>
  <c r="W26" i="3"/>
  <c r="AM26" i="3" s="1"/>
  <c r="K24" i="3"/>
  <c r="AA24" i="3" s="1"/>
  <c r="AQ24" i="3" s="1"/>
  <c r="P26" i="3"/>
  <c r="AF26" i="3" s="1"/>
  <c r="AV26" i="3" s="1"/>
  <c r="E26" i="3"/>
  <c r="U26" i="3" s="1"/>
  <c r="AK26" i="3" s="1"/>
  <c r="Q18" i="3"/>
  <c r="AG18" i="3" s="1"/>
  <c r="AW18" i="3" s="1"/>
  <c r="M27" i="3"/>
  <c r="AC27" i="3" s="1"/>
  <c r="AS27" i="3" s="1"/>
  <c r="J19" i="3"/>
  <c r="Z19" i="3" s="1"/>
  <c r="AP19" i="3" s="1"/>
  <c r="E31" i="4" l="1"/>
  <c r="K108" i="5" s="1"/>
  <c r="V32" i="4"/>
  <c r="V31" i="4"/>
  <c r="V30" i="4"/>
  <c r="L34" i="4"/>
  <c r="I30" i="5"/>
  <c r="Q30" i="5"/>
  <c r="AC30" i="5"/>
  <c r="A32" i="5"/>
  <c r="H19" i="3"/>
  <c r="D25" i="3"/>
  <c r="T25" i="3" s="1"/>
  <c r="AJ24" i="3"/>
  <c r="F20" i="3"/>
  <c r="V20" i="3" s="1"/>
  <c r="AL20" i="3" s="1"/>
  <c r="O23" i="3"/>
  <c r="G28" i="3"/>
  <c r="W27" i="3"/>
  <c r="AM27" i="3" s="1"/>
  <c r="L28" i="3"/>
  <c r="AB27" i="3"/>
  <c r="AR27" i="3" s="1"/>
  <c r="S28" i="3"/>
  <c r="AI28" i="3" s="1"/>
  <c r="K25" i="3"/>
  <c r="AA25" i="3" s="1"/>
  <c r="AQ25" i="3" s="1"/>
  <c r="P27" i="3"/>
  <c r="AF27" i="3" s="1"/>
  <c r="AV27" i="3" s="1"/>
  <c r="N19" i="3"/>
  <c r="AD19" i="3" s="1"/>
  <c r="AT19" i="3" s="1"/>
  <c r="E27" i="3"/>
  <c r="U27" i="3" s="1"/>
  <c r="AK27" i="3" s="1"/>
  <c r="M28" i="3"/>
  <c r="AC28" i="3" s="1"/>
  <c r="AS28" i="3" s="1"/>
  <c r="E32" i="4" l="1"/>
  <c r="K109" i="5" s="1"/>
  <c r="L35" i="4"/>
  <c r="I31" i="5"/>
  <c r="Q31" i="5"/>
  <c r="AC31" i="5"/>
  <c r="A33" i="5"/>
  <c r="AC32" i="5"/>
  <c r="W32" i="5"/>
  <c r="C30" i="4"/>
  <c r="M30" i="4"/>
  <c r="L107" i="5" s="1"/>
  <c r="X19" i="3"/>
  <c r="AN19" i="3" s="1"/>
  <c r="D26" i="3"/>
  <c r="T26" i="3" s="1"/>
  <c r="AJ25" i="3"/>
  <c r="S29" i="3"/>
  <c r="AI29" i="3" s="1"/>
  <c r="G29" i="3"/>
  <c r="W28" i="3"/>
  <c r="AM28" i="3" s="1"/>
  <c r="AE23" i="3"/>
  <c r="AU23" i="3" s="1"/>
  <c r="L29" i="3"/>
  <c r="AB28" i="3"/>
  <c r="AR28" i="3" s="1"/>
  <c r="K26" i="3"/>
  <c r="AA26" i="3" s="1"/>
  <c r="AQ26" i="3" s="1"/>
  <c r="P28" i="3"/>
  <c r="AF28" i="3" s="1"/>
  <c r="AV28" i="3" s="1"/>
  <c r="Q19" i="3"/>
  <c r="AG19" i="3" s="1"/>
  <c r="AW19" i="3" s="1"/>
  <c r="E28" i="3"/>
  <c r="U28" i="3" s="1"/>
  <c r="AK28" i="3" s="1"/>
  <c r="M29" i="3"/>
  <c r="AC29" i="3" s="1"/>
  <c r="AS29" i="3" s="1"/>
  <c r="J20" i="3"/>
  <c r="Z20" i="3" s="1"/>
  <c r="AP20" i="3" s="1"/>
  <c r="F21" i="3"/>
  <c r="V21" i="3" s="1"/>
  <c r="AL21" i="3" s="1"/>
  <c r="E33" i="4" l="1"/>
  <c r="K110" i="5" s="1"/>
  <c r="L36" i="4"/>
  <c r="I32" i="5"/>
  <c r="Q32" i="5"/>
  <c r="A34" i="5"/>
  <c r="U30" i="4"/>
  <c r="M107" i="5" s="1"/>
  <c r="M31" i="4"/>
  <c r="L108" i="5" s="1"/>
  <c r="C31" i="4"/>
  <c r="H20" i="3"/>
  <c r="D27" i="3"/>
  <c r="T27" i="3" s="1"/>
  <c r="AJ26" i="3"/>
  <c r="O24" i="3"/>
  <c r="AE24" i="3" s="1"/>
  <c r="AU24" i="3" s="1"/>
  <c r="S30" i="3"/>
  <c r="AI30" i="3" s="1"/>
  <c r="L30" i="3"/>
  <c r="AB29" i="3"/>
  <c r="AR29" i="3" s="1"/>
  <c r="G30" i="3"/>
  <c r="W29" i="3"/>
  <c r="AM29" i="3" s="1"/>
  <c r="E29" i="3"/>
  <c r="U29" i="3" s="1"/>
  <c r="AK29" i="3" s="1"/>
  <c r="M30" i="3"/>
  <c r="AC30" i="3" s="1"/>
  <c r="AS30" i="3" s="1"/>
  <c r="K27" i="3"/>
  <c r="AA27" i="3" s="1"/>
  <c r="AQ27" i="3" s="1"/>
  <c r="Q20" i="3"/>
  <c r="AG20" i="3" s="1"/>
  <c r="AW20" i="3" s="1"/>
  <c r="N20" i="3"/>
  <c r="AD20" i="3" s="1"/>
  <c r="AT20" i="3" s="1"/>
  <c r="P29" i="3"/>
  <c r="AF29" i="3" s="1"/>
  <c r="AV29" i="3" s="1"/>
  <c r="E34" i="4" l="1"/>
  <c r="K111" i="5" s="1"/>
  <c r="L37" i="4"/>
  <c r="I33" i="5"/>
  <c r="Q33" i="5"/>
  <c r="AC34" i="5"/>
  <c r="AC33" i="5"/>
  <c r="A35" i="5"/>
  <c r="C32" i="4"/>
  <c r="M32" i="4"/>
  <c r="L109" i="5" s="1"/>
  <c r="U31" i="4"/>
  <c r="M108" i="5" s="1"/>
  <c r="X20" i="3"/>
  <c r="AN20" i="3" s="1"/>
  <c r="D28" i="3"/>
  <c r="T28" i="3" s="1"/>
  <c r="AJ27" i="3"/>
  <c r="O25" i="3"/>
  <c r="AE25" i="3" s="1"/>
  <c r="AU25" i="3" s="1"/>
  <c r="L31" i="3"/>
  <c r="AB30" i="3"/>
  <c r="AR30" i="3" s="1"/>
  <c r="S31" i="3"/>
  <c r="AI31" i="3" s="1"/>
  <c r="G31" i="3"/>
  <c r="W30" i="3"/>
  <c r="AM30" i="3" s="1"/>
  <c r="P30" i="3"/>
  <c r="AF30" i="3" s="1"/>
  <c r="AV30" i="3" s="1"/>
  <c r="K28" i="3"/>
  <c r="AA28" i="3" s="1"/>
  <c r="AQ28" i="3" s="1"/>
  <c r="E30" i="3"/>
  <c r="U30" i="3" s="1"/>
  <c r="AK30" i="3" s="1"/>
  <c r="M31" i="3"/>
  <c r="AC31" i="3" s="1"/>
  <c r="AS31" i="3" s="1"/>
  <c r="J21" i="3"/>
  <c r="Z21" i="3" s="1"/>
  <c r="AP21" i="3" s="1"/>
  <c r="F22" i="3"/>
  <c r="V22" i="3" s="1"/>
  <c r="AL22" i="3" s="1"/>
  <c r="E35" i="4" l="1"/>
  <c r="K112" i="5" s="1"/>
  <c r="L38" i="4"/>
  <c r="I34" i="5"/>
  <c r="Q34" i="5"/>
  <c r="A36" i="5"/>
  <c r="U32" i="4"/>
  <c r="M109" i="5" s="1"/>
  <c r="M33" i="4"/>
  <c r="L110" i="5" s="1"/>
  <c r="C33" i="4"/>
  <c r="H21" i="3"/>
  <c r="D29" i="3"/>
  <c r="T29" i="3" s="1"/>
  <c r="AJ28" i="3"/>
  <c r="O26" i="3"/>
  <c r="AE26" i="3" s="1"/>
  <c r="AU26" i="3" s="1"/>
  <c r="L32" i="3"/>
  <c r="AB31" i="3"/>
  <c r="AR31" i="3" s="1"/>
  <c r="G32" i="3"/>
  <c r="W31" i="3"/>
  <c r="AM31" i="3" s="1"/>
  <c r="S32" i="3"/>
  <c r="AI32" i="3" s="1"/>
  <c r="E31" i="3"/>
  <c r="U31" i="3" s="1"/>
  <c r="AK31" i="3" s="1"/>
  <c r="K29" i="3"/>
  <c r="AA29" i="3" s="1"/>
  <c r="AQ29" i="3" s="1"/>
  <c r="N21" i="3"/>
  <c r="AD21" i="3" s="1"/>
  <c r="AT21" i="3" s="1"/>
  <c r="M32" i="3"/>
  <c r="AC32" i="3" s="1"/>
  <c r="AS32" i="3" s="1"/>
  <c r="P31" i="3"/>
  <c r="AF31" i="3" s="1"/>
  <c r="AV31" i="3" s="1"/>
  <c r="Q21" i="3"/>
  <c r="AG21" i="3" s="1"/>
  <c r="AW21" i="3" s="1"/>
  <c r="E36" i="4" l="1"/>
  <c r="K113" i="5" s="1"/>
  <c r="L39" i="4"/>
  <c r="I35" i="5"/>
  <c r="Q35" i="5"/>
  <c r="AC35" i="5"/>
  <c r="A37" i="5"/>
  <c r="W36" i="5"/>
  <c r="M34" i="4"/>
  <c r="L111" i="5" s="1"/>
  <c r="C34" i="4"/>
  <c r="U33" i="4"/>
  <c r="M110" i="5" s="1"/>
  <c r="X21" i="3"/>
  <c r="AN21" i="3" s="1"/>
  <c r="D30" i="3"/>
  <c r="T30" i="3" s="1"/>
  <c r="AJ29" i="3"/>
  <c r="O27" i="3"/>
  <c r="AE27" i="3" s="1"/>
  <c r="AU27" i="3" s="1"/>
  <c r="L33" i="3"/>
  <c r="AB32" i="3"/>
  <c r="AR32" i="3" s="1"/>
  <c r="S33" i="3"/>
  <c r="AI33" i="3" s="1"/>
  <c r="G33" i="3"/>
  <c r="W32" i="3"/>
  <c r="AM32" i="3" s="1"/>
  <c r="Q22" i="3"/>
  <c r="AG22" i="3" s="1"/>
  <c r="AW22" i="3" s="1"/>
  <c r="P32" i="3"/>
  <c r="AF32" i="3" s="1"/>
  <c r="AV32" i="3" s="1"/>
  <c r="M33" i="3"/>
  <c r="AC33" i="3" s="1"/>
  <c r="AS33" i="3" s="1"/>
  <c r="E32" i="3"/>
  <c r="U32" i="3" s="1"/>
  <c r="AK32" i="3" s="1"/>
  <c r="K30" i="3"/>
  <c r="AA30" i="3" s="1"/>
  <c r="AQ30" i="3" s="1"/>
  <c r="J22" i="3"/>
  <c r="Z22" i="3" s="1"/>
  <c r="AP22" i="3" s="1"/>
  <c r="F23" i="3"/>
  <c r="V23" i="3" s="1"/>
  <c r="AL23" i="3" s="1"/>
  <c r="E37" i="4" l="1"/>
  <c r="K114" i="5" s="1"/>
  <c r="L40" i="4"/>
  <c r="I36" i="5"/>
  <c r="Q36" i="5"/>
  <c r="AC36" i="5"/>
  <c r="A38" i="5"/>
  <c r="U34" i="4"/>
  <c r="M111" i="5" s="1"/>
  <c r="C35" i="4"/>
  <c r="M35" i="4"/>
  <c r="L112" i="5" s="1"/>
  <c r="H22" i="3"/>
  <c r="D31" i="3"/>
  <c r="T31" i="3" s="1"/>
  <c r="AJ30" i="3"/>
  <c r="O28" i="3"/>
  <c r="AE28" i="3" s="1"/>
  <c r="AU28" i="3" s="1"/>
  <c r="G34" i="3"/>
  <c r="W33" i="3"/>
  <c r="AM33" i="3" s="1"/>
  <c r="L34" i="3"/>
  <c r="AB33" i="3"/>
  <c r="AR33" i="3" s="1"/>
  <c r="S34" i="3"/>
  <c r="AI34" i="3" s="1"/>
  <c r="K31" i="3"/>
  <c r="AA31" i="3" s="1"/>
  <c r="AQ31" i="3" s="1"/>
  <c r="P33" i="3"/>
  <c r="AF33" i="3" s="1"/>
  <c r="AV33" i="3" s="1"/>
  <c r="E33" i="3"/>
  <c r="U33" i="3" s="1"/>
  <c r="AK33" i="3" s="1"/>
  <c r="M34" i="3"/>
  <c r="AC34" i="3" s="1"/>
  <c r="AS34" i="3" s="1"/>
  <c r="N22" i="3"/>
  <c r="AD22" i="3" s="1"/>
  <c r="AT22" i="3" s="1"/>
  <c r="E38" i="4" l="1"/>
  <c r="K115" i="5" s="1"/>
  <c r="L41" i="4"/>
  <c r="I37" i="5"/>
  <c r="Q37" i="5"/>
  <c r="AC37" i="5"/>
  <c r="A39" i="5"/>
  <c r="C36" i="4"/>
  <c r="M36" i="4"/>
  <c r="L113" i="5" s="1"/>
  <c r="U35" i="4"/>
  <c r="M112" i="5" s="1"/>
  <c r="X22" i="3"/>
  <c r="AN22" i="3" s="1"/>
  <c r="D32" i="3"/>
  <c r="T32" i="3" s="1"/>
  <c r="AJ31" i="3"/>
  <c r="O29" i="3"/>
  <c r="AE29" i="3" s="1"/>
  <c r="AU29" i="3" s="1"/>
  <c r="G35" i="3"/>
  <c r="W34" i="3"/>
  <c r="AM34" i="3" s="1"/>
  <c r="S35" i="3"/>
  <c r="AI35" i="3" s="1"/>
  <c r="L35" i="3"/>
  <c r="AB34" i="3"/>
  <c r="AR34" i="3" s="1"/>
  <c r="K32" i="3"/>
  <c r="AA32" i="3" s="1"/>
  <c r="AQ32" i="3" s="1"/>
  <c r="Q23" i="3"/>
  <c r="AG23" i="3" s="1"/>
  <c r="AW23" i="3" s="1"/>
  <c r="E34" i="3"/>
  <c r="U34" i="3" s="1"/>
  <c r="AK34" i="3" s="1"/>
  <c r="M35" i="3"/>
  <c r="AC35" i="3" s="1"/>
  <c r="AS35" i="3" s="1"/>
  <c r="P34" i="3"/>
  <c r="AF34" i="3" s="1"/>
  <c r="AV34" i="3" s="1"/>
  <c r="J23" i="3"/>
  <c r="Z23" i="3" s="1"/>
  <c r="AP23" i="3" s="1"/>
  <c r="F24" i="3"/>
  <c r="V24" i="3" s="1"/>
  <c r="AL24" i="3" s="1"/>
  <c r="E39" i="4" l="1"/>
  <c r="L42" i="4"/>
  <c r="AC38" i="5"/>
  <c r="I38" i="5"/>
  <c r="Q38" i="5"/>
  <c r="A40" i="5"/>
  <c r="U36" i="4"/>
  <c r="M113" i="5" s="1"/>
  <c r="M37" i="4"/>
  <c r="L114" i="5" s="1"/>
  <c r="C37" i="4"/>
  <c r="H23" i="3"/>
  <c r="D33" i="3"/>
  <c r="T33" i="3" s="1"/>
  <c r="AJ32" i="3"/>
  <c r="O30" i="3"/>
  <c r="AE30" i="3" s="1"/>
  <c r="AU30" i="3" s="1"/>
  <c r="S36" i="3"/>
  <c r="AI36" i="3" s="1"/>
  <c r="L36" i="3"/>
  <c r="AB35" i="3"/>
  <c r="AR35" i="3" s="1"/>
  <c r="G36" i="3"/>
  <c r="W35" i="3"/>
  <c r="AM35" i="3" s="1"/>
  <c r="P35" i="3"/>
  <c r="AF35" i="3" s="1"/>
  <c r="AV35" i="3" s="1"/>
  <c r="E35" i="3"/>
  <c r="U35" i="3" s="1"/>
  <c r="AK35" i="3" s="1"/>
  <c r="M36" i="3"/>
  <c r="AC36" i="3" s="1"/>
  <c r="AS36" i="3" s="1"/>
  <c r="K33" i="3"/>
  <c r="AA33" i="3" s="1"/>
  <c r="AQ33" i="3" s="1"/>
  <c r="N23" i="3"/>
  <c r="AD23" i="3" s="1"/>
  <c r="AT23" i="3" s="1"/>
  <c r="E40" i="4" l="1"/>
  <c r="L43" i="4"/>
  <c r="I39" i="5"/>
  <c r="Q39" i="5"/>
  <c r="AC39" i="5"/>
  <c r="A41" i="5"/>
  <c r="W40" i="5"/>
  <c r="M38" i="4"/>
  <c r="L115" i="5" s="1"/>
  <c r="C38" i="4"/>
  <c r="U37" i="4"/>
  <c r="M114" i="5" s="1"/>
  <c r="X23" i="3"/>
  <c r="AN23" i="3" s="1"/>
  <c r="D34" i="3"/>
  <c r="T34" i="3" s="1"/>
  <c r="AJ33" i="3"/>
  <c r="O31" i="3"/>
  <c r="AE31" i="3" s="1"/>
  <c r="AU31" i="3" s="1"/>
  <c r="G37" i="3"/>
  <c r="W36" i="3"/>
  <c r="AM36" i="3" s="1"/>
  <c r="L37" i="3"/>
  <c r="AB36" i="3"/>
  <c r="AR36" i="3" s="1"/>
  <c r="S37" i="3"/>
  <c r="AI37" i="3" s="1"/>
  <c r="K34" i="3"/>
  <c r="AA34" i="3" s="1"/>
  <c r="AQ34" i="3" s="1"/>
  <c r="P36" i="3"/>
  <c r="AF36" i="3" s="1"/>
  <c r="AV36" i="3" s="1"/>
  <c r="M37" i="3"/>
  <c r="AC37" i="3" s="1"/>
  <c r="AS37" i="3" s="1"/>
  <c r="Q24" i="3"/>
  <c r="AG24" i="3" s="1"/>
  <c r="AW24" i="3" s="1"/>
  <c r="E36" i="3"/>
  <c r="U36" i="3" s="1"/>
  <c r="AK36" i="3" s="1"/>
  <c r="J24" i="3"/>
  <c r="Z24" i="3" s="1"/>
  <c r="AP24" i="3" s="1"/>
  <c r="F25" i="3"/>
  <c r="V25" i="3" s="1"/>
  <c r="AL25" i="3" s="1"/>
  <c r="E41" i="4" l="1"/>
  <c r="L44" i="4"/>
  <c r="I40" i="5"/>
  <c r="Q40" i="5"/>
  <c r="AC40" i="5"/>
  <c r="A42" i="5"/>
  <c r="U38" i="4"/>
  <c r="M115" i="5" s="1"/>
  <c r="C39" i="4"/>
  <c r="M39" i="4"/>
  <c r="H24" i="3"/>
  <c r="D35" i="3"/>
  <c r="T35" i="3" s="1"/>
  <c r="AJ34" i="3"/>
  <c r="O32" i="3"/>
  <c r="AE32" i="3" s="1"/>
  <c r="AU32" i="3" s="1"/>
  <c r="L38" i="3"/>
  <c r="AB37" i="3"/>
  <c r="AR37" i="3" s="1"/>
  <c r="S38" i="3"/>
  <c r="AI38" i="3" s="1"/>
  <c r="G38" i="3"/>
  <c r="W37" i="3"/>
  <c r="AM37" i="3" s="1"/>
  <c r="E37" i="3"/>
  <c r="U37" i="3" s="1"/>
  <c r="AK37" i="3" s="1"/>
  <c r="P37" i="3"/>
  <c r="AF37" i="3" s="1"/>
  <c r="AV37" i="3" s="1"/>
  <c r="M38" i="3"/>
  <c r="AC38" i="3" s="1"/>
  <c r="AS38" i="3" s="1"/>
  <c r="K35" i="3"/>
  <c r="AA35" i="3" s="1"/>
  <c r="AQ35" i="3" s="1"/>
  <c r="N24" i="3"/>
  <c r="AD24" i="3" s="1"/>
  <c r="AT24" i="3" s="1"/>
  <c r="E42" i="4" l="1"/>
  <c r="L45" i="4"/>
  <c r="I41" i="5"/>
  <c r="Q41" i="5"/>
  <c r="AC41" i="5"/>
  <c r="A43" i="5"/>
  <c r="C40" i="4"/>
  <c r="M40" i="4"/>
  <c r="U39" i="4"/>
  <c r="X24" i="3"/>
  <c r="AN24" i="3" s="1"/>
  <c r="D36" i="3"/>
  <c r="T36" i="3" s="1"/>
  <c r="AJ35" i="3"/>
  <c r="O33" i="3"/>
  <c r="S39" i="3"/>
  <c r="AI39" i="3" s="1"/>
  <c r="G39" i="3"/>
  <c r="W38" i="3"/>
  <c r="AM38" i="3" s="1"/>
  <c r="L39" i="3"/>
  <c r="AB38" i="3"/>
  <c r="AR38" i="3" s="1"/>
  <c r="K36" i="3"/>
  <c r="AA36" i="3" s="1"/>
  <c r="AQ36" i="3" s="1"/>
  <c r="P38" i="3"/>
  <c r="AF38" i="3" s="1"/>
  <c r="AV38" i="3" s="1"/>
  <c r="E38" i="3"/>
  <c r="U38" i="3" s="1"/>
  <c r="AK38" i="3" s="1"/>
  <c r="M39" i="3"/>
  <c r="AC39" i="3" s="1"/>
  <c r="AS39" i="3" s="1"/>
  <c r="Q25" i="3"/>
  <c r="AG25" i="3" s="1"/>
  <c r="AW25" i="3" s="1"/>
  <c r="J25" i="3"/>
  <c r="Z25" i="3" s="1"/>
  <c r="AP25" i="3" s="1"/>
  <c r="F26" i="3"/>
  <c r="V26" i="3" s="1"/>
  <c r="AL26" i="3" s="1"/>
  <c r="E43" i="4" l="1"/>
  <c r="L46" i="4"/>
  <c r="L47" i="4" s="1"/>
  <c r="L48" i="4" s="1"/>
  <c r="L49" i="4" s="1"/>
  <c r="L50" i="4" s="1"/>
  <c r="I42" i="5"/>
  <c r="Q42" i="5"/>
  <c r="AC42" i="5"/>
  <c r="A44" i="5"/>
  <c r="U40" i="4"/>
  <c r="M41" i="4"/>
  <c r="C41" i="4"/>
  <c r="H25" i="3"/>
  <c r="D37" i="3"/>
  <c r="T37" i="3" s="1"/>
  <c r="AJ36" i="3"/>
  <c r="L40" i="3"/>
  <c r="AB39" i="3"/>
  <c r="AR39" i="3" s="1"/>
  <c r="G40" i="3"/>
  <c r="W39" i="3"/>
  <c r="AM39" i="3" s="1"/>
  <c r="S40" i="3"/>
  <c r="AI40" i="3" s="1"/>
  <c r="AE33" i="3"/>
  <c r="AU33" i="3" s="1"/>
  <c r="K37" i="3"/>
  <c r="AA37" i="3" s="1"/>
  <c r="AQ37" i="3" s="1"/>
  <c r="P39" i="3"/>
  <c r="AF39" i="3" s="1"/>
  <c r="AV39" i="3" s="1"/>
  <c r="M40" i="3"/>
  <c r="AC40" i="3" s="1"/>
  <c r="AS40" i="3" s="1"/>
  <c r="N25" i="3"/>
  <c r="AD25" i="3" s="1"/>
  <c r="AT25" i="3" s="1"/>
  <c r="Q26" i="3"/>
  <c r="AG26" i="3" s="1"/>
  <c r="AW26" i="3" s="1"/>
  <c r="E39" i="3"/>
  <c r="U39" i="3" s="1"/>
  <c r="AK39" i="3" s="1"/>
  <c r="E44" i="4" l="1"/>
  <c r="I43" i="5"/>
  <c r="Q43" i="5"/>
  <c r="AC43" i="5"/>
  <c r="A45" i="5"/>
  <c r="W44" i="5"/>
  <c r="M42" i="4"/>
  <c r="C42" i="4"/>
  <c r="U41" i="4"/>
  <c r="X25" i="3"/>
  <c r="AN25" i="3" s="1"/>
  <c r="D38" i="3"/>
  <c r="T38" i="3" s="1"/>
  <c r="AJ37" i="3"/>
  <c r="O34" i="3"/>
  <c r="AE34" i="3" s="1"/>
  <c r="AU34" i="3" s="1"/>
  <c r="S41" i="3"/>
  <c r="AI41" i="3" s="1"/>
  <c r="G41" i="3"/>
  <c r="W40" i="3"/>
  <c r="AM40" i="3" s="1"/>
  <c r="L41" i="3"/>
  <c r="AB40" i="3"/>
  <c r="AR40" i="3" s="1"/>
  <c r="E40" i="3"/>
  <c r="U40" i="3" s="1"/>
  <c r="AK40" i="3" s="1"/>
  <c r="Q27" i="3"/>
  <c r="AG27" i="3" s="1"/>
  <c r="AW27" i="3" s="1"/>
  <c r="P40" i="3"/>
  <c r="AF40" i="3" s="1"/>
  <c r="AV40" i="3" s="1"/>
  <c r="M41" i="3"/>
  <c r="AC41" i="3" s="1"/>
  <c r="AS41" i="3" s="1"/>
  <c r="K38" i="3"/>
  <c r="AA38" i="3" s="1"/>
  <c r="AQ38" i="3" s="1"/>
  <c r="J26" i="3"/>
  <c r="Z26" i="3" s="1"/>
  <c r="AP26" i="3" s="1"/>
  <c r="F27" i="3"/>
  <c r="V27" i="3" s="1"/>
  <c r="AL27" i="3" s="1"/>
  <c r="E45" i="4" l="1"/>
  <c r="I44" i="5"/>
  <c r="Q44" i="5"/>
  <c r="AC44" i="5"/>
  <c r="A46" i="5"/>
  <c r="U42" i="4"/>
  <c r="C43" i="4"/>
  <c r="M43" i="4"/>
  <c r="H26" i="3"/>
  <c r="D39" i="3"/>
  <c r="T39" i="3" s="1"/>
  <c r="AJ38" i="3"/>
  <c r="O35" i="3"/>
  <c r="AE35" i="3" s="1"/>
  <c r="AU35" i="3" s="1"/>
  <c r="G42" i="3"/>
  <c r="W41" i="3"/>
  <c r="AM41" i="3" s="1"/>
  <c r="S42" i="3"/>
  <c r="AI42" i="3" s="1"/>
  <c r="L42" i="3"/>
  <c r="AB41" i="3"/>
  <c r="AR41" i="3" s="1"/>
  <c r="K39" i="3"/>
  <c r="AA39" i="3" s="1"/>
  <c r="AQ39" i="3" s="1"/>
  <c r="P41" i="3"/>
  <c r="AF41" i="3" s="1"/>
  <c r="AV41" i="3" s="1"/>
  <c r="E41" i="3"/>
  <c r="U41" i="3" s="1"/>
  <c r="AK41" i="3" s="1"/>
  <c r="M42" i="3"/>
  <c r="AC42" i="3" s="1"/>
  <c r="AS42" i="3" s="1"/>
  <c r="N26" i="3"/>
  <c r="AD26" i="3" s="1"/>
  <c r="AT26" i="3" s="1"/>
  <c r="E46" i="4" l="1"/>
  <c r="I45" i="5"/>
  <c r="Q45" i="5"/>
  <c r="AC45" i="5"/>
  <c r="A47" i="5"/>
  <c r="C44" i="4"/>
  <c r="M44" i="4"/>
  <c r="U43" i="4"/>
  <c r="X26" i="3"/>
  <c r="AN26" i="3" s="1"/>
  <c r="D40" i="3"/>
  <c r="T40" i="3" s="1"/>
  <c r="AJ39" i="3"/>
  <c r="O36" i="3"/>
  <c r="AE36" i="3" s="1"/>
  <c r="AU36" i="3" s="1"/>
  <c r="S43" i="3"/>
  <c r="AI43" i="3" s="1"/>
  <c r="G43" i="3"/>
  <c r="W42" i="3"/>
  <c r="AM42" i="3" s="1"/>
  <c r="L43" i="3"/>
  <c r="AB42" i="3"/>
  <c r="AR42" i="3" s="1"/>
  <c r="P42" i="3"/>
  <c r="AF42" i="3" s="1"/>
  <c r="AV42" i="3" s="1"/>
  <c r="Q28" i="3"/>
  <c r="AG28" i="3" s="1"/>
  <c r="AW28" i="3" s="1"/>
  <c r="M43" i="3"/>
  <c r="AC43" i="3" s="1"/>
  <c r="AS43" i="3" s="1"/>
  <c r="K40" i="3"/>
  <c r="AA40" i="3" s="1"/>
  <c r="AQ40" i="3" s="1"/>
  <c r="E42" i="3"/>
  <c r="U42" i="3" s="1"/>
  <c r="AK42" i="3" s="1"/>
  <c r="J27" i="3"/>
  <c r="Z27" i="3" s="1"/>
  <c r="AP27" i="3" s="1"/>
  <c r="F28" i="3"/>
  <c r="V28" i="3" s="1"/>
  <c r="AL28" i="3" s="1"/>
  <c r="E47" i="4" l="1"/>
  <c r="I46" i="5"/>
  <c r="Q46" i="5"/>
  <c r="AC46" i="5"/>
  <c r="A48" i="5"/>
  <c r="U44" i="4"/>
  <c r="M45" i="4"/>
  <c r="C45" i="4"/>
  <c r="H27" i="3"/>
  <c r="D41" i="3"/>
  <c r="T41" i="3" s="1"/>
  <c r="AJ40" i="3"/>
  <c r="O37" i="3"/>
  <c r="AE37" i="3" s="1"/>
  <c r="AU37" i="3" s="1"/>
  <c r="G44" i="3"/>
  <c r="W43" i="3"/>
  <c r="AM43" i="3" s="1"/>
  <c r="S44" i="3"/>
  <c r="AI44" i="3" s="1"/>
  <c r="L44" i="3"/>
  <c r="AB43" i="3"/>
  <c r="AR43" i="3" s="1"/>
  <c r="E43" i="3"/>
  <c r="U43" i="3" s="1"/>
  <c r="AK43" i="3" s="1"/>
  <c r="K41" i="3"/>
  <c r="AA41" i="3" s="1"/>
  <c r="AQ41" i="3" s="1"/>
  <c r="P43" i="3"/>
  <c r="AF43" i="3" s="1"/>
  <c r="AV43" i="3" s="1"/>
  <c r="M44" i="3"/>
  <c r="AC44" i="3" s="1"/>
  <c r="AS44" i="3" s="1"/>
  <c r="N27" i="3"/>
  <c r="AD27" i="3" s="1"/>
  <c r="AT27" i="3" s="1"/>
  <c r="E48" i="4" l="1"/>
  <c r="I47" i="5"/>
  <c r="Q47" i="5"/>
  <c r="AC47" i="5"/>
  <c r="A49" i="5"/>
  <c r="W48" i="5"/>
  <c r="C46" i="4"/>
  <c r="C47" i="4" s="1"/>
  <c r="C48" i="4" s="1"/>
  <c r="C49" i="4" s="1"/>
  <c r="C50" i="4" s="1"/>
  <c r="M46" i="4"/>
  <c r="U45" i="4"/>
  <c r="X27" i="3"/>
  <c r="AN27" i="3" s="1"/>
  <c r="D42" i="3"/>
  <c r="T42" i="3" s="1"/>
  <c r="AJ41" i="3"/>
  <c r="O38" i="3"/>
  <c r="AE38" i="3" s="1"/>
  <c r="AU38" i="3" s="1"/>
  <c r="S45" i="3"/>
  <c r="AI45" i="3" s="1"/>
  <c r="L45" i="3"/>
  <c r="AB44" i="3"/>
  <c r="AR44" i="3" s="1"/>
  <c r="G45" i="3"/>
  <c r="W44" i="3"/>
  <c r="AM44" i="3" s="1"/>
  <c r="K42" i="3"/>
  <c r="AA42" i="3" s="1"/>
  <c r="AQ42" i="3" s="1"/>
  <c r="M45" i="3"/>
  <c r="AC45" i="3" s="1"/>
  <c r="AS45" i="3" s="1"/>
  <c r="Q29" i="3"/>
  <c r="AG29" i="3" s="1"/>
  <c r="AW29" i="3" s="1"/>
  <c r="E44" i="3"/>
  <c r="U44" i="3" s="1"/>
  <c r="AK44" i="3" s="1"/>
  <c r="P44" i="3"/>
  <c r="AF44" i="3" s="1"/>
  <c r="AV44" i="3" s="1"/>
  <c r="J28" i="3"/>
  <c r="Z28" i="3" s="1"/>
  <c r="AP28" i="3" s="1"/>
  <c r="F29" i="3"/>
  <c r="V29" i="3" s="1"/>
  <c r="AL29" i="3" s="1"/>
  <c r="E49" i="4" l="1"/>
  <c r="M47" i="4"/>
  <c r="I48" i="5"/>
  <c r="Q48" i="5"/>
  <c r="AC48" i="5"/>
  <c r="A50" i="5"/>
  <c r="U46" i="4"/>
  <c r="H28" i="3"/>
  <c r="D43" i="3"/>
  <c r="T43" i="3" s="1"/>
  <c r="AJ42" i="3"/>
  <c r="O39" i="3"/>
  <c r="AE39" i="3" s="1"/>
  <c r="AU39" i="3" s="1"/>
  <c r="L46" i="3"/>
  <c r="AB45" i="3"/>
  <c r="AR45" i="3" s="1"/>
  <c r="S46" i="3"/>
  <c r="AI46" i="3" s="1"/>
  <c r="G46" i="3"/>
  <c r="W45" i="3"/>
  <c r="AM45" i="3" s="1"/>
  <c r="P45" i="3"/>
  <c r="AF45" i="3" s="1"/>
  <c r="AV45" i="3" s="1"/>
  <c r="E45" i="3"/>
  <c r="U45" i="3" s="1"/>
  <c r="AK45" i="3" s="1"/>
  <c r="K43" i="3"/>
  <c r="AA43" i="3" s="1"/>
  <c r="AQ43" i="3" s="1"/>
  <c r="M46" i="3"/>
  <c r="AC46" i="3" s="1"/>
  <c r="AS46" i="3" s="1"/>
  <c r="N28" i="3"/>
  <c r="AD28" i="3" s="1"/>
  <c r="AT28" i="3" s="1"/>
  <c r="M48" i="4" l="1"/>
  <c r="E50" i="4"/>
  <c r="U47" i="4"/>
  <c r="I49" i="5"/>
  <c r="Q49" i="5"/>
  <c r="AC49" i="5"/>
  <c r="A51" i="5"/>
  <c r="X28" i="3"/>
  <c r="AN28" i="3" s="1"/>
  <c r="D44" i="3"/>
  <c r="T44" i="3" s="1"/>
  <c r="AJ43" i="3"/>
  <c r="O40" i="3"/>
  <c r="AE40" i="3" s="1"/>
  <c r="AU40" i="3" s="1"/>
  <c r="S47" i="3"/>
  <c r="AI47" i="3" s="1"/>
  <c r="L47" i="3"/>
  <c r="AB46" i="3"/>
  <c r="AR46" i="3" s="1"/>
  <c r="G47" i="3"/>
  <c r="W46" i="3"/>
  <c r="AM46" i="3" s="1"/>
  <c r="K44" i="3"/>
  <c r="AA44" i="3" s="1"/>
  <c r="AQ44" i="3" s="1"/>
  <c r="P46" i="3"/>
  <c r="AF46" i="3" s="1"/>
  <c r="AV46" i="3" s="1"/>
  <c r="Q30" i="3"/>
  <c r="AG30" i="3" s="1"/>
  <c r="AW30" i="3" s="1"/>
  <c r="E46" i="3"/>
  <c r="U46" i="3" s="1"/>
  <c r="AK46" i="3" s="1"/>
  <c r="M47" i="3"/>
  <c r="AC47" i="3" s="1"/>
  <c r="AS47" i="3" s="1"/>
  <c r="J29" i="3"/>
  <c r="Z29" i="3" s="1"/>
  <c r="AP29" i="3" s="1"/>
  <c r="F30" i="3"/>
  <c r="V30" i="3" s="1"/>
  <c r="AL30" i="3" s="1"/>
  <c r="U48" i="4" l="1"/>
  <c r="M49" i="4"/>
  <c r="I50" i="5"/>
  <c r="Q50" i="5"/>
  <c r="AC50" i="5"/>
  <c r="A52" i="5"/>
  <c r="H29" i="3"/>
  <c r="D45" i="3"/>
  <c r="T45" i="3" s="1"/>
  <c r="AJ44" i="3"/>
  <c r="O41" i="3"/>
  <c r="AE41" i="3" s="1"/>
  <c r="AU41" i="3" s="1"/>
  <c r="L48" i="3"/>
  <c r="AB47" i="3"/>
  <c r="AR47" i="3" s="1"/>
  <c r="G48" i="3"/>
  <c r="W47" i="3"/>
  <c r="AM47" i="3" s="1"/>
  <c r="S48" i="3"/>
  <c r="AI48" i="3" s="1"/>
  <c r="E47" i="3"/>
  <c r="U47" i="3" s="1"/>
  <c r="AK47" i="3" s="1"/>
  <c r="M48" i="3"/>
  <c r="AC48" i="3" s="1"/>
  <c r="AS48" i="3" s="1"/>
  <c r="P47" i="3"/>
  <c r="AF47" i="3" s="1"/>
  <c r="AV47" i="3" s="1"/>
  <c r="K45" i="3"/>
  <c r="AA45" i="3" s="1"/>
  <c r="AQ45" i="3" s="1"/>
  <c r="N29" i="3"/>
  <c r="AD29" i="3" s="1"/>
  <c r="AT29" i="3" s="1"/>
  <c r="U49" i="4" l="1"/>
  <c r="M50" i="4"/>
  <c r="I51" i="5"/>
  <c r="Q51" i="5"/>
  <c r="AC51" i="5"/>
  <c r="A53" i="5"/>
  <c r="W52" i="5"/>
  <c r="X29" i="3"/>
  <c r="AN29" i="3" s="1"/>
  <c r="D46" i="3"/>
  <c r="T46" i="3" s="1"/>
  <c r="AJ45" i="3"/>
  <c r="O42" i="3"/>
  <c r="AE42" i="3" s="1"/>
  <c r="AU42" i="3" s="1"/>
  <c r="G49" i="3"/>
  <c r="W48" i="3"/>
  <c r="AM48" i="3" s="1"/>
  <c r="L49" i="3"/>
  <c r="AB48" i="3"/>
  <c r="AR48" i="3" s="1"/>
  <c r="S49" i="3"/>
  <c r="AI49" i="3" s="1"/>
  <c r="K46" i="3"/>
  <c r="AA46" i="3" s="1"/>
  <c r="AQ46" i="3" s="1"/>
  <c r="E48" i="3"/>
  <c r="U48" i="3" s="1"/>
  <c r="AK48" i="3" s="1"/>
  <c r="P48" i="3"/>
  <c r="AF48" i="3" s="1"/>
  <c r="AV48" i="3" s="1"/>
  <c r="M49" i="3"/>
  <c r="AC49" i="3" s="1"/>
  <c r="AS49" i="3" s="1"/>
  <c r="Q31" i="3"/>
  <c r="AG31" i="3" s="1"/>
  <c r="AW31" i="3" s="1"/>
  <c r="J30" i="3"/>
  <c r="Z30" i="3" s="1"/>
  <c r="AP30" i="3" s="1"/>
  <c r="F31" i="3"/>
  <c r="V31" i="3" s="1"/>
  <c r="AL31" i="3" s="1"/>
  <c r="U50" i="4" l="1"/>
  <c r="AC52" i="5"/>
  <c r="I52" i="5"/>
  <c r="Q52" i="5"/>
  <c r="A54" i="5"/>
  <c r="AC53" i="5"/>
  <c r="H30" i="3"/>
  <c r="D47" i="3"/>
  <c r="T47" i="3" s="1"/>
  <c r="AJ46" i="3"/>
  <c r="O43" i="3"/>
  <c r="AE43" i="3" s="1"/>
  <c r="L50" i="3"/>
  <c r="AB49" i="3"/>
  <c r="AR49" i="3" s="1"/>
  <c r="G50" i="3"/>
  <c r="W49" i="3"/>
  <c r="AM49" i="3" s="1"/>
  <c r="S50" i="3"/>
  <c r="AI50" i="3" s="1"/>
  <c r="P49" i="3"/>
  <c r="AF49" i="3" s="1"/>
  <c r="AV49" i="3" s="1"/>
  <c r="M50" i="3"/>
  <c r="AC50" i="3" s="1"/>
  <c r="AS50" i="3" s="1"/>
  <c r="K47" i="3"/>
  <c r="AA47" i="3" s="1"/>
  <c r="AQ47" i="3" s="1"/>
  <c r="E49" i="3"/>
  <c r="U49" i="3" s="1"/>
  <c r="AK49" i="3" s="1"/>
  <c r="N30" i="3"/>
  <c r="AD30" i="3" s="1"/>
  <c r="AT30" i="3" s="1"/>
  <c r="I53" i="5" l="1"/>
  <c r="Q53" i="5"/>
  <c r="A55" i="5"/>
  <c r="X30" i="3"/>
  <c r="AN30" i="3" s="1"/>
  <c r="O44" i="3"/>
  <c r="AE44" i="3" s="1"/>
  <c r="AU44" i="3" s="1"/>
  <c r="AU43" i="3"/>
  <c r="D48" i="3"/>
  <c r="T48" i="3" s="1"/>
  <c r="AJ47" i="3"/>
  <c r="G51" i="3"/>
  <c r="W50" i="3"/>
  <c r="AM50" i="3" s="1"/>
  <c r="S51" i="3"/>
  <c r="AI51" i="3" s="1"/>
  <c r="L51" i="3"/>
  <c r="AB50" i="3"/>
  <c r="AR50" i="3" s="1"/>
  <c r="K48" i="3"/>
  <c r="AA48" i="3" s="1"/>
  <c r="AQ48" i="3" s="1"/>
  <c r="Q32" i="3"/>
  <c r="AG32" i="3" s="1"/>
  <c r="AW32" i="3" s="1"/>
  <c r="P50" i="3"/>
  <c r="AF50" i="3" s="1"/>
  <c r="AV50" i="3" s="1"/>
  <c r="M51" i="3"/>
  <c r="AC51" i="3" s="1"/>
  <c r="AS51" i="3" s="1"/>
  <c r="E50" i="3"/>
  <c r="U50" i="3" s="1"/>
  <c r="AK50" i="3" s="1"/>
  <c r="J31" i="3"/>
  <c r="Z31" i="3" s="1"/>
  <c r="AP31" i="3" s="1"/>
  <c r="F32" i="3"/>
  <c r="V32" i="3" s="1"/>
  <c r="AL32" i="3" s="1"/>
  <c r="I54" i="5" l="1"/>
  <c r="Q54" i="5"/>
  <c r="AC54" i="5"/>
  <c r="A56" i="5"/>
  <c r="H31" i="3"/>
  <c r="D49" i="3"/>
  <c r="T49" i="3" s="1"/>
  <c r="AJ48" i="3"/>
  <c r="O45" i="3"/>
  <c r="AE45" i="3" s="1"/>
  <c r="AU45" i="3" s="1"/>
  <c r="G52" i="3"/>
  <c r="W51" i="3"/>
  <c r="AM51" i="3" s="1"/>
  <c r="L52" i="3"/>
  <c r="AB51" i="3"/>
  <c r="AR51" i="3" s="1"/>
  <c r="S52" i="3"/>
  <c r="AI52" i="3" s="1"/>
  <c r="E51" i="3"/>
  <c r="U51" i="3" s="1"/>
  <c r="AK51" i="3" s="1"/>
  <c r="P51" i="3"/>
  <c r="AF51" i="3" s="1"/>
  <c r="AV51" i="3" s="1"/>
  <c r="M52" i="3"/>
  <c r="AC52" i="3" s="1"/>
  <c r="AS52" i="3" s="1"/>
  <c r="K49" i="3"/>
  <c r="AA49" i="3" s="1"/>
  <c r="AQ49" i="3" s="1"/>
  <c r="N31" i="3"/>
  <c r="AD31" i="3" s="1"/>
  <c r="AT31" i="3" s="1"/>
  <c r="I55" i="5" l="1"/>
  <c r="Q55" i="5"/>
  <c r="AC55" i="5"/>
  <c r="A57" i="5"/>
  <c r="W56" i="5"/>
  <c r="X31" i="3"/>
  <c r="AN31" i="3" s="1"/>
  <c r="D50" i="3"/>
  <c r="T50" i="3" s="1"/>
  <c r="AJ49" i="3"/>
  <c r="O46" i="3"/>
  <c r="AE46" i="3" s="1"/>
  <c r="AU46" i="3" s="1"/>
  <c r="G53" i="3"/>
  <c r="W52" i="3"/>
  <c r="AM52" i="3" s="1"/>
  <c r="S53" i="3"/>
  <c r="AI53" i="3" s="1"/>
  <c r="L53" i="3"/>
  <c r="AB52" i="3"/>
  <c r="AR52" i="3" s="1"/>
  <c r="K50" i="3"/>
  <c r="AA50" i="3" s="1"/>
  <c r="AQ50" i="3" s="1"/>
  <c r="M53" i="3"/>
  <c r="AC53" i="3" s="1"/>
  <c r="AS53" i="3" s="1"/>
  <c r="P52" i="3"/>
  <c r="AF52" i="3" s="1"/>
  <c r="AV52" i="3" s="1"/>
  <c r="E52" i="3"/>
  <c r="U52" i="3" s="1"/>
  <c r="AK52" i="3" s="1"/>
  <c r="Q33" i="3"/>
  <c r="AG33" i="3" s="1"/>
  <c r="AW33" i="3" s="1"/>
  <c r="J32" i="3"/>
  <c r="Z32" i="3" s="1"/>
  <c r="AP32" i="3" s="1"/>
  <c r="F33" i="3"/>
  <c r="V33" i="3" s="1"/>
  <c r="AL33" i="3" s="1"/>
  <c r="I56" i="5" l="1"/>
  <c r="Q56" i="5"/>
  <c r="AC56" i="5"/>
  <c r="A58" i="5"/>
  <c r="AC57" i="5"/>
  <c r="H32" i="3"/>
  <c r="X32" i="3" s="1"/>
  <c r="AN32" i="3" s="1"/>
  <c r="D51" i="3"/>
  <c r="T51" i="3" s="1"/>
  <c r="AJ50" i="3"/>
  <c r="O47" i="3"/>
  <c r="AE47" i="3" s="1"/>
  <c r="AU47" i="3" s="1"/>
  <c r="S54" i="3"/>
  <c r="AI54" i="3" s="1"/>
  <c r="G54" i="3"/>
  <c r="W53" i="3"/>
  <c r="AM53" i="3" s="1"/>
  <c r="L54" i="3"/>
  <c r="AB53" i="3"/>
  <c r="AR53" i="3" s="1"/>
  <c r="E53" i="3"/>
  <c r="U53" i="3" s="1"/>
  <c r="AK53" i="3" s="1"/>
  <c r="M54" i="3"/>
  <c r="AC54" i="3" s="1"/>
  <c r="AS54" i="3" s="1"/>
  <c r="P53" i="3"/>
  <c r="AF53" i="3" s="1"/>
  <c r="AV53" i="3" s="1"/>
  <c r="K51" i="3"/>
  <c r="AA51" i="3" s="1"/>
  <c r="AQ51" i="3" s="1"/>
  <c r="N32" i="3"/>
  <c r="AD32" i="3" s="1"/>
  <c r="AT32" i="3" s="1"/>
  <c r="I57" i="5" l="1"/>
  <c r="Q57" i="5"/>
  <c r="A59" i="5"/>
  <c r="H33" i="3"/>
  <c r="D52" i="3"/>
  <c r="T52" i="3" s="1"/>
  <c r="AJ51" i="3"/>
  <c r="O48" i="3"/>
  <c r="AE48" i="3" s="1"/>
  <c r="AU48" i="3" s="1"/>
  <c r="G55" i="3"/>
  <c r="W54" i="3"/>
  <c r="AM54" i="3" s="1"/>
  <c r="L55" i="3"/>
  <c r="AB54" i="3"/>
  <c r="AR54" i="3" s="1"/>
  <c r="S55" i="3"/>
  <c r="AI55" i="3" s="1"/>
  <c r="K52" i="3"/>
  <c r="AA52" i="3" s="1"/>
  <c r="AQ52" i="3" s="1"/>
  <c r="P54" i="3"/>
  <c r="AF54" i="3" s="1"/>
  <c r="AV54" i="3" s="1"/>
  <c r="E54" i="3"/>
  <c r="U54" i="3" s="1"/>
  <c r="AK54" i="3" s="1"/>
  <c r="M55" i="3"/>
  <c r="AC55" i="3" s="1"/>
  <c r="AS55" i="3" s="1"/>
  <c r="Q34" i="3"/>
  <c r="AG34" i="3" s="1"/>
  <c r="AW34" i="3" s="1"/>
  <c r="J33" i="3"/>
  <c r="Z33" i="3" s="1"/>
  <c r="AP33" i="3" s="1"/>
  <c r="F34" i="3"/>
  <c r="V34" i="3" s="1"/>
  <c r="AL34" i="3" s="1"/>
  <c r="I58" i="5" l="1"/>
  <c r="Q58" i="5"/>
  <c r="AC58" i="5"/>
  <c r="A60" i="5"/>
  <c r="X33" i="3"/>
  <c r="AN33" i="3" s="1"/>
  <c r="D53" i="3"/>
  <c r="T53" i="3" s="1"/>
  <c r="AJ52" i="3"/>
  <c r="O49" i="3"/>
  <c r="AE49" i="3" s="1"/>
  <c r="AU49" i="3" s="1"/>
  <c r="L56" i="3"/>
  <c r="AB55" i="3"/>
  <c r="AR55" i="3" s="1"/>
  <c r="S56" i="3"/>
  <c r="AI56" i="3" s="1"/>
  <c r="G56" i="3"/>
  <c r="W55" i="3"/>
  <c r="AM55" i="3" s="1"/>
  <c r="P55" i="3"/>
  <c r="AF55" i="3" s="1"/>
  <c r="AV55" i="3" s="1"/>
  <c r="E55" i="3"/>
  <c r="U55" i="3" s="1"/>
  <c r="AK55" i="3" s="1"/>
  <c r="K53" i="3"/>
  <c r="AA53" i="3" s="1"/>
  <c r="AQ53" i="3" s="1"/>
  <c r="M56" i="3"/>
  <c r="AC56" i="3" s="1"/>
  <c r="AS56" i="3" s="1"/>
  <c r="N33" i="3"/>
  <c r="AD33" i="3" s="1"/>
  <c r="AT33" i="3" s="1"/>
  <c r="AC59" i="5" l="1"/>
  <c r="I59" i="5"/>
  <c r="Q59" i="5"/>
  <c r="A61" i="5"/>
  <c r="W60" i="5"/>
  <c r="H34" i="3"/>
  <c r="D54" i="3"/>
  <c r="T54" i="3" s="1"/>
  <c r="AJ53" i="3"/>
  <c r="O50" i="3"/>
  <c r="AE50" i="3" s="1"/>
  <c r="AU50" i="3" s="1"/>
  <c r="S57" i="3"/>
  <c r="AI57" i="3" s="1"/>
  <c r="L57" i="3"/>
  <c r="AB56" i="3"/>
  <c r="AR56" i="3" s="1"/>
  <c r="G57" i="3"/>
  <c r="W56" i="3"/>
  <c r="AM56" i="3" s="1"/>
  <c r="K54" i="3"/>
  <c r="AA54" i="3" s="1"/>
  <c r="AQ54" i="3" s="1"/>
  <c r="P56" i="3"/>
  <c r="AF56" i="3" s="1"/>
  <c r="AV56" i="3" s="1"/>
  <c r="Q35" i="3"/>
  <c r="AG35" i="3" s="1"/>
  <c r="AW35" i="3" s="1"/>
  <c r="E56" i="3"/>
  <c r="U56" i="3" s="1"/>
  <c r="AK56" i="3" s="1"/>
  <c r="M57" i="3"/>
  <c r="AC57" i="3" s="1"/>
  <c r="AS57" i="3" s="1"/>
  <c r="J34" i="3"/>
  <c r="Z34" i="3" s="1"/>
  <c r="AP34" i="3" s="1"/>
  <c r="F35" i="3"/>
  <c r="V35" i="3" s="1"/>
  <c r="AL35" i="3" s="1"/>
  <c r="I60" i="5" l="1"/>
  <c r="Q60" i="5"/>
  <c r="AC60" i="5"/>
  <c r="A62" i="5"/>
  <c r="X34" i="3"/>
  <c r="AN34" i="3" s="1"/>
  <c r="D55" i="3"/>
  <c r="T55" i="3" s="1"/>
  <c r="AJ54" i="3"/>
  <c r="O51" i="3"/>
  <c r="AE51" i="3" s="1"/>
  <c r="AU51" i="3" s="1"/>
  <c r="L58" i="3"/>
  <c r="AB57" i="3"/>
  <c r="AR57" i="3" s="1"/>
  <c r="G58" i="3"/>
  <c r="W57" i="3"/>
  <c r="AM57" i="3" s="1"/>
  <c r="S58" i="3"/>
  <c r="AI58" i="3" s="1"/>
  <c r="P57" i="3"/>
  <c r="AF57" i="3" s="1"/>
  <c r="AV57" i="3" s="1"/>
  <c r="E57" i="3"/>
  <c r="U57" i="3" s="1"/>
  <c r="AK57" i="3" s="1"/>
  <c r="M58" i="3"/>
  <c r="AC58" i="3" s="1"/>
  <c r="AS58" i="3" s="1"/>
  <c r="K55" i="3"/>
  <c r="AA55" i="3" s="1"/>
  <c r="AQ55" i="3" s="1"/>
  <c r="N34" i="3"/>
  <c r="AD34" i="3" s="1"/>
  <c r="AT34" i="3" s="1"/>
  <c r="I61" i="5" l="1"/>
  <c r="Q61" i="5"/>
  <c r="AC61" i="5"/>
  <c r="A63" i="5"/>
  <c r="AC62" i="5"/>
  <c r="H35" i="3"/>
  <c r="D56" i="3"/>
  <c r="T56" i="3" s="1"/>
  <c r="AJ55" i="3"/>
  <c r="O52" i="3"/>
  <c r="AE52" i="3" s="1"/>
  <c r="AU52" i="3" s="1"/>
  <c r="G59" i="3"/>
  <c r="W58" i="3"/>
  <c r="AM58" i="3" s="1"/>
  <c r="L59" i="3"/>
  <c r="AB58" i="3"/>
  <c r="AR58" i="3" s="1"/>
  <c r="S59" i="3"/>
  <c r="AI59" i="3" s="1"/>
  <c r="K56" i="3"/>
  <c r="AA56" i="3" s="1"/>
  <c r="AQ56" i="3" s="1"/>
  <c r="Q36" i="3"/>
  <c r="AG36" i="3" s="1"/>
  <c r="AW36" i="3" s="1"/>
  <c r="M59" i="3"/>
  <c r="AC59" i="3" s="1"/>
  <c r="AS59" i="3" s="1"/>
  <c r="E58" i="3"/>
  <c r="U58" i="3" s="1"/>
  <c r="AK58" i="3" s="1"/>
  <c r="P58" i="3"/>
  <c r="AF58" i="3" s="1"/>
  <c r="AV58" i="3" s="1"/>
  <c r="J35" i="3"/>
  <c r="Z35" i="3" s="1"/>
  <c r="AP35" i="3" s="1"/>
  <c r="F36" i="3"/>
  <c r="V36" i="3" s="1"/>
  <c r="AL36" i="3" s="1"/>
  <c r="I62" i="5" l="1"/>
  <c r="Q62" i="5"/>
  <c r="A64" i="5"/>
  <c r="X35" i="3"/>
  <c r="AN35" i="3" s="1"/>
  <c r="D57" i="3"/>
  <c r="T57" i="3" s="1"/>
  <c r="AJ56" i="3"/>
  <c r="O53" i="3"/>
  <c r="AE53" i="3" s="1"/>
  <c r="AU53" i="3" s="1"/>
  <c r="L60" i="3"/>
  <c r="AB59" i="3"/>
  <c r="AR59" i="3" s="1"/>
  <c r="G60" i="3"/>
  <c r="W59" i="3"/>
  <c r="AM59" i="3" s="1"/>
  <c r="S60" i="3"/>
  <c r="AI60" i="3" s="1"/>
  <c r="P59" i="3"/>
  <c r="AF59" i="3" s="1"/>
  <c r="AV59" i="3" s="1"/>
  <c r="K57" i="3"/>
  <c r="AA57" i="3" s="1"/>
  <c r="AQ57" i="3" s="1"/>
  <c r="E59" i="3"/>
  <c r="U59" i="3" s="1"/>
  <c r="AK59" i="3" s="1"/>
  <c r="M60" i="3"/>
  <c r="AC60" i="3" s="1"/>
  <c r="AS60" i="3" s="1"/>
  <c r="N35" i="3"/>
  <c r="AD35" i="3" s="1"/>
  <c r="AT35" i="3" s="1"/>
  <c r="I63" i="5" l="1"/>
  <c r="Q63" i="5"/>
  <c r="AC63" i="5"/>
  <c r="A65" i="5"/>
  <c r="W64" i="5"/>
  <c r="H36" i="3"/>
  <c r="D58" i="3"/>
  <c r="T58" i="3" s="1"/>
  <c r="AJ57" i="3"/>
  <c r="O54" i="3"/>
  <c r="AE54" i="3" s="1"/>
  <c r="AU54" i="3" s="1"/>
  <c r="L61" i="3"/>
  <c r="AB60" i="3"/>
  <c r="AR60" i="3" s="1"/>
  <c r="G61" i="3"/>
  <c r="W60" i="3"/>
  <c r="AM60" i="3" s="1"/>
  <c r="S61" i="3"/>
  <c r="AI61" i="3" s="1"/>
  <c r="Q37" i="3"/>
  <c r="AG37" i="3" s="1"/>
  <c r="AW37" i="3" s="1"/>
  <c r="E60" i="3"/>
  <c r="U60" i="3" s="1"/>
  <c r="AK60" i="3" s="1"/>
  <c r="P60" i="3"/>
  <c r="AF60" i="3" s="1"/>
  <c r="AV60" i="3" s="1"/>
  <c r="M61" i="3"/>
  <c r="AC61" i="3" s="1"/>
  <c r="AS61" i="3" s="1"/>
  <c r="K58" i="3"/>
  <c r="AA58" i="3" s="1"/>
  <c r="AQ58" i="3" s="1"/>
  <c r="J36" i="3"/>
  <c r="Z36" i="3" s="1"/>
  <c r="AP36" i="3" s="1"/>
  <c r="F37" i="3"/>
  <c r="V37" i="3" s="1"/>
  <c r="AL37" i="3" s="1"/>
  <c r="AC64" i="5" l="1"/>
  <c r="I64" i="5"/>
  <c r="Q64" i="5"/>
  <c r="A66" i="5"/>
  <c r="X36" i="3"/>
  <c r="AN36" i="3" s="1"/>
  <c r="D59" i="3"/>
  <c r="T59" i="3" s="1"/>
  <c r="AJ58" i="3"/>
  <c r="O55" i="3"/>
  <c r="AE55" i="3" s="1"/>
  <c r="AU55" i="3" s="1"/>
  <c r="G62" i="3"/>
  <c r="W61" i="3"/>
  <c r="AM61" i="3" s="1"/>
  <c r="L62" i="3"/>
  <c r="AB61" i="3"/>
  <c r="AR61" i="3" s="1"/>
  <c r="S62" i="3"/>
  <c r="AI62" i="3" s="1"/>
  <c r="K59" i="3"/>
  <c r="AA59" i="3" s="1"/>
  <c r="AQ59" i="3" s="1"/>
  <c r="E61" i="3"/>
  <c r="U61" i="3" s="1"/>
  <c r="AK61" i="3" s="1"/>
  <c r="P61" i="3"/>
  <c r="AF61" i="3" s="1"/>
  <c r="AV61" i="3" s="1"/>
  <c r="M62" i="3"/>
  <c r="AC62" i="3" s="1"/>
  <c r="AS62" i="3" s="1"/>
  <c r="N36" i="3"/>
  <c r="AD36" i="3" s="1"/>
  <c r="AT36" i="3" s="1"/>
  <c r="I65" i="5" l="1"/>
  <c r="Q65" i="5"/>
  <c r="AC65" i="5"/>
  <c r="A67" i="5"/>
  <c r="H37" i="3"/>
  <c r="D60" i="3"/>
  <c r="T60" i="3" s="1"/>
  <c r="AJ59" i="3"/>
  <c r="O56" i="3"/>
  <c r="L63" i="3"/>
  <c r="AB62" i="3"/>
  <c r="AR62" i="3" s="1"/>
  <c r="S63" i="3"/>
  <c r="AI63" i="3" s="1"/>
  <c r="G63" i="3"/>
  <c r="W62" i="3"/>
  <c r="AM62" i="3" s="1"/>
  <c r="Q38" i="3"/>
  <c r="AG38" i="3" s="1"/>
  <c r="AW38" i="3" s="1"/>
  <c r="E62" i="3"/>
  <c r="U62" i="3" s="1"/>
  <c r="AK62" i="3" s="1"/>
  <c r="M63" i="3"/>
  <c r="AC63" i="3" s="1"/>
  <c r="AS63" i="3" s="1"/>
  <c r="P62" i="3"/>
  <c r="AF62" i="3" s="1"/>
  <c r="AV62" i="3" s="1"/>
  <c r="K60" i="3"/>
  <c r="AA60" i="3" s="1"/>
  <c r="AQ60" i="3" s="1"/>
  <c r="J37" i="3"/>
  <c r="Z37" i="3" s="1"/>
  <c r="AP37" i="3" s="1"/>
  <c r="F38" i="3"/>
  <c r="V38" i="3" s="1"/>
  <c r="AL38" i="3" s="1"/>
  <c r="I66" i="5" l="1"/>
  <c r="Q66" i="5"/>
  <c r="AC66" i="5"/>
  <c r="A68" i="5"/>
  <c r="X37" i="3"/>
  <c r="AN37" i="3" s="1"/>
  <c r="D61" i="3"/>
  <c r="T61" i="3" s="1"/>
  <c r="AJ60" i="3"/>
  <c r="G64" i="3"/>
  <c r="W63" i="3"/>
  <c r="AM63" i="3" s="1"/>
  <c r="S64" i="3"/>
  <c r="AI64" i="3" s="1"/>
  <c r="L64" i="3"/>
  <c r="AB63" i="3"/>
  <c r="AR63" i="3" s="1"/>
  <c r="AE56" i="3"/>
  <c r="AU56" i="3" s="1"/>
  <c r="K61" i="3"/>
  <c r="AA61" i="3" s="1"/>
  <c r="AQ61" i="3" s="1"/>
  <c r="P63" i="3"/>
  <c r="AF63" i="3" s="1"/>
  <c r="AV63" i="3" s="1"/>
  <c r="E63" i="3"/>
  <c r="U63" i="3" s="1"/>
  <c r="AK63" i="3" s="1"/>
  <c r="M64" i="3"/>
  <c r="AC64" i="3" s="1"/>
  <c r="AS64" i="3" s="1"/>
  <c r="N37" i="3"/>
  <c r="AD37" i="3" s="1"/>
  <c r="AT37" i="3" s="1"/>
  <c r="I67" i="5" l="1"/>
  <c r="Q67" i="5"/>
  <c r="AC67" i="5"/>
  <c r="A69" i="5"/>
  <c r="AC68" i="5"/>
  <c r="W68" i="5"/>
  <c r="H38" i="3"/>
  <c r="D62" i="3"/>
  <c r="T62" i="3" s="1"/>
  <c r="AJ61" i="3"/>
  <c r="O57" i="3"/>
  <c r="AE57" i="3" s="1"/>
  <c r="AU57" i="3" s="1"/>
  <c r="G65" i="3"/>
  <c r="W64" i="3"/>
  <c r="AM64" i="3" s="1"/>
  <c r="L65" i="3"/>
  <c r="AB64" i="3"/>
  <c r="AR64" i="3" s="1"/>
  <c r="S65" i="3"/>
  <c r="AI65" i="3" s="1"/>
  <c r="P64" i="3"/>
  <c r="AF64" i="3" s="1"/>
  <c r="AV64" i="3" s="1"/>
  <c r="Q39" i="3"/>
  <c r="AG39" i="3" s="1"/>
  <c r="AW39" i="3" s="1"/>
  <c r="E64" i="3"/>
  <c r="U64" i="3" s="1"/>
  <c r="AK64" i="3" s="1"/>
  <c r="M65" i="3"/>
  <c r="AC65" i="3" s="1"/>
  <c r="AS65" i="3" s="1"/>
  <c r="K62" i="3"/>
  <c r="AA62" i="3" s="1"/>
  <c r="AQ62" i="3" s="1"/>
  <c r="J38" i="3"/>
  <c r="Z38" i="3" s="1"/>
  <c r="AP38" i="3" s="1"/>
  <c r="F39" i="3"/>
  <c r="V39" i="3" s="1"/>
  <c r="AL39" i="3" s="1"/>
  <c r="I68" i="5" l="1"/>
  <c r="Q68" i="5"/>
  <c r="A70" i="5"/>
  <c r="X38" i="3"/>
  <c r="AN38" i="3" s="1"/>
  <c r="D63" i="3"/>
  <c r="T63" i="3" s="1"/>
  <c r="AJ62" i="3"/>
  <c r="O58" i="3"/>
  <c r="AE58" i="3" s="1"/>
  <c r="AU58" i="3" s="1"/>
  <c r="L66" i="3"/>
  <c r="AB65" i="3"/>
  <c r="AR65" i="3" s="1"/>
  <c r="S66" i="3"/>
  <c r="AI66" i="3" s="1"/>
  <c r="G66" i="3"/>
  <c r="W65" i="3"/>
  <c r="AM65" i="3" s="1"/>
  <c r="K63" i="3"/>
  <c r="AA63" i="3" s="1"/>
  <c r="AQ63" i="3" s="1"/>
  <c r="M66" i="3"/>
  <c r="AC66" i="3" s="1"/>
  <c r="AS66" i="3" s="1"/>
  <c r="E65" i="3"/>
  <c r="U65" i="3" s="1"/>
  <c r="AK65" i="3" s="1"/>
  <c r="N38" i="3"/>
  <c r="AD38" i="3" s="1"/>
  <c r="AT38" i="3" s="1"/>
  <c r="P65" i="3"/>
  <c r="AF65" i="3" s="1"/>
  <c r="AV65" i="3" s="1"/>
  <c r="I69" i="5" l="1"/>
  <c r="Q69" i="5"/>
  <c r="AC69" i="5"/>
  <c r="A71" i="5"/>
  <c r="H39" i="3"/>
  <c r="D64" i="3"/>
  <c r="T64" i="3" s="1"/>
  <c r="AJ63" i="3"/>
  <c r="O59" i="3"/>
  <c r="AE59" i="3" s="1"/>
  <c r="L67" i="3"/>
  <c r="AB66" i="3"/>
  <c r="AR66" i="3" s="1"/>
  <c r="S67" i="3"/>
  <c r="AI67" i="3" s="1"/>
  <c r="G67" i="3"/>
  <c r="W66" i="3"/>
  <c r="AM66" i="3" s="1"/>
  <c r="P66" i="3"/>
  <c r="AF66" i="3" s="1"/>
  <c r="AV66" i="3" s="1"/>
  <c r="E66" i="3"/>
  <c r="U66" i="3" s="1"/>
  <c r="AK66" i="3" s="1"/>
  <c r="M67" i="3"/>
  <c r="AC67" i="3" s="1"/>
  <c r="AS67" i="3" s="1"/>
  <c r="K64" i="3"/>
  <c r="AA64" i="3" s="1"/>
  <c r="AQ64" i="3" s="1"/>
  <c r="Q40" i="3"/>
  <c r="AG40" i="3" s="1"/>
  <c r="AW40" i="3" s="1"/>
  <c r="J39" i="3"/>
  <c r="Z39" i="3" s="1"/>
  <c r="AP39" i="3" s="1"/>
  <c r="F40" i="3"/>
  <c r="V40" i="3" s="1"/>
  <c r="AL40" i="3" s="1"/>
  <c r="I70" i="5" l="1"/>
  <c r="Q70" i="5"/>
  <c r="AC70" i="5"/>
  <c r="A72" i="5"/>
  <c r="X39" i="3"/>
  <c r="AN39" i="3" s="1"/>
  <c r="O60" i="3"/>
  <c r="AE60" i="3" s="1"/>
  <c r="AU60" i="3" s="1"/>
  <c r="AU59" i="3"/>
  <c r="D65" i="3"/>
  <c r="T65" i="3" s="1"/>
  <c r="AJ64" i="3"/>
  <c r="L68" i="3"/>
  <c r="AB67" i="3"/>
  <c r="AR67" i="3" s="1"/>
  <c r="S68" i="3"/>
  <c r="AI68" i="3" s="1"/>
  <c r="G68" i="3"/>
  <c r="W67" i="3"/>
  <c r="AM67" i="3" s="1"/>
  <c r="K65" i="3"/>
  <c r="AA65" i="3" s="1"/>
  <c r="AQ65" i="3" s="1"/>
  <c r="E67" i="3"/>
  <c r="U67" i="3" s="1"/>
  <c r="AK67" i="3" s="1"/>
  <c r="N39" i="3"/>
  <c r="AD39" i="3" s="1"/>
  <c r="AT39" i="3" s="1"/>
  <c r="M68" i="3"/>
  <c r="AC68" i="3" s="1"/>
  <c r="AS68" i="3" s="1"/>
  <c r="P67" i="3"/>
  <c r="AF67" i="3" s="1"/>
  <c r="AV67" i="3" s="1"/>
  <c r="AC71" i="5" l="1"/>
  <c r="I71" i="5"/>
  <c r="Q71" i="5"/>
  <c r="A73" i="5"/>
  <c r="W72" i="5"/>
  <c r="H40" i="3"/>
  <c r="X40" i="3" s="1"/>
  <c r="AN40" i="3" s="1"/>
  <c r="D66" i="3"/>
  <c r="T66" i="3" s="1"/>
  <c r="AJ65" i="3"/>
  <c r="O61" i="3"/>
  <c r="AE61" i="3" s="1"/>
  <c r="AU61" i="3" s="1"/>
  <c r="L69" i="3"/>
  <c r="AB68" i="3"/>
  <c r="AR68" i="3" s="1"/>
  <c r="S69" i="3"/>
  <c r="AI69" i="3" s="1"/>
  <c r="G69" i="3"/>
  <c r="W68" i="3"/>
  <c r="AM68" i="3" s="1"/>
  <c r="P68" i="3"/>
  <c r="AF68" i="3" s="1"/>
  <c r="AV68" i="3" s="1"/>
  <c r="E68" i="3"/>
  <c r="U68" i="3" s="1"/>
  <c r="AK68" i="3" s="1"/>
  <c r="M69" i="3"/>
  <c r="AC69" i="3" s="1"/>
  <c r="AS69" i="3" s="1"/>
  <c r="K66" i="3"/>
  <c r="AA66" i="3" s="1"/>
  <c r="AQ66" i="3" s="1"/>
  <c r="Q41" i="3"/>
  <c r="AG41" i="3" s="1"/>
  <c r="AW41" i="3" s="1"/>
  <c r="J40" i="3"/>
  <c r="Z40" i="3" s="1"/>
  <c r="AP40" i="3" s="1"/>
  <c r="F41" i="3"/>
  <c r="V41" i="3" s="1"/>
  <c r="AL41" i="3" s="1"/>
  <c r="I72" i="5" l="1"/>
  <c r="Q72" i="5"/>
  <c r="AC72" i="5"/>
  <c r="A74" i="5"/>
  <c r="H41" i="3"/>
  <c r="D67" i="3"/>
  <c r="T67" i="3" s="1"/>
  <c r="AJ66" i="3"/>
  <c r="O62" i="3"/>
  <c r="AE62" i="3" s="1"/>
  <c r="AU62" i="3" s="1"/>
  <c r="S70" i="3"/>
  <c r="AI70" i="3" s="1"/>
  <c r="L70" i="3"/>
  <c r="AB69" i="3"/>
  <c r="AR69" i="3" s="1"/>
  <c r="G70" i="3"/>
  <c r="W69" i="3"/>
  <c r="AM69" i="3" s="1"/>
  <c r="K67" i="3"/>
  <c r="AA67" i="3" s="1"/>
  <c r="AQ67" i="3" s="1"/>
  <c r="E69" i="3"/>
  <c r="U69" i="3" s="1"/>
  <c r="AK69" i="3" s="1"/>
  <c r="M70" i="3"/>
  <c r="AC70" i="3" s="1"/>
  <c r="AS70" i="3" s="1"/>
  <c r="N40" i="3"/>
  <c r="AD40" i="3" s="1"/>
  <c r="AT40" i="3" s="1"/>
  <c r="P69" i="3"/>
  <c r="AF69" i="3" s="1"/>
  <c r="AV69" i="3" s="1"/>
  <c r="I73" i="5" l="1"/>
  <c r="Q73" i="5"/>
  <c r="AC73" i="5"/>
  <c r="A75" i="5"/>
  <c r="X41" i="3"/>
  <c r="AN41" i="3" s="1"/>
  <c r="D68" i="3"/>
  <c r="T68" i="3" s="1"/>
  <c r="AJ67" i="3"/>
  <c r="O63" i="3"/>
  <c r="AE63" i="3" s="1"/>
  <c r="AU63" i="3" s="1"/>
  <c r="L71" i="3"/>
  <c r="AB70" i="3"/>
  <c r="AR70" i="3" s="1"/>
  <c r="G71" i="3"/>
  <c r="W70" i="3"/>
  <c r="AM70" i="3" s="1"/>
  <c r="S71" i="3"/>
  <c r="AI71" i="3" s="1"/>
  <c r="P70" i="3"/>
  <c r="AF70" i="3" s="1"/>
  <c r="AV70" i="3" s="1"/>
  <c r="K68" i="3"/>
  <c r="AA68" i="3" s="1"/>
  <c r="AQ68" i="3" s="1"/>
  <c r="E70" i="3"/>
  <c r="U70" i="3" s="1"/>
  <c r="AK70" i="3" s="1"/>
  <c r="M71" i="3"/>
  <c r="AC71" i="3" s="1"/>
  <c r="AS71" i="3" s="1"/>
  <c r="Q42" i="3"/>
  <c r="AG42" i="3" s="1"/>
  <c r="AW42" i="3" s="1"/>
  <c r="J41" i="3"/>
  <c r="Z41" i="3" s="1"/>
  <c r="AP41" i="3" s="1"/>
  <c r="F42" i="3"/>
  <c r="V42" i="3" s="1"/>
  <c r="AL42" i="3" s="1"/>
  <c r="I74" i="5" l="1"/>
  <c r="Q74" i="5"/>
  <c r="AC74" i="5"/>
  <c r="A76" i="5"/>
  <c r="H42" i="3"/>
  <c r="D69" i="3"/>
  <c r="T69" i="3" s="1"/>
  <c r="AJ68" i="3"/>
  <c r="O64" i="3"/>
  <c r="AE64" i="3" s="1"/>
  <c r="AU64" i="3" s="1"/>
  <c r="G72" i="3"/>
  <c r="W71" i="3"/>
  <c r="AM71" i="3" s="1"/>
  <c r="S72" i="3"/>
  <c r="AI72" i="3" s="1"/>
  <c r="L72" i="3"/>
  <c r="AB71" i="3"/>
  <c r="AR71" i="3" s="1"/>
  <c r="K69" i="3"/>
  <c r="AA69" i="3" s="1"/>
  <c r="AQ69" i="3" s="1"/>
  <c r="E71" i="3"/>
  <c r="U71" i="3" s="1"/>
  <c r="AK71" i="3" s="1"/>
  <c r="M72" i="3"/>
  <c r="AC72" i="3" s="1"/>
  <c r="AS72" i="3" s="1"/>
  <c r="N41" i="3"/>
  <c r="AD41" i="3" s="1"/>
  <c r="AT41" i="3" s="1"/>
  <c r="P71" i="3"/>
  <c r="AF71" i="3" s="1"/>
  <c r="AV71" i="3" s="1"/>
  <c r="I75" i="5" l="1"/>
  <c r="Q75" i="5"/>
  <c r="AC75" i="5"/>
  <c r="A77" i="5"/>
  <c r="W76" i="5"/>
  <c r="X42" i="3"/>
  <c r="AN42" i="3" s="1"/>
  <c r="D70" i="3"/>
  <c r="T70" i="3" s="1"/>
  <c r="AJ69" i="3"/>
  <c r="O65" i="3"/>
  <c r="AE65" i="3" s="1"/>
  <c r="AU65" i="3" s="1"/>
  <c r="S73" i="3"/>
  <c r="AI73" i="3" s="1"/>
  <c r="G73" i="3"/>
  <c r="W72" i="3"/>
  <c r="AM72" i="3" s="1"/>
  <c r="L73" i="3"/>
  <c r="AB72" i="3"/>
  <c r="AR72" i="3" s="1"/>
  <c r="P72" i="3"/>
  <c r="AF72" i="3" s="1"/>
  <c r="AV72" i="3" s="1"/>
  <c r="E72" i="3"/>
  <c r="U72" i="3" s="1"/>
  <c r="AK72" i="3" s="1"/>
  <c r="K70" i="3"/>
  <c r="AA70" i="3" s="1"/>
  <c r="AQ70" i="3" s="1"/>
  <c r="M73" i="3"/>
  <c r="AC73" i="3" s="1"/>
  <c r="AS73" i="3" s="1"/>
  <c r="Q43" i="3"/>
  <c r="AG43" i="3" s="1"/>
  <c r="AW43" i="3" s="1"/>
  <c r="J42" i="3"/>
  <c r="Z42" i="3" s="1"/>
  <c r="AP42" i="3" s="1"/>
  <c r="F43" i="3"/>
  <c r="V43" i="3" s="1"/>
  <c r="AL43" i="3" s="1"/>
  <c r="I76" i="5" l="1"/>
  <c r="Q76" i="5"/>
  <c r="AC76" i="5"/>
  <c r="A78" i="5"/>
  <c r="H43" i="3"/>
  <c r="D71" i="3"/>
  <c r="T71" i="3" s="1"/>
  <c r="AJ70" i="3"/>
  <c r="O66" i="3"/>
  <c r="G74" i="3"/>
  <c r="W73" i="3"/>
  <c r="AM73" i="3" s="1"/>
  <c r="L74" i="3"/>
  <c r="AB73" i="3"/>
  <c r="AR73" i="3" s="1"/>
  <c r="S74" i="3"/>
  <c r="AI74" i="3" s="1"/>
  <c r="K71" i="3"/>
  <c r="AA71" i="3" s="1"/>
  <c r="AQ71" i="3" s="1"/>
  <c r="E73" i="3"/>
  <c r="U73" i="3" s="1"/>
  <c r="AK73" i="3" s="1"/>
  <c r="M74" i="3"/>
  <c r="AC74" i="3" s="1"/>
  <c r="AS74" i="3" s="1"/>
  <c r="N42" i="3"/>
  <c r="AD42" i="3" s="1"/>
  <c r="AT42" i="3" s="1"/>
  <c r="P73" i="3"/>
  <c r="AF73" i="3" s="1"/>
  <c r="AV73" i="3" s="1"/>
  <c r="I77" i="5" l="1"/>
  <c r="Q77" i="5"/>
  <c r="AC77" i="5"/>
  <c r="A79" i="5"/>
  <c r="X43" i="3"/>
  <c r="AN43" i="3" s="1"/>
  <c r="D72" i="3"/>
  <c r="T72" i="3" s="1"/>
  <c r="AJ71" i="3"/>
  <c r="S75" i="3"/>
  <c r="AI75" i="3" s="1"/>
  <c r="G75" i="3"/>
  <c r="W74" i="3"/>
  <c r="AM74" i="3" s="1"/>
  <c r="L75" i="3"/>
  <c r="AB74" i="3"/>
  <c r="AR74" i="3" s="1"/>
  <c r="AE66" i="3"/>
  <c r="AU66" i="3" s="1"/>
  <c r="P74" i="3"/>
  <c r="AF74" i="3" s="1"/>
  <c r="AV74" i="3" s="1"/>
  <c r="E74" i="3"/>
  <c r="U74" i="3" s="1"/>
  <c r="AK74" i="3" s="1"/>
  <c r="M75" i="3"/>
  <c r="AC75" i="3" s="1"/>
  <c r="AS75" i="3" s="1"/>
  <c r="K72" i="3"/>
  <c r="AA72" i="3" s="1"/>
  <c r="AQ72" i="3" s="1"/>
  <c r="Q44" i="3"/>
  <c r="AG44" i="3" s="1"/>
  <c r="AW44" i="3" s="1"/>
  <c r="J43" i="3"/>
  <c r="Z43" i="3" s="1"/>
  <c r="AP43" i="3" s="1"/>
  <c r="F44" i="3"/>
  <c r="V44" i="3" s="1"/>
  <c r="AL44" i="3" s="1"/>
  <c r="AC78" i="5" l="1"/>
  <c r="I78" i="5"/>
  <c r="Q78" i="5"/>
  <c r="A80" i="5"/>
  <c r="H44" i="3"/>
  <c r="X44" i="3" s="1"/>
  <c r="AN44" i="3" s="1"/>
  <c r="D73" i="3"/>
  <c r="T73" i="3" s="1"/>
  <c r="AJ72" i="3"/>
  <c r="O67" i="3"/>
  <c r="AE67" i="3" s="1"/>
  <c r="AU67" i="3" s="1"/>
  <c r="L76" i="3"/>
  <c r="AB75" i="3"/>
  <c r="AR75" i="3" s="1"/>
  <c r="G76" i="3"/>
  <c r="W75" i="3"/>
  <c r="AM75" i="3" s="1"/>
  <c r="S76" i="3"/>
  <c r="AI76" i="3" s="1"/>
  <c r="K73" i="3"/>
  <c r="AA73" i="3" s="1"/>
  <c r="AQ73" i="3" s="1"/>
  <c r="E75" i="3"/>
  <c r="U75" i="3" s="1"/>
  <c r="AK75" i="3" s="1"/>
  <c r="M76" i="3"/>
  <c r="AC76" i="3" s="1"/>
  <c r="AS76" i="3" s="1"/>
  <c r="N43" i="3"/>
  <c r="AD43" i="3" s="1"/>
  <c r="AT43" i="3" s="1"/>
  <c r="P75" i="3"/>
  <c r="AF75" i="3" s="1"/>
  <c r="AV75" i="3" s="1"/>
  <c r="I79" i="5" l="1"/>
  <c r="Q79" i="5"/>
  <c r="AC79" i="5"/>
  <c r="A81" i="5"/>
  <c r="W80" i="5"/>
  <c r="H45" i="3"/>
  <c r="D74" i="3"/>
  <c r="T74" i="3" s="1"/>
  <c r="AJ73" i="3"/>
  <c r="G77" i="3"/>
  <c r="W76" i="3"/>
  <c r="AM76" i="3" s="1"/>
  <c r="O68" i="3"/>
  <c r="S77" i="3"/>
  <c r="AI77" i="3" s="1"/>
  <c r="L77" i="3"/>
  <c r="AB76" i="3"/>
  <c r="AR76" i="3" s="1"/>
  <c r="P76" i="3"/>
  <c r="AF76" i="3" s="1"/>
  <c r="AV76" i="3" s="1"/>
  <c r="E76" i="3"/>
  <c r="U76" i="3" s="1"/>
  <c r="AK76" i="3" s="1"/>
  <c r="K74" i="3"/>
  <c r="AA74" i="3" s="1"/>
  <c r="AQ74" i="3" s="1"/>
  <c r="M77" i="3"/>
  <c r="AC77" i="3" s="1"/>
  <c r="AS77" i="3" s="1"/>
  <c r="Q45" i="3"/>
  <c r="AG45" i="3" s="1"/>
  <c r="AW45" i="3" s="1"/>
  <c r="J44" i="3"/>
  <c r="Z44" i="3" s="1"/>
  <c r="AP44" i="3" s="1"/>
  <c r="F45" i="3"/>
  <c r="V45" i="3" s="1"/>
  <c r="AL45" i="3" s="1"/>
  <c r="I80" i="5" l="1"/>
  <c r="Q80" i="5"/>
  <c r="AC80" i="5"/>
  <c r="A82" i="5"/>
  <c r="X45" i="3"/>
  <c r="AN45" i="3" s="1"/>
  <c r="D75" i="3"/>
  <c r="T75" i="3" s="1"/>
  <c r="AJ74" i="3"/>
  <c r="L78" i="3"/>
  <c r="AB77" i="3"/>
  <c r="AR77" i="3" s="1"/>
  <c r="S78" i="3"/>
  <c r="AI78" i="3" s="1"/>
  <c r="AE68" i="3"/>
  <c r="AU68" i="3" s="1"/>
  <c r="G78" i="3"/>
  <c r="W77" i="3"/>
  <c r="AM77" i="3" s="1"/>
  <c r="K75" i="3"/>
  <c r="AA75" i="3" s="1"/>
  <c r="AQ75" i="3" s="1"/>
  <c r="E77" i="3"/>
  <c r="U77" i="3" s="1"/>
  <c r="AK77" i="3" s="1"/>
  <c r="M78" i="3"/>
  <c r="AC78" i="3" s="1"/>
  <c r="AS78" i="3" s="1"/>
  <c r="N44" i="3"/>
  <c r="AD44" i="3" s="1"/>
  <c r="AT44" i="3" s="1"/>
  <c r="P77" i="3"/>
  <c r="AF77" i="3" s="1"/>
  <c r="AV77" i="3" s="1"/>
  <c r="I81" i="5" l="1"/>
  <c r="Q81" i="5"/>
  <c r="AC81" i="5"/>
  <c r="A83" i="5"/>
  <c r="H46" i="3"/>
  <c r="D76" i="3"/>
  <c r="T76" i="3" s="1"/>
  <c r="AJ75" i="3"/>
  <c r="O69" i="3"/>
  <c r="S79" i="3"/>
  <c r="AI79" i="3" s="1"/>
  <c r="G79" i="3"/>
  <c r="W78" i="3"/>
  <c r="AM78" i="3" s="1"/>
  <c r="L79" i="3"/>
  <c r="AB78" i="3"/>
  <c r="AR78" i="3" s="1"/>
  <c r="P78" i="3"/>
  <c r="AF78" i="3" s="1"/>
  <c r="AV78" i="3" s="1"/>
  <c r="E78" i="3"/>
  <c r="U78" i="3" s="1"/>
  <c r="AK78" i="3" s="1"/>
  <c r="M79" i="3"/>
  <c r="AC79" i="3" s="1"/>
  <c r="AS79" i="3" s="1"/>
  <c r="K76" i="3"/>
  <c r="AA76" i="3" s="1"/>
  <c r="AQ76" i="3" s="1"/>
  <c r="Q46" i="3"/>
  <c r="AG46" i="3" s="1"/>
  <c r="AW46" i="3" s="1"/>
  <c r="J45" i="3"/>
  <c r="Z45" i="3" s="1"/>
  <c r="AP45" i="3" s="1"/>
  <c r="F46" i="3"/>
  <c r="V46" i="3" s="1"/>
  <c r="AL46" i="3" s="1"/>
  <c r="I82" i="5" l="1"/>
  <c r="Q82" i="5"/>
  <c r="AC82" i="5"/>
  <c r="A84" i="5"/>
  <c r="X46" i="3"/>
  <c r="AN46" i="3" s="1"/>
  <c r="D77" i="3"/>
  <c r="T77" i="3" s="1"/>
  <c r="AJ76" i="3"/>
  <c r="L80" i="3"/>
  <c r="AB79" i="3"/>
  <c r="AR79" i="3" s="1"/>
  <c r="S80" i="3"/>
  <c r="AI80" i="3" s="1"/>
  <c r="G80" i="3"/>
  <c r="W79" i="3"/>
  <c r="AM79" i="3" s="1"/>
  <c r="AE69" i="3"/>
  <c r="AU69" i="3" s="1"/>
  <c r="K77" i="3"/>
  <c r="AA77" i="3" s="1"/>
  <c r="AQ77" i="3" s="1"/>
  <c r="E79" i="3"/>
  <c r="U79" i="3" s="1"/>
  <c r="AK79" i="3" s="1"/>
  <c r="M80" i="3"/>
  <c r="AC80" i="3" s="1"/>
  <c r="AS80" i="3" s="1"/>
  <c r="N45" i="3"/>
  <c r="AD45" i="3" s="1"/>
  <c r="AT45" i="3" s="1"/>
  <c r="P79" i="3"/>
  <c r="AF79" i="3" s="1"/>
  <c r="AV79" i="3" s="1"/>
  <c r="I83" i="5" l="1"/>
  <c r="Q83" i="5"/>
  <c r="AC83" i="5"/>
  <c r="A85" i="5"/>
  <c r="W84" i="5"/>
  <c r="H47" i="3"/>
  <c r="D78" i="3"/>
  <c r="T78" i="3" s="1"/>
  <c r="AJ77" i="3"/>
  <c r="O70" i="3"/>
  <c r="AE70" i="3" s="1"/>
  <c r="AU70" i="3" s="1"/>
  <c r="S81" i="3"/>
  <c r="AI81" i="3" s="1"/>
  <c r="G81" i="3"/>
  <c r="W80" i="3"/>
  <c r="AM80" i="3" s="1"/>
  <c r="L81" i="3"/>
  <c r="AB80" i="3"/>
  <c r="AR80" i="3" s="1"/>
  <c r="P80" i="3"/>
  <c r="AF80" i="3" s="1"/>
  <c r="AV80" i="3" s="1"/>
  <c r="K78" i="3"/>
  <c r="AA78" i="3" s="1"/>
  <c r="AQ78" i="3" s="1"/>
  <c r="M81" i="3"/>
  <c r="AC81" i="3" s="1"/>
  <c r="AS81" i="3" s="1"/>
  <c r="E80" i="3"/>
  <c r="U80" i="3" s="1"/>
  <c r="AK80" i="3" s="1"/>
  <c r="Q47" i="3"/>
  <c r="AG47" i="3" s="1"/>
  <c r="AW47" i="3" s="1"/>
  <c r="J46" i="3"/>
  <c r="Z46" i="3" s="1"/>
  <c r="AP46" i="3" s="1"/>
  <c r="F47" i="3"/>
  <c r="V47" i="3" s="1"/>
  <c r="AL47" i="3" s="1"/>
  <c r="I84" i="5" l="1"/>
  <c r="Q84" i="5"/>
  <c r="AC84" i="5"/>
  <c r="A86" i="5"/>
  <c r="X47" i="3"/>
  <c r="AN47" i="3" s="1"/>
  <c r="D79" i="3"/>
  <c r="T79" i="3" s="1"/>
  <c r="AJ78" i="3"/>
  <c r="O71" i="3"/>
  <c r="AE71" i="3" s="1"/>
  <c r="AU71" i="3" s="1"/>
  <c r="G82" i="3"/>
  <c r="W81" i="3"/>
  <c r="AM81" i="3" s="1"/>
  <c r="S82" i="3"/>
  <c r="AI82" i="3" s="1"/>
  <c r="L82" i="3"/>
  <c r="AB81" i="3"/>
  <c r="AR81" i="3" s="1"/>
  <c r="E81" i="3"/>
  <c r="U81" i="3" s="1"/>
  <c r="AK81" i="3" s="1"/>
  <c r="N46" i="3"/>
  <c r="AD46" i="3" s="1"/>
  <c r="AT46" i="3" s="1"/>
  <c r="K79" i="3"/>
  <c r="AA79" i="3" s="1"/>
  <c r="AQ79" i="3" s="1"/>
  <c r="M82" i="3"/>
  <c r="AC82" i="3" s="1"/>
  <c r="AS82" i="3" s="1"/>
  <c r="P81" i="3"/>
  <c r="AF81" i="3" s="1"/>
  <c r="AV81" i="3" s="1"/>
  <c r="I85" i="5" l="1"/>
  <c r="Q85" i="5"/>
  <c r="AC85" i="5"/>
  <c r="A87" i="5"/>
  <c r="H48" i="3"/>
  <c r="D80" i="3"/>
  <c r="T80" i="3" s="1"/>
  <c r="AJ79" i="3"/>
  <c r="O72" i="3"/>
  <c r="AE72" i="3" s="1"/>
  <c r="AU72" i="3" s="1"/>
  <c r="L83" i="3"/>
  <c r="AB82" i="3"/>
  <c r="AR82" i="3" s="1"/>
  <c r="S83" i="3"/>
  <c r="AI83" i="3" s="1"/>
  <c r="G83" i="3"/>
  <c r="W82" i="3"/>
  <c r="AM82" i="3" s="1"/>
  <c r="P82" i="3"/>
  <c r="AF82" i="3" s="1"/>
  <c r="AV82" i="3" s="1"/>
  <c r="K80" i="3"/>
  <c r="AA80" i="3" s="1"/>
  <c r="AQ80" i="3" s="1"/>
  <c r="M83" i="3"/>
  <c r="AC83" i="3" s="1"/>
  <c r="AS83" i="3" s="1"/>
  <c r="E82" i="3"/>
  <c r="U82" i="3" s="1"/>
  <c r="AK82" i="3" s="1"/>
  <c r="Q48" i="3"/>
  <c r="AG48" i="3" s="1"/>
  <c r="AW48" i="3" s="1"/>
  <c r="J47" i="3"/>
  <c r="Z47" i="3" s="1"/>
  <c r="AP47" i="3" s="1"/>
  <c r="F48" i="3"/>
  <c r="V48" i="3" s="1"/>
  <c r="AL48" i="3" s="1"/>
  <c r="I86" i="5" l="1"/>
  <c r="Q86" i="5"/>
  <c r="AC86" i="5"/>
  <c r="A88" i="5"/>
  <c r="X48" i="3"/>
  <c r="AN48" i="3" s="1"/>
  <c r="D81" i="3"/>
  <c r="T81" i="3" s="1"/>
  <c r="AJ80" i="3"/>
  <c r="O73" i="3"/>
  <c r="AE73" i="3" s="1"/>
  <c r="AU73" i="3" s="1"/>
  <c r="S84" i="3"/>
  <c r="AI84" i="3" s="1"/>
  <c r="G84" i="3"/>
  <c r="W83" i="3"/>
  <c r="AM83" i="3" s="1"/>
  <c r="L84" i="3"/>
  <c r="AB83" i="3"/>
  <c r="AR83" i="3" s="1"/>
  <c r="E83" i="3"/>
  <c r="U83" i="3" s="1"/>
  <c r="AK83" i="3" s="1"/>
  <c r="N47" i="3"/>
  <c r="AD47" i="3" s="1"/>
  <c r="AT47" i="3" s="1"/>
  <c r="K81" i="3"/>
  <c r="AA81" i="3" s="1"/>
  <c r="AQ81" i="3" s="1"/>
  <c r="M84" i="3"/>
  <c r="AC84" i="3" s="1"/>
  <c r="AS84" i="3" s="1"/>
  <c r="P83" i="3"/>
  <c r="AF83" i="3" s="1"/>
  <c r="AV83" i="3" s="1"/>
  <c r="I87" i="5" l="1"/>
  <c r="Q87" i="5"/>
  <c r="AC87" i="5"/>
  <c r="A89" i="5"/>
  <c r="W88" i="5"/>
  <c r="H49" i="3"/>
  <c r="D82" i="3"/>
  <c r="T82" i="3" s="1"/>
  <c r="AJ81" i="3"/>
  <c r="O74" i="3"/>
  <c r="AE74" i="3" s="1"/>
  <c r="AU74" i="3" s="1"/>
  <c r="G85" i="3"/>
  <c r="W84" i="3"/>
  <c r="AM84" i="3" s="1"/>
  <c r="S85" i="3"/>
  <c r="AI85" i="3" s="1"/>
  <c r="L85" i="3"/>
  <c r="AB84" i="3"/>
  <c r="AR84" i="3" s="1"/>
  <c r="P84" i="3"/>
  <c r="AF84" i="3" s="1"/>
  <c r="AV84" i="3" s="1"/>
  <c r="K82" i="3"/>
  <c r="AA82" i="3" s="1"/>
  <c r="AQ82" i="3" s="1"/>
  <c r="E84" i="3"/>
  <c r="U84" i="3" s="1"/>
  <c r="AK84" i="3" s="1"/>
  <c r="M85" i="3"/>
  <c r="AC85" i="3" s="1"/>
  <c r="AS85" i="3" s="1"/>
  <c r="Q49" i="3"/>
  <c r="AG49" i="3" s="1"/>
  <c r="AW49" i="3" s="1"/>
  <c r="J48" i="3"/>
  <c r="Z48" i="3" s="1"/>
  <c r="AP48" i="3" s="1"/>
  <c r="F49" i="3"/>
  <c r="V49" i="3" s="1"/>
  <c r="AL49" i="3" s="1"/>
  <c r="I88" i="5" l="1"/>
  <c r="Q88" i="5"/>
  <c r="AC88" i="5"/>
  <c r="A90" i="5"/>
  <c r="X49" i="3"/>
  <c r="AN49" i="3" s="1"/>
  <c r="D83" i="3"/>
  <c r="T83" i="3" s="1"/>
  <c r="AJ82" i="3"/>
  <c r="O75" i="3"/>
  <c r="AE75" i="3" s="1"/>
  <c r="AU75" i="3" s="1"/>
  <c r="S86" i="3"/>
  <c r="AI86" i="3" s="1"/>
  <c r="L86" i="3"/>
  <c r="AB85" i="3"/>
  <c r="AR85" i="3" s="1"/>
  <c r="G86" i="3"/>
  <c r="W85" i="3"/>
  <c r="AM85" i="3" s="1"/>
  <c r="E85" i="3"/>
  <c r="U85" i="3" s="1"/>
  <c r="AK85" i="3" s="1"/>
  <c r="M86" i="3"/>
  <c r="AC86" i="3" s="1"/>
  <c r="AS86" i="3" s="1"/>
  <c r="N48" i="3"/>
  <c r="AD48" i="3" s="1"/>
  <c r="AT48" i="3" s="1"/>
  <c r="K83" i="3"/>
  <c r="AA83" i="3" s="1"/>
  <c r="AQ83" i="3" s="1"/>
  <c r="P85" i="3"/>
  <c r="AF85" i="3" s="1"/>
  <c r="AV85" i="3" s="1"/>
  <c r="I89" i="5" l="1"/>
  <c r="Q89" i="5"/>
  <c r="AC89" i="5"/>
  <c r="A91" i="5"/>
  <c r="H50" i="3"/>
  <c r="D84" i="3"/>
  <c r="T84" i="3" s="1"/>
  <c r="AJ83" i="3"/>
  <c r="O76" i="3"/>
  <c r="AE76" i="3" s="1"/>
  <c r="AU76" i="3" s="1"/>
  <c r="L87" i="3"/>
  <c r="AB86" i="3"/>
  <c r="AR86" i="3" s="1"/>
  <c r="S87" i="3"/>
  <c r="AI87" i="3" s="1"/>
  <c r="G87" i="3"/>
  <c r="W86" i="3"/>
  <c r="AM86" i="3" s="1"/>
  <c r="P86" i="3"/>
  <c r="AF86" i="3" s="1"/>
  <c r="AV86" i="3" s="1"/>
  <c r="K84" i="3"/>
  <c r="AA84" i="3" s="1"/>
  <c r="AQ84" i="3" s="1"/>
  <c r="E86" i="3"/>
  <c r="U86" i="3" s="1"/>
  <c r="AK86" i="3" s="1"/>
  <c r="M87" i="3"/>
  <c r="AC87" i="3" s="1"/>
  <c r="AS87" i="3" s="1"/>
  <c r="Q50" i="3"/>
  <c r="AG50" i="3" s="1"/>
  <c r="AW50" i="3" s="1"/>
  <c r="J49" i="3"/>
  <c r="Z49" i="3" s="1"/>
  <c r="AP49" i="3" s="1"/>
  <c r="F50" i="3"/>
  <c r="V50" i="3" s="1"/>
  <c r="AL50" i="3" s="1"/>
  <c r="I90" i="5" l="1"/>
  <c r="Q90" i="5"/>
  <c r="AC90" i="5"/>
  <c r="A92" i="5"/>
  <c r="X50" i="3"/>
  <c r="AN50" i="3" s="1"/>
  <c r="D85" i="3"/>
  <c r="T85" i="3" s="1"/>
  <c r="AJ84" i="3"/>
  <c r="O77" i="3"/>
  <c r="AE77" i="3" s="1"/>
  <c r="AU77" i="3" s="1"/>
  <c r="L88" i="3"/>
  <c r="AB87" i="3"/>
  <c r="AR87" i="3" s="1"/>
  <c r="G88" i="3"/>
  <c r="W87" i="3"/>
  <c r="AM87" i="3" s="1"/>
  <c r="S88" i="3"/>
  <c r="AI88" i="3" s="1"/>
  <c r="M88" i="3"/>
  <c r="AC88" i="3" s="1"/>
  <c r="AS88" i="3" s="1"/>
  <c r="E87" i="3"/>
  <c r="U87" i="3" s="1"/>
  <c r="AK87" i="3" s="1"/>
  <c r="K85" i="3"/>
  <c r="AA85" i="3" s="1"/>
  <c r="AQ85" i="3" s="1"/>
  <c r="N49" i="3"/>
  <c r="AD49" i="3" s="1"/>
  <c r="AT49" i="3" s="1"/>
  <c r="P87" i="3"/>
  <c r="AF87" i="3" s="1"/>
  <c r="AV87" i="3" s="1"/>
  <c r="I91" i="5" l="1"/>
  <c r="Q91" i="5"/>
  <c r="AC91" i="5"/>
  <c r="A93" i="5"/>
  <c r="W92" i="5"/>
  <c r="H51" i="3"/>
  <c r="D86" i="3"/>
  <c r="T86" i="3" s="1"/>
  <c r="AJ85" i="3"/>
  <c r="O78" i="3"/>
  <c r="G89" i="3"/>
  <c r="W88" i="3"/>
  <c r="AM88" i="3" s="1"/>
  <c r="S89" i="3"/>
  <c r="AI89" i="3" s="1"/>
  <c r="L89" i="3"/>
  <c r="AB88" i="3"/>
  <c r="AR88" i="3" s="1"/>
  <c r="P88" i="3"/>
  <c r="AF88" i="3" s="1"/>
  <c r="AV88" i="3" s="1"/>
  <c r="N50" i="3"/>
  <c r="AD50" i="3" s="1"/>
  <c r="AT50" i="3" s="1"/>
  <c r="K86" i="3"/>
  <c r="AA86" i="3" s="1"/>
  <c r="AQ86" i="3" s="1"/>
  <c r="E88" i="3"/>
  <c r="U88" i="3" s="1"/>
  <c r="AK88" i="3" s="1"/>
  <c r="M89" i="3"/>
  <c r="AC89" i="3" s="1"/>
  <c r="AS89" i="3" s="1"/>
  <c r="Q51" i="3"/>
  <c r="AG51" i="3" s="1"/>
  <c r="AW51" i="3" s="1"/>
  <c r="J50" i="3"/>
  <c r="Z50" i="3" s="1"/>
  <c r="AP50" i="3" s="1"/>
  <c r="F51" i="3"/>
  <c r="V51" i="3" s="1"/>
  <c r="AL51" i="3" s="1"/>
  <c r="I92" i="5" l="1"/>
  <c r="Q92" i="5"/>
  <c r="AC92" i="5"/>
  <c r="A94" i="5"/>
  <c r="AC93" i="5"/>
  <c r="X51" i="3"/>
  <c r="AN51" i="3" s="1"/>
  <c r="D87" i="3"/>
  <c r="T87" i="3" s="1"/>
  <c r="AJ86" i="3"/>
  <c r="AE78" i="3"/>
  <c r="AU78" i="3" s="1"/>
  <c r="L90" i="3"/>
  <c r="AB89" i="3"/>
  <c r="AR89" i="3" s="1"/>
  <c r="S90" i="3"/>
  <c r="AI90" i="3" s="1"/>
  <c r="G90" i="3"/>
  <c r="W89" i="3"/>
  <c r="AM89" i="3" s="1"/>
  <c r="E89" i="3"/>
  <c r="U89" i="3" s="1"/>
  <c r="AK89" i="3" s="1"/>
  <c r="M90" i="3"/>
  <c r="AC90" i="3" s="1"/>
  <c r="AS90" i="3" s="1"/>
  <c r="K87" i="3"/>
  <c r="AA87" i="3" s="1"/>
  <c r="AQ87" i="3" s="1"/>
  <c r="P89" i="3"/>
  <c r="AF89" i="3" s="1"/>
  <c r="AV89" i="3" s="1"/>
  <c r="I93" i="5" l="1"/>
  <c r="Q93" i="5"/>
  <c r="A95" i="5"/>
  <c r="H52" i="3"/>
  <c r="D88" i="3"/>
  <c r="T88" i="3" s="1"/>
  <c r="AJ87" i="3"/>
  <c r="O79" i="3"/>
  <c r="AE79" i="3" s="1"/>
  <c r="AU79" i="3" s="1"/>
  <c r="S91" i="3"/>
  <c r="AI91" i="3" s="1"/>
  <c r="L91" i="3"/>
  <c r="AB90" i="3"/>
  <c r="AR90" i="3" s="1"/>
  <c r="G91" i="3"/>
  <c r="W90" i="3"/>
  <c r="AM90" i="3" s="1"/>
  <c r="K88" i="3"/>
  <c r="AA88" i="3" s="1"/>
  <c r="AQ88" i="3" s="1"/>
  <c r="Q52" i="3"/>
  <c r="AG52" i="3" s="1"/>
  <c r="AW52" i="3" s="1"/>
  <c r="M91" i="3"/>
  <c r="P90" i="3"/>
  <c r="AF90" i="3" s="1"/>
  <c r="AV90" i="3" s="1"/>
  <c r="E90" i="3"/>
  <c r="U90" i="3" s="1"/>
  <c r="AK90" i="3" s="1"/>
  <c r="N51" i="3"/>
  <c r="AD51" i="3" s="1"/>
  <c r="AT51" i="3" s="1"/>
  <c r="J51" i="3"/>
  <c r="Z51" i="3" s="1"/>
  <c r="AP51" i="3" s="1"/>
  <c r="F52" i="3"/>
  <c r="V52" i="3" s="1"/>
  <c r="AL52" i="3" s="1"/>
  <c r="I94" i="5" l="1"/>
  <c r="Q94" i="5"/>
  <c r="AC94" i="5"/>
  <c r="A96" i="5"/>
  <c r="AC91" i="3"/>
  <c r="AS91" i="3" s="1"/>
  <c r="X52" i="3"/>
  <c r="AN52" i="3" s="1"/>
  <c r="D89" i="3"/>
  <c r="T89" i="3" s="1"/>
  <c r="AJ88" i="3"/>
  <c r="O80" i="3"/>
  <c r="AE80" i="3" s="1"/>
  <c r="AU80" i="3" s="1"/>
  <c r="G92" i="3"/>
  <c r="W91" i="3"/>
  <c r="AM91" i="3" s="1"/>
  <c r="L92" i="3"/>
  <c r="AB91" i="3"/>
  <c r="AR91" i="3" s="1"/>
  <c r="S92" i="3"/>
  <c r="AI92" i="3" s="1"/>
  <c r="E91" i="3"/>
  <c r="N52" i="3"/>
  <c r="AD52" i="3" s="1"/>
  <c r="AT52" i="3" s="1"/>
  <c r="P91" i="3"/>
  <c r="K89" i="3"/>
  <c r="AA89" i="3" s="1"/>
  <c r="AQ89" i="3" s="1"/>
  <c r="I95" i="5" l="1"/>
  <c r="Q95" i="5"/>
  <c r="AC95" i="5"/>
  <c r="A97" i="5"/>
  <c r="W96" i="5"/>
  <c r="M92" i="3"/>
  <c r="AF91" i="3"/>
  <c r="AV91" i="3" s="1"/>
  <c r="U91" i="3"/>
  <c r="AK91" i="3" s="1"/>
  <c r="H53" i="3"/>
  <c r="D90" i="3"/>
  <c r="T90" i="3" s="1"/>
  <c r="AJ89" i="3"/>
  <c r="O81" i="3"/>
  <c r="AE81" i="3" s="1"/>
  <c r="AU81" i="3" s="1"/>
  <c r="L93" i="3"/>
  <c r="AB92" i="3"/>
  <c r="AR92" i="3" s="1"/>
  <c r="S93" i="3"/>
  <c r="AI93" i="3" s="1"/>
  <c r="G93" i="3"/>
  <c r="W92" i="3"/>
  <c r="AM92" i="3" s="1"/>
  <c r="K90" i="3"/>
  <c r="AA90" i="3" s="1"/>
  <c r="AQ90" i="3" s="1"/>
  <c r="N53" i="3"/>
  <c r="AD53" i="3" s="1"/>
  <c r="AT53" i="3" s="1"/>
  <c r="Q53" i="3"/>
  <c r="AG53" i="3" s="1"/>
  <c r="AW53" i="3" s="1"/>
  <c r="J52" i="3"/>
  <c r="Z52" i="3" s="1"/>
  <c r="AP52" i="3" s="1"/>
  <c r="F53" i="3"/>
  <c r="V53" i="3" s="1"/>
  <c r="AL53" i="3" s="1"/>
  <c r="AC96" i="5" l="1"/>
  <c r="I96" i="5"/>
  <c r="Q96" i="5"/>
  <c r="A98" i="5"/>
  <c r="AC92" i="3"/>
  <c r="AS92" i="3" s="1"/>
  <c r="E92" i="3"/>
  <c r="P92" i="3"/>
  <c r="X53" i="3"/>
  <c r="AN53" i="3" s="1"/>
  <c r="D91" i="3"/>
  <c r="AJ90" i="3"/>
  <c r="O82" i="3"/>
  <c r="AE82" i="3" s="1"/>
  <c r="AU82" i="3" s="1"/>
  <c r="G94" i="3"/>
  <c r="W93" i="3"/>
  <c r="AM93" i="3" s="1"/>
  <c r="S94" i="3"/>
  <c r="AI94" i="3" s="1"/>
  <c r="L94" i="3"/>
  <c r="AB93" i="3"/>
  <c r="AR93" i="3" s="1"/>
  <c r="N54" i="3"/>
  <c r="AD54" i="3" s="1"/>
  <c r="AT54" i="3" s="1"/>
  <c r="K91" i="3"/>
  <c r="I97" i="5" l="1"/>
  <c r="Q97" i="5"/>
  <c r="AC97" i="5"/>
  <c r="A99" i="5"/>
  <c r="M93" i="3"/>
  <c r="AF92" i="3"/>
  <c r="AV92" i="3" s="1"/>
  <c r="U92" i="3"/>
  <c r="AK92" i="3" s="1"/>
  <c r="T91" i="3"/>
  <c r="AJ91" i="3" s="1"/>
  <c r="AA91" i="3"/>
  <c r="AQ91" i="3" s="1"/>
  <c r="H54" i="3"/>
  <c r="O83" i="3"/>
  <c r="L95" i="3"/>
  <c r="AB95" i="3" s="1"/>
  <c r="AR95" i="3" s="1"/>
  <c r="AB94" i="3"/>
  <c r="AR94" i="3" s="1"/>
  <c r="G95" i="3"/>
  <c r="W94" i="3"/>
  <c r="AM94" i="3" s="1"/>
  <c r="N55" i="3"/>
  <c r="AD55" i="3" s="1"/>
  <c r="AT55" i="3" s="1"/>
  <c r="Q54" i="3"/>
  <c r="AG54" i="3" s="1"/>
  <c r="AW54" i="3" s="1"/>
  <c r="J53" i="3"/>
  <c r="Z53" i="3" s="1"/>
  <c r="AP53" i="3" s="1"/>
  <c r="F54" i="3"/>
  <c r="V54" i="3" s="1"/>
  <c r="AL54" i="3" s="1"/>
  <c r="BI10" i="3"/>
  <c r="G96" i="3" l="1"/>
  <c r="W95" i="3"/>
  <c r="AM95" i="3" s="1"/>
  <c r="AC93" i="3"/>
  <c r="AS93" i="3" s="1"/>
  <c r="AC98" i="5"/>
  <c r="I98" i="5"/>
  <c r="Q98" i="5"/>
  <c r="A100" i="5"/>
  <c r="E93" i="3"/>
  <c r="P93" i="3"/>
  <c r="L96" i="3"/>
  <c r="AB96" i="3" s="1"/>
  <c r="AR96" i="3" s="1"/>
  <c r="D92" i="3"/>
  <c r="K92" i="3"/>
  <c r="BJ10" i="3"/>
  <c r="X54" i="3"/>
  <c r="AN54" i="3" s="1"/>
  <c r="AE83" i="3"/>
  <c r="AU83" i="3" s="1"/>
  <c r="N56" i="3"/>
  <c r="I7" i="3"/>
  <c r="Y7" i="3" s="1"/>
  <c r="AO7" i="3" s="1"/>
  <c r="G97" i="3" l="1"/>
  <c r="W96" i="3"/>
  <c r="AM96" i="3" s="1"/>
  <c r="L97" i="3"/>
  <c r="M94" i="3"/>
  <c r="AF93" i="3"/>
  <c r="AV93" i="3" s="1"/>
  <c r="U93" i="3"/>
  <c r="AK93" i="3" s="1"/>
  <c r="I99" i="5"/>
  <c r="Q99" i="5"/>
  <c r="AC99" i="5"/>
  <c r="A101" i="5"/>
  <c r="W100" i="5"/>
  <c r="T92" i="3"/>
  <c r="D93" i="3" s="1"/>
  <c r="T93" i="3" s="1"/>
  <c r="D94" i="3" s="1"/>
  <c r="T94" i="3" s="1"/>
  <c r="AA92" i="3"/>
  <c r="AQ92" i="3" s="1"/>
  <c r="H55" i="3"/>
  <c r="X55" i="3" s="1"/>
  <c r="AN55" i="3" s="1"/>
  <c r="O84" i="3"/>
  <c r="AE84" i="3" s="1"/>
  <c r="AU84" i="3" s="1"/>
  <c r="AD56" i="3"/>
  <c r="I8" i="3"/>
  <c r="Y8" i="3" s="1"/>
  <c r="AO8" i="3" s="1"/>
  <c r="Q55" i="3"/>
  <c r="AG55" i="3" s="1"/>
  <c r="AW55" i="3" s="1"/>
  <c r="J54" i="3"/>
  <c r="Z54" i="3" s="1"/>
  <c r="AP54" i="3" s="1"/>
  <c r="F55" i="3"/>
  <c r="V55" i="3" s="1"/>
  <c r="AL55" i="3" s="1"/>
  <c r="G98" i="3" l="1"/>
  <c r="W97" i="3"/>
  <c r="AM97" i="3" s="1"/>
  <c r="L98" i="3"/>
  <c r="AB97" i="3"/>
  <c r="AR97" i="3" s="1"/>
  <c r="AC94" i="3"/>
  <c r="P94" i="3"/>
  <c r="E94" i="3"/>
  <c r="I100" i="5"/>
  <c r="Q100" i="5"/>
  <c r="AC100" i="5"/>
  <c r="A102" i="5"/>
  <c r="AJ92" i="3"/>
  <c r="AJ93" i="3"/>
  <c r="K93" i="3"/>
  <c r="H56" i="3"/>
  <c r="D95" i="3"/>
  <c r="T95" i="3" s="1"/>
  <c r="AJ94" i="3"/>
  <c r="N57" i="3"/>
  <c r="AD57" i="3" s="1"/>
  <c r="AT57" i="3" s="1"/>
  <c r="AT56" i="3"/>
  <c r="O85" i="3"/>
  <c r="AE85" i="3" s="1"/>
  <c r="AU85" i="3" s="1"/>
  <c r="I9" i="3"/>
  <c r="Y9" i="3" s="1"/>
  <c r="AO9" i="3" s="1"/>
  <c r="AJ95" i="3" l="1"/>
  <c r="D96" i="3"/>
  <c r="W98" i="3"/>
  <c r="AM98" i="3" s="1"/>
  <c r="G99" i="3"/>
  <c r="L99" i="3"/>
  <c r="L100" i="3" s="1"/>
  <c r="L101" i="3" s="1"/>
  <c r="L102" i="3" s="1"/>
  <c r="L103" i="3" s="1"/>
  <c r="L104" i="3" s="1"/>
  <c r="AB98" i="3"/>
  <c r="AR98" i="3" s="1"/>
  <c r="BI19" i="3" s="1"/>
  <c r="BJ19" i="3" s="1"/>
  <c r="U94" i="3"/>
  <c r="AK94" i="3" s="1"/>
  <c r="AF94" i="3"/>
  <c r="AV94" i="3" s="1"/>
  <c r="AS94" i="3"/>
  <c r="M95" i="3"/>
  <c r="AA93" i="3"/>
  <c r="AQ93" i="3" s="1"/>
  <c r="AC101" i="5"/>
  <c r="I101" i="5"/>
  <c r="Q101" i="5"/>
  <c r="X56" i="3"/>
  <c r="AN56" i="3" s="1"/>
  <c r="O86" i="3"/>
  <c r="AE86" i="3" s="1"/>
  <c r="AU86" i="3" s="1"/>
  <c r="N58" i="3"/>
  <c r="AD58" i="3" s="1"/>
  <c r="Q56" i="3"/>
  <c r="AG56" i="3" s="1"/>
  <c r="AW56" i="3" s="1"/>
  <c r="I10" i="3"/>
  <c r="Y10" i="3" s="1"/>
  <c r="AO10" i="3" s="1"/>
  <c r="J55" i="3"/>
  <c r="Z55" i="3" s="1"/>
  <c r="AP55" i="3" s="1"/>
  <c r="F56" i="3"/>
  <c r="V56" i="3" s="1"/>
  <c r="AL56" i="3" s="1"/>
  <c r="T96" i="3" l="1"/>
  <c r="D97" i="3" s="1"/>
  <c r="T97" i="3" s="1"/>
  <c r="L105" i="3"/>
  <c r="AC95" i="3"/>
  <c r="AS95" i="3" s="1"/>
  <c r="G100" i="3"/>
  <c r="G101" i="3" s="1"/>
  <c r="G102" i="3" s="1"/>
  <c r="G103" i="3" s="1"/>
  <c r="G104" i="3" s="1"/>
  <c r="E95" i="3"/>
  <c r="P95" i="3"/>
  <c r="K94" i="3"/>
  <c r="I102" i="5"/>
  <c r="Q102" i="5"/>
  <c r="AC102" i="5"/>
  <c r="H57" i="3"/>
  <c r="N59" i="3"/>
  <c r="AD59" i="3" s="1"/>
  <c r="AT59" i="3" s="1"/>
  <c r="AT58" i="3"/>
  <c r="O87" i="3"/>
  <c r="AE87" i="3" s="1"/>
  <c r="AU87" i="3" s="1"/>
  <c r="I11" i="3"/>
  <c r="Y11" i="3" s="1"/>
  <c r="AO11" i="3" s="1"/>
  <c r="AJ96" i="3" l="1"/>
  <c r="G105" i="3"/>
  <c r="BK19" i="3"/>
  <c r="L106" i="3"/>
  <c r="L107" i="3" s="1"/>
  <c r="L108" i="3" s="1"/>
  <c r="L109" i="3" s="1"/>
  <c r="L110" i="3" s="1"/>
  <c r="L111" i="3" s="1"/>
  <c r="L112" i="3" s="1"/>
  <c r="L113" i="3" s="1"/>
  <c r="L114" i="3" s="1"/>
  <c r="L115" i="3" s="1"/>
  <c r="L116" i="3" s="1"/>
  <c r="L117" i="3" s="1"/>
  <c r="L118" i="3" s="1"/>
  <c r="L119" i="3" s="1"/>
  <c r="L120" i="3" s="1"/>
  <c r="L121" i="3" s="1"/>
  <c r="L122" i="3" s="1"/>
  <c r="M96" i="3"/>
  <c r="AF95" i="3"/>
  <c r="AV95" i="3" s="1"/>
  <c r="D98" i="3"/>
  <c r="AJ97" i="3"/>
  <c r="U95" i="3"/>
  <c r="AK95" i="3" s="1"/>
  <c r="AA94" i="3"/>
  <c r="X57" i="3"/>
  <c r="AN57" i="3" s="1"/>
  <c r="O88" i="3"/>
  <c r="AE88" i="3" s="1"/>
  <c r="AU88" i="3" s="1"/>
  <c r="I12" i="3"/>
  <c r="Y12" i="3" s="1"/>
  <c r="AO12" i="3" s="1"/>
  <c r="N60" i="3"/>
  <c r="AD60" i="3" s="1"/>
  <c r="AT60" i="3" s="1"/>
  <c r="Q57" i="3"/>
  <c r="AG57" i="3" s="1"/>
  <c r="AW57" i="3" s="1"/>
  <c r="J56" i="3"/>
  <c r="Z56" i="3" s="1"/>
  <c r="AP56" i="3" s="1"/>
  <c r="F57" i="3"/>
  <c r="V57" i="3" s="1"/>
  <c r="AL57" i="3" s="1"/>
  <c r="AC96" i="3" l="1"/>
  <c r="AS96" i="3" s="1"/>
  <c r="BK14" i="3"/>
  <c r="G106" i="3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T98" i="3"/>
  <c r="BK11" i="3"/>
  <c r="E96" i="3"/>
  <c r="D99" i="3"/>
  <c r="AJ98" i="3"/>
  <c r="BI11" i="3" s="1"/>
  <c r="BJ11" i="3" s="1"/>
  <c r="P96" i="3"/>
  <c r="AQ94" i="3"/>
  <c r="K95" i="3"/>
  <c r="H58" i="3"/>
  <c r="O89" i="3"/>
  <c r="AE89" i="3" s="1"/>
  <c r="AU89" i="3" s="1"/>
  <c r="I13" i="3"/>
  <c r="Y13" i="3" s="1"/>
  <c r="AO13" i="3" s="1"/>
  <c r="M97" i="3" l="1"/>
  <c r="AC97" i="3" s="1"/>
  <c r="AS97" i="3" s="1"/>
  <c r="U96" i="3"/>
  <c r="AK96" i="3" s="1"/>
  <c r="AA95" i="3"/>
  <c r="AQ95" i="3" s="1"/>
  <c r="E97" i="3"/>
  <c r="AF96" i="3"/>
  <c r="AV96" i="3" s="1"/>
  <c r="A107" i="5"/>
  <c r="A108" i="5" s="1"/>
  <c r="I34" i="6"/>
  <c r="X58" i="3"/>
  <c r="AN58" i="3" s="1"/>
  <c r="O90" i="3"/>
  <c r="AE90" i="3" s="1"/>
  <c r="AU90" i="3" s="1"/>
  <c r="N61" i="3"/>
  <c r="AD61" i="3" s="1"/>
  <c r="AT61" i="3" s="1"/>
  <c r="I14" i="3"/>
  <c r="Y14" i="3" s="1"/>
  <c r="AO14" i="3" s="1"/>
  <c r="Q58" i="3"/>
  <c r="AG58" i="3" s="1"/>
  <c r="AW58" i="3" s="1"/>
  <c r="J57" i="3"/>
  <c r="Z57" i="3" s="1"/>
  <c r="AP57" i="3" s="1"/>
  <c r="F58" i="3"/>
  <c r="V58" i="3" s="1"/>
  <c r="AL58" i="3" s="1"/>
  <c r="M98" i="3" l="1"/>
  <c r="AC98" i="3" s="1"/>
  <c r="K96" i="3"/>
  <c r="P97" i="3"/>
  <c r="U97" i="3"/>
  <c r="AK97" i="3" s="1"/>
  <c r="W108" i="5"/>
  <c r="A109" i="5"/>
  <c r="J35" i="6"/>
  <c r="H59" i="3"/>
  <c r="O91" i="3"/>
  <c r="I15" i="3"/>
  <c r="Y15" i="3" s="1"/>
  <c r="AO15" i="3" s="1"/>
  <c r="N62" i="3"/>
  <c r="AD62" i="3" s="1"/>
  <c r="AT62" i="3" s="1"/>
  <c r="AF97" i="3" l="1"/>
  <c r="AV97" i="3" s="1"/>
  <c r="AA96" i="3"/>
  <c r="AQ96" i="3" s="1"/>
  <c r="K36" i="6"/>
  <c r="K97" i="3"/>
  <c r="AA97" i="3" s="1"/>
  <c r="AQ97" i="3" s="1"/>
  <c r="AS98" i="3"/>
  <c r="BI20" i="3" s="1"/>
  <c r="BJ20" i="3" s="1"/>
  <c r="M101" i="3"/>
  <c r="M99" i="3"/>
  <c r="BK20" i="3" s="1"/>
  <c r="M100" i="3"/>
  <c r="B107" i="5"/>
  <c r="P98" i="3"/>
  <c r="AF98" i="3" s="1"/>
  <c r="AV98" i="3" s="1"/>
  <c r="BI23" i="3" s="1"/>
  <c r="BJ23" i="3" s="1"/>
  <c r="E98" i="3"/>
  <c r="K35" i="6"/>
  <c r="A110" i="5"/>
  <c r="L35" i="6"/>
  <c r="L34" i="6"/>
  <c r="L36" i="6"/>
  <c r="D107" i="5"/>
  <c r="C107" i="5"/>
  <c r="AE91" i="3"/>
  <c r="AU91" i="3" s="1"/>
  <c r="X59" i="3"/>
  <c r="AN59" i="3" s="1"/>
  <c r="I16" i="3"/>
  <c r="Y16" i="3" s="1"/>
  <c r="AO16" i="3" s="1"/>
  <c r="BI14" i="3"/>
  <c r="BJ14" i="3" s="1"/>
  <c r="Q59" i="3"/>
  <c r="AG59" i="3" s="1"/>
  <c r="AW59" i="3" s="1"/>
  <c r="J58" i="3"/>
  <c r="Z58" i="3" s="1"/>
  <c r="AP58" i="3" s="1"/>
  <c r="F59" i="3"/>
  <c r="V59" i="3" s="1"/>
  <c r="AL59" i="3" s="1"/>
  <c r="B108" i="5" l="1"/>
  <c r="B109" i="5" s="1"/>
  <c r="E107" i="5"/>
  <c r="F107" i="5" s="1"/>
  <c r="K98" i="3"/>
  <c r="U98" i="3"/>
  <c r="AK98" i="3" s="1"/>
  <c r="BI12" i="3" s="1"/>
  <c r="BJ12" i="3" s="1"/>
  <c r="P99" i="3"/>
  <c r="A111" i="5"/>
  <c r="M35" i="6"/>
  <c r="M34" i="6"/>
  <c r="M36" i="6"/>
  <c r="D108" i="5"/>
  <c r="AG108" i="5" s="1"/>
  <c r="C108" i="5"/>
  <c r="AG107" i="5"/>
  <c r="J29" i="6" s="1"/>
  <c r="AF107" i="5"/>
  <c r="J28" i="6" s="1"/>
  <c r="O92" i="3"/>
  <c r="H60" i="3"/>
  <c r="I17" i="3"/>
  <c r="Y17" i="3" s="1"/>
  <c r="AO17" i="3" s="1"/>
  <c r="N63" i="3"/>
  <c r="AD63" i="3" s="1"/>
  <c r="AT63" i="3" s="1"/>
  <c r="AE108" i="5" l="1"/>
  <c r="AE109" i="5"/>
  <c r="E108" i="5"/>
  <c r="F108" i="5" s="1"/>
  <c r="E99" i="3"/>
  <c r="E100" i="3" s="1"/>
  <c r="E101" i="3" s="1"/>
  <c r="E102" i="3" s="1"/>
  <c r="E103" i="3" s="1"/>
  <c r="E104" i="3" s="1"/>
  <c r="E105" i="3" s="1"/>
  <c r="E106" i="3" s="1"/>
  <c r="AA98" i="3"/>
  <c r="P100" i="3"/>
  <c r="P101" i="3" s="1"/>
  <c r="P102" i="3" s="1"/>
  <c r="P103" i="3" s="1"/>
  <c r="P104" i="3" s="1"/>
  <c r="B110" i="5"/>
  <c r="A112" i="5"/>
  <c r="D109" i="5"/>
  <c r="C109" i="5"/>
  <c r="AF108" i="5"/>
  <c r="N107" i="5"/>
  <c r="AE92" i="3"/>
  <c r="AU92" i="3" s="1"/>
  <c r="X60" i="3"/>
  <c r="AN60" i="3" s="1"/>
  <c r="I18" i="3"/>
  <c r="Y18" i="3" s="1"/>
  <c r="AO18" i="3" s="1"/>
  <c r="Q60" i="3"/>
  <c r="AG60" i="3" s="1"/>
  <c r="AW60" i="3" s="1"/>
  <c r="J59" i="3"/>
  <c r="Z59" i="3" s="1"/>
  <c r="AP59" i="3" s="1"/>
  <c r="F60" i="3"/>
  <c r="V60" i="3" s="1"/>
  <c r="AL60" i="3" s="1"/>
  <c r="E109" i="5" l="1"/>
  <c r="F109" i="5" s="1"/>
  <c r="E107" i="3"/>
  <c r="E108" i="3" s="1"/>
  <c r="E109" i="3" s="1"/>
  <c r="E110" i="3" s="1"/>
  <c r="E111" i="3" s="1"/>
  <c r="E112" i="3" s="1"/>
  <c r="E113" i="3" s="1"/>
  <c r="E114" i="3" s="1"/>
  <c r="E115" i="3" s="1"/>
  <c r="E116" i="3" s="1"/>
  <c r="E117" i="3" s="1"/>
  <c r="E118" i="3" s="1"/>
  <c r="E119" i="3" s="1"/>
  <c r="E120" i="3" s="1"/>
  <c r="E121" i="3" s="1"/>
  <c r="E122" i="3" s="1"/>
  <c r="BK12" i="3"/>
  <c r="P105" i="3"/>
  <c r="P106" i="3" s="1"/>
  <c r="AQ98" i="3"/>
  <c r="BI18" i="3" s="1"/>
  <c r="BJ18" i="3" s="1"/>
  <c r="K99" i="3"/>
  <c r="B111" i="5"/>
  <c r="AE110" i="5"/>
  <c r="A113" i="5"/>
  <c r="W112" i="5"/>
  <c r="D110" i="5"/>
  <c r="AG109" i="5"/>
  <c r="N108" i="5"/>
  <c r="C110" i="5"/>
  <c r="AF109" i="5"/>
  <c r="O107" i="5"/>
  <c r="G107" i="5"/>
  <c r="O93" i="3"/>
  <c r="H61" i="3"/>
  <c r="I19" i="3"/>
  <c r="Y19" i="3" s="1"/>
  <c r="AO19" i="3" s="1"/>
  <c r="N64" i="3"/>
  <c r="AD64" i="3" s="1"/>
  <c r="AT64" i="3" s="1"/>
  <c r="E110" i="5" l="1"/>
  <c r="F110" i="5" s="1"/>
  <c r="AE111" i="5"/>
  <c r="K27" i="6" s="1"/>
  <c r="P107" i="3"/>
  <c r="P108" i="3" s="1"/>
  <c r="P109" i="3" s="1"/>
  <c r="P110" i="3" s="1"/>
  <c r="P111" i="3" s="1"/>
  <c r="P112" i="3" s="1"/>
  <c r="P113" i="3" s="1"/>
  <c r="P114" i="3" s="1"/>
  <c r="P115" i="3" s="1"/>
  <c r="P116" i="3" s="1"/>
  <c r="P117" i="3" s="1"/>
  <c r="P118" i="3" s="1"/>
  <c r="P119" i="3" s="1"/>
  <c r="P120" i="3" s="1"/>
  <c r="P121" i="3" s="1"/>
  <c r="P122" i="3" s="1"/>
  <c r="K100" i="3"/>
  <c r="K101" i="3" s="1"/>
  <c r="K102" i="3" s="1"/>
  <c r="K103" i="3" s="1"/>
  <c r="K104" i="3" s="1"/>
  <c r="B112" i="5"/>
  <c r="AE93" i="3"/>
  <c r="AU93" i="3" s="1"/>
  <c r="A114" i="5"/>
  <c r="N109" i="5"/>
  <c r="G109" i="5"/>
  <c r="D111" i="5"/>
  <c r="AG111" i="5" s="1"/>
  <c r="K29" i="6" s="1"/>
  <c r="C111" i="5"/>
  <c r="O108" i="5"/>
  <c r="AF110" i="5"/>
  <c r="AG110" i="5"/>
  <c r="G108" i="5"/>
  <c r="V108" i="5" s="1"/>
  <c r="I107" i="5"/>
  <c r="P107" i="5"/>
  <c r="T107" i="5"/>
  <c r="U107" i="5"/>
  <c r="S107" i="5"/>
  <c r="V107" i="5"/>
  <c r="X61" i="3"/>
  <c r="AN61" i="3" s="1"/>
  <c r="I20" i="3"/>
  <c r="Y20" i="3" s="1"/>
  <c r="AO20" i="3" s="1"/>
  <c r="Q61" i="3"/>
  <c r="AG61" i="3" s="1"/>
  <c r="AW61" i="3" s="1"/>
  <c r="J60" i="3"/>
  <c r="Z60" i="3" s="1"/>
  <c r="AP60" i="3" s="1"/>
  <c r="F61" i="3"/>
  <c r="V61" i="3" s="1"/>
  <c r="AL61" i="3" s="1"/>
  <c r="E111" i="5" l="1"/>
  <c r="F111" i="5" s="1"/>
  <c r="AE112" i="5"/>
  <c r="BK23" i="3"/>
  <c r="K105" i="3"/>
  <c r="B113" i="5"/>
  <c r="O94" i="3"/>
  <c r="A115" i="5"/>
  <c r="C112" i="5"/>
  <c r="D112" i="5"/>
  <c r="AF111" i="5"/>
  <c r="K28" i="6" s="1"/>
  <c r="P109" i="5"/>
  <c r="I109" i="5"/>
  <c r="S109" i="5"/>
  <c r="T109" i="5"/>
  <c r="U109" i="5"/>
  <c r="N110" i="5"/>
  <c r="L33" i="6" s="1"/>
  <c r="G110" i="5"/>
  <c r="I108" i="5"/>
  <c r="P108" i="5"/>
  <c r="S108" i="5"/>
  <c r="U108" i="5"/>
  <c r="T108" i="5"/>
  <c r="V109" i="5"/>
  <c r="O109" i="5"/>
  <c r="H62" i="3"/>
  <c r="I21" i="3"/>
  <c r="Y21" i="3" s="1"/>
  <c r="AO21" i="3" s="1"/>
  <c r="N65" i="3"/>
  <c r="AD65" i="3" s="1"/>
  <c r="AT65" i="3" s="1"/>
  <c r="E112" i="5" l="1"/>
  <c r="F112" i="5" s="1"/>
  <c r="AE113" i="5"/>
  <c r="K106" i="3"/>
  <c r="K107" i="3" s="1"/>
  <c r="K108" i="3" s="1"/>
  <c r="K109" i="3" s="1"/>
  <c r="K110" i="3" s="1"/>
  <c r="K111" i="3" s="1"/>
  <c r="K112" i="3" s="1"/>
  <c r="K113" i="3" s="1"/>
  <c r="K114" i="3" s="1"/>
  <c r="K115" i="3" s="1"/>
  <c r="K116" i="3" s="1"/>
  <c r="K117" i="3" s="1"/>
  <c r="K118" i="3" s="1"/>
  <c r="K119" i="3" s="1"/>
  <c r="K120" i="3" s="1"/>
  <c r="K121" i="3" s="1"/>
  <c r="K122" i="3" s="1"/>
  <c r="AE94" i="3"/>
  <c r="AU94" i="3" s="1"/>
  <c r="B114" i="5"/>
  <c r="C113" i="5"/>
  <c r="AF112" i="5"/>
  <c r="D113" i="5"/>
  <c r="AG112" i="5"/>
  <c r="P110" i="5"/>
  <c r="L32" i="6" s="1"/>
  <c r="I110" i="5"/>
  <c r="S110" i="5"/>
  <c r="T110" i="5"/>
  <c r="U110" i="5"/>
  <c r="O110" i="5"/>
  <c r="V110" i="5"/>
  <c r="N111" i="5"/>
  <c r="M33" i="6" s="1"/>
  <c r="AH111" i="5"/>
  <c r="K26" i="6" s="1"/>
  <c r="AA111" i="5"/>
  <c r="X62" i="3"/>
  <c r="AN62" i="3" s="1"/>
  <c r="I22" i="3"/>
  <c r="Y22" i="3" s="1"/>
  <c r="AO22" i="3" s="1"/>
  <c r="Q62" i="3"/>
  <c r="AG62" i="3" s="1"/>
  <c r="AW62" i="3" s="1"/>
  <c r="J61" i="3"/>
  <c r="Z61" i="3" s="1"/>
  <c r="AP61" i="3" s="1"/>
  <c r="F62" i="3"/>
  <c r="V62" i="3" s="1"/>
  <c r="AL62" i="3" s="1"/>
  <c r="AA112" i="5" l="1"/>
  <c r="Z112" i="5" s="1"/>
  <c r="E113" i="5"/>
  <c r="F113" i="5" s="1"/>
  <c r="AE114" i="5"/>
  <c r="BK18" i="3"/>
  <c r="O95" i="3"/>
  <c r="B115" i="5"/>
  <c r="W116" i="5"/>
  <c r="D114" i="5"/>
  <c r="AG114" i="5" s="1"/>
  <c r="N112" i="5"/>
  <c r="G112" i="5"/>
  <c r="C114" i="5"/>
  <c r="AF114" i="5" s="1"/>
  <c r="AF113" i="5"/>
  <c r="AG113" i="5"/>
  <c r="AH112" i="5"/>
  <c r="Y111" i="5"/>
  <c r="Z111" i="5"/>
  <c r="O111" i="5"/>
  <c r="G111" i="5"/>
  <c r="X111" i="5"/>
  <c r="H63" i="3"/>
  <c r="I23" i="3"/>
  <c r="Y23" i="3" s="1"/>
  <c r="AO23" i="3" s="1"/>
  <c r="N66" i="3"/>
  <c r="AD66" i="3" s="1"/>
  <c r="AT66" i="3" s="1"/>
  <c r="Y112" i="5" l="1"/>
  <c r="X112" i="5"/>
  <c r="AA113" i="5"/>
  <c r="X113" i="5" s="1"/>
  <c r="G113" i="5"/>
  <c r="E114" i="5"/>
  <c r="F114" i="5" s="1"/>
  <c r="AE95" i="3"/>
  <c r="AU95" i="3" s="1"/>
  <c r="AE115" i="5"/>
  <c r="L27" i="6" s="1"/>
  <c r="O96" i="3"/>
  <c r="I112" i="5"/>
  <c r="P112" i="5"/>
  <c r="S112" i="5"/>
  <c r="T112" i="5"/>
  <c r="U112" i="5"/>
  <c r="AH113" i="5"/>
  <c r="N113" i="5"/>
  <c r="C115" i="5"/>
  <c r="AB112" i="5"/>
  <c r="AI112" i="5"/>
  <c r="D115" i="5"/>
  <c r="V112" i="5"/>
  <c r="O112" i="5"/>
  <c r="V111" i="5"/>
  <c r="P111" i="5"/>
  <c r="M32" i="6" s="1"/>
  <c r="I111" i="5"/>
  <c r="S111" i="5"/>
  <c r="T111" i="5"/>
  <c r="U111" i="5"/>
  <c r="AI111" i="5"/>
  <c r="K25" i="6" s="1"/>
  <c r="AB111" i="5"/>
  <c r="X63" i="3"/>
  <c r="AN63" i="3" s="1"/>
  <c r="I24" i="3"/>
  <c r="Y24" i="3" s="1"/>
  <c r="AO24" i="3" s="1"/>
  <c r="Q63" i="3"/>
  <c r="AG63" i="3" s="1"/>
  <c r="AW63" i="3" s="1"/>
  <c r="J62" i="3"/>
  <c r="Z62" i="3" s="1"/>
  <c r="AP62" i="3" s="1"/>
  <c r="F63" i="3"/>
  <c r="V63" i="3" s="1"/>
  <c r="AL63" i="3" s="1"/>
  <c r="Z113" i="5" l="1"/>
  <c r="Y113" i="5"/>
  <c r="AH114" i="5"/>
  <c r="G114" i="5"/>
  <c r="E115" i="5"/>
  <c r="F115" i="5" s="1"/>
  <c r="AF115" i="5"/>
  <c r="L28" i="6" s="1"/>
  <c r="AE96" i="3"/>
  <c r="AU96" i="3" s="1"/>
  <c r="P113" i="5"/>
  <c r="I113" i="5"/>
  <c r="S113" i="5"/>
  <c r="U113" i="5"/>
  <c r="T113" i="5"/>
  <c r="AI113" i="5"/>
  <c r="AB113" i="5"/>
  <c r="AG115" i="5"/>
  <c r="L29" i="6" s="1"/>
  <c r="N114" i="5"/>
  <c r="AA114" i="5"/>
  <c r="X114" i="5" s="1"/>
  <c r="O113" i="5"/>
  <c r="V113" i="5"/>
  <c r="H64" i="3"/>
  <c r="I25" i="3"/>
  <c r="Y25" i="3" s="1"/>
  <c r="AO25" i="3" s="1"/>
  <c r="N67" i="3"/>
  <c r="AD67" i="3" s="1"/>
  <c r="AT67" i="3" s="1"/>
  <c r="AH115" i="5" l="1"/>
  <c r="L26" i="6" s="1"/>
  <c r="O97" i="3"/>
  <c r="Z114" i="5"/>
  <c r="P114" i="5"/>
  <c r="I114" i="5"/>
  <c r="S114" i="5"/>
  <c r="T114" i="5"/>
  <c r="U114" i="5"/>
  <c r="AI114" i="5"/>
  <c r="AB114" i="5"/>
  <c r="Y114" i="5"/>
  <c r="N115" i="5"/>
  <c r="O114" i="5"/>
  <c r="V114" i="5"/>
  <c r="AA115" i="5"/>
  <c r="Z115" i="5" s="1"/>
  <c r="X64" i="3"/>
  <c r="AN64" i="3" s="1"/>
  <c r="I26" i="3"/>
  <c r="Y26" i="3" s="1"/>
  <c r="AO26" i="3" s="1"/>
  <c r="Q64" i="3"/>
  <c r="AG64" i="3" s="1"/>
  <c r="AW64" i="3" s="1"/>
  <c r="J63" i="3"/>
  <c r="Z63" i="3" s="1"/>
  <c r="AP63" i="3" s="1"/>
  <c r="F64" i="3"/>
  <c r="V64" i="3" s="1"/>
  <c r="AL64" i="3" s="1"/>
  <c r="AE97" i="3" l="1"/>
  <c r="O98" i="3" s="1"/>
  <c r="AE98" i="3" s="1"/>
  <c r="AU98" i="3" s="1"/>
  <c r="W120" i="5"/>
  <c r="Y115" i="5"/>
  <c r="X115" i="5"/>
  <c r="O115" i="5"/>
  <c r="G115" i="5"/>
  <c r="H65" i="3"/>
  <c r="I27" i="3"/>
  <c r="Y27" i="3" s="1"/>
  <c r="AO27" i="3" s="1"/>
  <c r="N68" i="3"/>
  <c r="AD68" i="3" s="1"/>
  <c r="AT68" i="3" s="1"/>
  <c r="G116" i="5" l="1"/>
  <c r="G117" i="5" s="1"/>
  <c r="G118" i="5" s="1"/>
  <c r="G119" i="5" s="1"/>
  <c r="G120" i="5" s="1"/>
  <c r="G121" i="5" s="1"/>
  <c r="G122" i="5" s="1"/>
  <c r="G123" i="5" s="1"/>
  <c r="G124" i="5" s="1"/>
  <c r="G125" i="5" s="1"/>
  <c r="G126" i="5" s="1"/>
  <c r="G127" i="5" s="1"/>
  <c r="G128" i="5" s="1"/>
  <c r="G129" i="5" s="1"/>
  <c r="G130" i="5" s="1"/>
  <c r="G131" i="5" s="1"/>
  <c r="G132" i="5" s="1"/>
  <c r="G133" i="5" s="1"/>
  <c r="G134" i="5" s="1"/>
  <c r="G135" i="5" s="1"/>
  <c r="G136" i="5" s="1"/>
  <c r="G137" i="5" s="1"/>
  <c r="G138" i="5" s="1"/>
  <c r="G139" i="5" s="1"/>
  <c r="G140" i="5" s="1"/>
  <c r="G141" i="5" s="1"/>
  <c r="G142" i="5" s="1"/>
  <c r="G143" i="5" s="1"/>
  <c r="G144" i="5" s="1"/>
  <c r="G145" i="5" s="1"/>
  <c r="G146" i="5" s="1"/>
  <c r="G147" i="5" s="1"/>
  <c r="G148" i="5" s="1"/>
  <c r="G149" i="5" s="1"/>
  <c r="G150" i="5" s="1"/>
  <c r="G151" i="5" s="1"/>
  <c r="G152" i="5" s="1"/>
  <c r="G153" i="5" s="1"/>
  <c r="G154" i="5" s="1"/>
  <c r="G155" i="5" s="1"/>
  <c r="G156" i="5" s="1"/>
  <c r="G157" i="5" s="1"/>
  <c r="G158" i="5" s="1"/>
  <c r="G159" i="5" s="1"/>
  <c r="G160" i="5" s="1"/>
  <c r="G161" i="5" s="1"/>
  <c r="G162" i="5" s="1"/>
  <c r="G163" i="5" s="1"/>
  <c r="AU97" i="3"/>
  <c r="BI22" i="3" s="1"/>
  <c r="BJ22" i="3" s="1"/>
  <c r="V115" i="5"/>
  <c r="O99" i="3"/>
  <c r="P115" i="5"/>
  <c r="I115" i="5"/>
  <c r="S115" i="5"/>
  <c r="U115" i="5"/>
  <c r="T115" i="5"/>
  <c r="AB115" i="5"/>
  <c r="AI115" i="5"/>
  <c r="L25" i="6" s="1"/>
  <c r="X65" i="3"/>
  <c r="AN65" i="3" s="1"/>
  <c r="I28" i="3"/>
  <c r="Y28" i="3" s="1"/>
  <c r="AO28" i="3" s="1"/>
  <c r="Q65" i="3"/>
  <c r="AG65" i="3" s="1"/>
  <c r="AW65" i="3" s="1"/>
  <c r="J64" i="3"/>
  <c r="Z64" i="3" s="1"/>
  <c r="AP64" i="3" s="1"/>
  <c r="F65" i="3"/>
  <c r="V65" i="3" s="1"/>
  <c r="AL65" i="3" s="1"/>
  <c r="B116" i="5" l="1"/>
  <c r="B117" i="5" s="1"/>
  <c r="AI116" i="5"/>
  <c r="F116" i="5"/>
  <c r="O116" i="5" s="1"/>
  <c r="C116" i="5"/>
  <c r="AF116" i="5" s="1"/>
  <c r="AB116" i="5"/>
  <c r="E116" i="5"/>
  <c r="AH116" i="5" s="1"/>
  <c r="D116" i="5"/>
  <c r="I116" i="5"/>
  <c r="P116" i="5"/>
  <c r="O100" i="3"/>
  <c r="O101" i="3" s="1"/>
  <c r="H66" i="3"/>
  <c r="I29" i="3"/>
  <c r="Y29" i="3" s="1"/>
  <c r="AO29" i="3" s="1"/>
  <c r="N69" i="3"/>
  <c r="AD69" i="3" s="1"/>
  <c r="AT69" i="3" s="1"/>
  <c r="S116" i="5" l="1"/>
  <c r="K116" i="5"/>
  <c r="T116" i="5"/>
  <c r="N116" i="5"/>
  <c r="V116" i="5"/>
  <c r="AG116" i="5"/>
  <c r="AA116" i="5"/>
  <c r="Y116" i="5" s="1"/>
  <c r="F117" i="5"/>
  <c r="C117" i="5"/>
  <c r="L117" i="5" s="1"/>
  <c r="L116" i="5"/>
  <c r="U116" i="5"/>
  <c r="E117" i="5"/>
  <c r="N117" i="5" s="1"/>
  <c r="M116" i="5"/>
  <c r="K117" i="5"/>
  <c r="I117" i="5"/>
  <c r="P117" i="5"/>
  <c r="D117" i="5"/>
  <c r="AE117" i="5"/>
  <c r="O102" i="3"/>
  <c r="AB117" i="5"/>
  <c r="AI117" i="5"/>
  <c r="AE116" i="5"/>
  <c r="X66" i="3"/>
  <c r="AN66" i="3" s="1"/>
  <c r="I30" i="3"/>
  <c r="Y30" i="3" s="1"/>
  <c r="AO30" i="3" s="1"/>
  <c r="Q66" i="3"/>
  <c r="AG66" i="3" s="1"/>
  <c r="AW66" i="3" s="1"/>
  <c r="J65" i="3"/>
  <c r="Z65" i="3" s="1"/>
  <c r="AP65" i="3" s="1"/>
  <c r="F66" i="3"/>
  <c r="V66" i="3" s="1"/>
  <c r="AL66" i="3" s="1"/>
  <c r="AF117" i="5" l="1"/>
  <c r="Z116" i="5"/>
  <c r="X116" i="5"/>
  <c r="C118" i="5"/>
  <c r="L118" i="5" s="1"/>
  <c r="V117" i="5"/>
  <c r="T117" i="5"/>
  <c r="O117" i="5"/>
  <c r="S117" i="5"/>
  <c r="E118" i="5"/>
  <c r="N118" i="5" s="1"/>
  <c r="F118" i="5"/>
  <c r="O118" i="5" s="1"/>
  <c r="P118" i="5"/>
  <c r="I118" i="5"/>
  <c r="B118" i="5"/>
  <c r="D118" i="5"/>
  <c r="M117" i="5"/>
  <c r="U117" i="5"/>
  <c r="O103" i="3"/>
  <c r="O104" i="3" s="1"/>
  <c r="AG117" i="5"/>
  <c r="AA117" i="5"/>
  <c r="Y117" i="5" s="1"/>
  <c r="AH117" i="5"/>
  <c r="AB118" i="5"/>
  <c r="AI118" i="5"/>
  <c r="D32" i="6"/>
  <c r="G33" i="6"/>
  <c r="F35" i="6"/>
  <c r="F33" i="6"/>
  <c r="F34" i="6"/>
  <c r="G34" i="6"/>
  <c r="D35" i="6"/>
  <c r="C32" i="6"/>
  <c r="C36" i="6"/>
  <c r="G35" i="6"/>
  <c r="E36" i="6"/>
  <c r="G32" i="6"/>
  <c r="F32" i="6"/>
  <c r="C35" i="6"/>
  <c r="G36" i="6"/>
  <c r="E33" i="6"/>
  <c r="D36" i="6"/>
  <c r="F36" i="6"/>
  <c r="D34" i="6"/>
  <c r="D33" i="6"/>
  <c r="C33" i="6"/>
  <c r="E35" i="6"/>
  <c r="E34" i="6"/>
  <c r="C34" i="6"/>
  <c r="E32" i="6"/>
  <c r="H35" i="6"/>
  <c r="H36" i="6"/>
  <c r="H34" i="6"/>
  <c r="H33" i="6"/>
  <c r="I36" i="6"/>
  <c r="J36" i="6"/>
  <c r="I35" i="6"/>
  <c r="J34" i="6"/>
  <c r="H32" i="6"/>
  <c r="H67" i="3"/>
  <c r="I31" i="3"/>
  <c r="Y31" i="3" s="1"/>
  <c r="AO31" i="3" s="1"/>
  <c r="N70" i="3"/>
  <c r="AD70" i="3" s="1"/>
  <c r="AT70" i="3" s="1"/>
  <c r="F119" i="5" l="1"/>
  <c r="O119" i="5" s="1"/>
  <c r="V118" i="5"/>
  <c r="E119" i="5"/>
  <c r="B119" i="5"/>
  <c r="K118" i="5"/>
  <c r="S118" i="5"/>
  <c r="P119" i="5"/>
  <c r="I119" i="5"/>
  <c r="AB119" i="5"/>
  <c r="T118" i="5"/>
  <c r="M118" i="5"/>
  <c r="D119" i="5"/>
  <c r="U118" i="5"/>
  <c r="C119" i="5"/>
  <c r="AI119" i="5"/>
  <c r="M25" i="6" s="1"/>
  <c r="O105" i="3"/>
  <c r="X117" i="5"/>
  <c r="AA118" i="5"/>
  <c r="X118" i="5" s="1"/>
  <c r="AH118" i="5"/>
  <c r="AG118" i="5"/>
  <c r="Z117" i="5"/>
  <c r="AF118" i="5"/>
  <c r="AE118" i="5"/>
  <c r="W124" i="5"/>
  <c r="X67" i="3"/>
  <c r="AN67" i="3" s="1"/>
  <c r="I32" i="3"/>
  <c r="Y32" i="3" s="1"/>
  <c r="AO32" i="3" s="1"/>
  <c r="Q67" i="3"/>
  <c r="AG67" i="3" s="1"/>
  <c r="AW67" i="3" s="1"/>
  <c r="J66" i="3"/>
  <c r="Z66" i="3" s="1"/>
  <c r="AP66" i="3" s="1"/>
  <c r="F67" i="3"/>
  <c r="V67" i="3" s="1"/>
  <c r="AL67" i="3" s="1"/>
  <c r="F120" i="5" l="1"/>
  <c r="O120" i="5" s="1"/>
  <c r="E120" i="5"/>
  <c r="B120" i="5"/>
  <c r="K119" i="5"/>
  <c r="S119" i="5"/>
  <c r="V119" i="5"/>
  <c r="N119" i="5"/>
  <c r="M119" i="5"/>
  <c r="D120" i="5"/>
  <c r="U119" i="5"/>
  <c r="I120" i="5"/>
  <c r="P120" i="5"/>
  <c r="L119" i="5"/>
  <c r="C120" i="5"/>
  <c r="T119" i="5"/>
  <c r="AE119" i="5"/>
  <c r="M27" i="6" s="1"/>
  <c r="O106" i="3"/>
  <c r="O107" i="3" s="1"/>
  <c r="O108" i="3" s="1"/>
  <c r="O109" i="3" s="1"/>
  <c r="O110" i="3" s="1"/>
  <c r="O111" i="3" s="1"/>
  <c r="O112" i="3" s="1"/>
  <c r="O113" i="3" s="1"/>
  <c r="O114" i="3" s="1"/>
  <c r="O115" i="3" s="1"/>
  <c r="O116" i="3" s="1"/>
  <c r="O117" i="3" s="1"/>
  <c r="O118" i="3" s="1"/>
  <c r="O119" i="3" s="1"/>
  <c r="O120" i="3" s="1"/>
  <c r="O121" i="3" s="1"/>
  <c r="O122" i="3" s="1"/>
  <c r="AA119" i="5"/>
  <c r="Y119" i="5" s="1"/>
  <c r="AH119" i="5"/>
  <c r="M26" i="6" s="1"/>
  <c r="AG119" i="5"/>
  <c r="M29" i="6" s="1"/>
  <c r="AF119" i="5"/>
  <c r="M28" i="6" s="1"/>
  <c r="Z118" i="5"/>
  <c r="Y118" i="5"/>
  <c r="AJ124" i="5"/>
  <c r="AC124" i="5"/>
  <c r="H68" i="3"/>
  <c r="I33" i="3"/>
  <c r="Y33" i="3" s="1"/>
  <c r="AO33" i="3" s="1"/>
  <c r="N71" i="3"/>
  <c r="AD71" i="3" s="1"/>
  <c r="AT71" i="3" s="1"/>
  <c r="E121" i="5" l="1"/>
  <c r="N120" i="5"/>
  <c r="K120" i="5"/>
  <c r="B121" i="5"/>
  <c r="S120" i="5"/>
  <c r="M120" i="5"/>
  <c r="D121" i="5"/>
  <c r="U120" i="5"/>
  <c r="V120" i="5"/>
  <c r="L120" i="5"/>
  <c r="C121" i="5"/>
  <c r="T120" i="5"/>
  <c r="I121" i="5"/>
  <c r="P121" i="5"/>
  <c r="F121" i="5"/>
  <c r="BK22" i="3"/>
  <c r="X119" i="5"/>
  <c r="Z119" i="5"/>
  <c r="AJ125" i="5"/>
  <c r="AC125" i="5"/>
  <c r="X68" i="3"/>
  <c r="AN68" i="3" s="1"/>
  <c r="I34" i="3"/>
  <c r="Y34" i="3" s="1"/>
  <c r="AO34" i="3" s="1"/>
  <c r="Q68" i="3"/>
  <c r="AG68" i="3" s="1"/>
  <c r="AW68" i="3" s="1"/>
  <c r="J67" i="3"/>
  <c r="Z67" i="3" s="1"/>
  <c r="AP67" i="3" s="1"/>
  <c r="F68" i="3"/>
  <c r="V68" i="3" s="1"/>
  <c r="AL68" i="3" s="1"/>
  <c r="E122" i="5" l="1"/>
  <c r="M121" i="5"/>
  <c r="D122" i="5"/>
  <c r="U121" i="5"/>
  <c r="K121" i="5"/>
  <c r="B122" i="5"/>
  <c r="S121" i="5"/>
  <c r="C122" i="5"/>
  <c r="L121" i="5"/>
  <c r="T121" i="5"/>
  <c r="F122" i="5"/>
  <c r="O121" i="5"/>
  <c r="V121" i="5"/>
  <c r="P122" i="5"/>
  <c r="I122" i="5"/>
  <c r="N121" i="5"/>
  <c r="AJ126" i="5"/>
  <c r="AC126" i="5"/>
  <c r="A128" i="5"/>
  <c r="H69" i="3"/>
  <c r="I35" i="3"/>
  <c r="Y35" i="3" s="1"/>
  <c r="AO35" i="3" s="1"/>
  <c r="N72" i="3"/>
  <c r="AD72" i="3" s="1"/>
  <c r="AT72" i="3" s="1"/>
  <c r="E123" i="5" l="1"/>
  <c r="O122" i="5"/>
  <c r="F123" i="5"/>
  <c r="V122" i="5"/>
  <c r="B123" i="5"/>
  <c r="K122" i="5"/>
  <c r="S122" i="5"/>
  <c r="N122" i="5"/>
  <c r="P123" i="5"/>
  <c r="I123" i="5"/>
  <c r="M122" i="5"/>
  <c r="D123" i="5"/>
  <c r="U122" i="5"/>
  <c r="C123" i="5"/>
  <c r="L122" i="5"/>
  <c r="T122" i="5"/>
  <c r="AJ127" i="5"/>
  <c r="AC127" i="5"/>
  <c r="W128" i="5"/>
  <c r="A129" i="5"/>
  <c r="X69" i="3"/>
  <c r="AN69" i="3" s="1"/>
  <c r="I36" i="3"/>
  <c r="Y36" i="3" s="1"/>
  <c r="AO36" i="3" s="1"/>
  <c r="Q69" i="3"/>
  <c r="AG69" i="3" s="1"/>
  <c r="AW69" i="3" s="1"/>
  <c r="J68" i="3"/>
  <c r="Z68" i="3" s="1"/>
  <c r="AP68" i="3" s="1"/>
  <c r="F69" i="3"/>
  <c r="V69" i="3" s="1"/>
  <c r="AL69" i="3" s="1"/>
  <c r="E124" i="5" l="1"/>
  <c r="I124" i="5"/>
  <c r="P124" i="5"/>
  <c r="K123" i="5"/>
  <c r="B124" i="5"/>
  <c r="S123" i="5"/>
  <c r="N123" i="5"/>
  <c r="O123" i="5"/>
  <c r="F124" i="5"/>
  <c r="V123" i="5"/>
  <c r="L123" i="5"/>
  <c r="C124" i="5"/>
  <c r="T123" i="5"/>
  <c r="M123" i="5"/>
  <c r="D124" i="5"/>
  <c r="U123" i="5"/>
  <c r="Q128" i="5"/>
  <c r="AJ128" i="5"/>
  <c r="A130" i="5"/>
  <c r="AC128" i="5"/>
  <c r="H70" i="3"/>
  <c r="I37" i="3"/>
  <c r="Y37" i="3" s="1"/>
  <c r="AO37" i="3" s="1"/>
  <c r="N73" i="3"/>
  <c r="AD73" i="3" s="1"/>
  <c r="AT73" i="3" s="1"/>
  <c r="E125" i="5" l="1"/>
  <c r="M124" i="5"/>
  <c r="D125" i="5"/>
  <c r="U124" i="5"/>
  <c r="F125" i="5"/>
  <c r="O124" i="5"/>
  <c r="V124" i="5"/>
  <c r="N124" i="5"/>
  <c r="K124" i="5"/>
  <c r="B125" i="5"/>
  <c r="S124" i="5"/>
  <c r="L124" i="5"/>
  <c r="C125" i="5"/>
  <c r="T124" i="5"/>
  <c r="I125" i="5"/>
  <c r="P125" i="5"/>
  <c r="AJ129" i="5"/>
  <c r="A131" i="5"/>
  <c r="AC129" i="5"/>
  <c r="Q129" i="5"/>
  <c r="X70" i="3"/>
  <c r="AN70" i="3" s="1"/>
  <c r="N74" i="3"/>
  <c r="AD74" i="3" s="1"/>
  <c r="AT74" i="3" s="1"/>
  <c r="I38" i="3"/>
  <c r="Y38" i="3" s="1"/>
  <c r="AO38" i="3" s="1"/>
  <c r="Q70" i="3"/>
  <c r="AG70" i="3" s="1"/>
  <c r="AW70" i="3" s="1"/>
  <c r="J69" i="3"/>
  <c r="Z69" i="3" s="1"/>
  <c r="AP69" i="3" s="1"/>
  <c r="F70" i="3"/>
  <c r="V70" i="3" s="1"/>
  <c r="AL70" i="3" s="1"/>
  <c r="E126" i="5" l="1"/>
  <c r="K125" i="5"/>
  <c r="B126" i="5"/>
  <c r="S125" i="5"/>
  <c r="N125" i="5"/>
  <c r="P126" i="5"/>
  <c r="I126" i="5"/>
  <c r="D126" i="5"/>
  <c r="M125" i="5"/>
  <c r="U125" i="5"/>
  <c r="F126" i="5"/>
  <c r="O125" i="5"/>
  <c r="V125" i="5"/>
  <c r="C126" i="5"/>
  <c r="L125" i="5"/>
  <c r="T125" i="5"/>
  <c r="A132" i="5"/>
  <c r="Q130" i="5"/>
  <c r="AJ130" i="5"/>
  <c r="AC130" i="5"/>
  <c r="H71" i="3"/>
  <c r="I39" i="3"/>
  <c r="Y39" i="3" s="1"/>
  <c r="AO39" i="3" s="1"/>
  <c r="E127" i="5" l="1"/>
  <c r="N127" i="5" s="1"/>
  <c r="O126" i="5"/>
  <c r="F127" i="5"/>
  <c r="V126" i="5"/>
  <c r="P127" i="5"/>
  <c r="I127" i="5"/>
  <c r="M126" i="5"/>
  <c r="D127" i="5"/>
  <c r="U126" i="5"/>
  <c r="C127" i="5"/>
  <c r="L126" i="5"/>
  <c r="T126" i="5"/>
  <c r="B127" i="5"/>
  <c r="K126" i="5"/>
  <c r="S126" i="5"/>
  <c r="N126" i="5"/>
  <c r="AJ131" i="5"/>
  <c r="AC131" i="5"/>
  <c r="Q131" i="5"/>
  <c r="W132" i="5"/>
  <c r="A133" i="5"/>
  <c r="X71" i="3"/>
  <c r="AN71" i="3" s="1"/>
  <c r="N75" i="3"/>
  <c r="AD75" i="3" s="1"/>
  <c r="AT75" i="3" s="1"/>
  <c r="I40" i="3"/>
  <c r="Y40" i="3" s="1"/>
  <c r="AO40" i="3" s="1"/>
  <c r="Q71" i="3"/>
  <c r="AG71" i="3" s="1"/>
  <c r="AW71" i="3" s="1"/>
  <c r="J70" i="3"/>
  <c r="Z70" i="3" s="1"/>
  <c r="AP70" i="3" s="1"/>
  <c r="F71" i="3"/>
  <c r="V71" i="3" s="1"/>
  <c r="AL71" i="3" s="1"/>
  <c r="E128" i="5" l="1"/>
  <c r="E129" i="5" s="1"/>
  <c r="E130" i="5" s="1"/>
  <c r="E131" i="5" s="1"/>
  <c r="E132" i="5" s="1"/>
  <c r="E133" i="5" s="1"/>
  <c r="E134" i="5" s="1"/>
  <c r="E135" i="5" s="1"/>
  <c r="L127" i="5"/>
  <c r="T127" i="5"/>
  <c r="O127" i="5"/>
  <c r="V127" i="5"/>
  <c r="M127" i="5"/>
  <c r="U127" i="5"/>
  <c r="K127" i="5"/>
  <c r="S127" i="5"/>
  <c r="AC132" i="5"/>
  <c r="AJ132" i="5"/>
  <c r="Q132" i="5"/>
  <c r="A134" i="5"/>
  <c r="AJ133" i="5"/>
  <c r="H72" i="3"/>
  <c r="I41" i="3"/>
  <c r="Y41" i="3" s="1"/>
  <c r="AO41" i="3" s="1"/>
  <c r="Q133" i="5" l="1"/>
  <c r="A135" i="5"/>
  <c r="AC133" i="5"/>
  <c r="X72" i="3"/>
  <c r="AN72" i="3" s="1"/>
  <c r="I42" i="3"/>
  <c r="Y42" i="3" s="1"/>
  <c r="AO42" i="3" s="1"/>
  <c r="N76" i="3"/>
  <c r="AD76" i="3" s="1"/>
  <c r="AT76" i="3" s="1"/>
  <c r="Q72" i="3"/>
  <c r="AG72" i="3" s="1"/>
  <c r="AW72" i="3" s="1"/>
  <c r="J71" i="3"/>
  <c r="Z71" i="3" s="1"/>
  <c r="AP71" i="3" s="1"/>
  <c r="F72" i="3"/>
  <c r="V72" i="3" s="1"/>
  <c r="AL72" i="3" s="1"/>
  <c r="Q134" i="5" l="1"/>
  <c r="AJ134" i="5"/>
  <c r="A136" i="5"/>
  <c r="AC134" i="5"/>
  <c r="H73" i="3"/>
  <c r="I43" i="3"/>
  <c r="Y43" i="3" s="1"/>
  <c r="AO43" i="3" s="1"/>
  <c r="AJ135" i="5" l="1"/>
  <c r="AC135" i="5"/>
  <c r="Q135" i="5"/>
  <c r="W136" i="5"/>
  <c r="A137" i="5"/>
  <c r="X73" i="3"/>
  <c r="AN73" i="3" s="1"/>
  <c r="N77" i="3"/>
  <c r="AD77" i="3" s="1"/>
  <c r="AT77" i="3" s="1"/>
  <c r="I44" i="3"/>
  <c r="Y44" i="3" s="1"/>
  <c r="AO44" i="3" s="1"/>
  <c r="Q73" i="3"/>
  <c r="AG73" i="3" s="1"/>
  <c r="AW73" i="3" s="1"/>
  <c r="J72" i="3"/>
  <c r="Z72" i="3" s="1"/>
  <c r="AP72" i="3" s="1"/>
  <c r="F73" i="3"/>
  <c r="V73" i="3" s="1"/>
  <c r="AL73" i="3" s="1"/>
  <c r="AC136" i="5" l="1"/>
  <c r="A138" i="5"/>
  <c r="AJ136" i="5"/>
  <c r="Q136" i="5"/>
  <c r="H74" i="3"/>
  <c r="I45" i="3"/>
  <c r="Y45" i="3" s="1"/>
  <c r="AO45" i="3" s="1"/>
  <c r="Q137" i="5" l="1"/>
  <c r="A139" i="5"/>
  <c r="AJ138" i="5"/>
  <c r="AJ137" i="5"/>
  <c r="AC137" i="5"/>
  <c r="X74" i="3"/>
  <c r="AN74" i="3" s="1"/>
  <c r="N78" i="3"/>
  <c r="AD78" i="3" s="1"/>
  <c r="AT78" i="3" s="1"/>
  <c r="I46" i="3"/>
  <c r="Y46" i="3" s="1"/>
  <c r="AO46" i="3" s="1"/>
  <c r="Q74" i="3"/>
  <c r="AG74" i="3" s="1"/>
  <c r="AW74" i="3" s="1"/>
  <c r="J73" i="3"/>
  <c r="Z73" i="3" s="1"/>
  <c r="AP73" i="3" s="1"/>
  <c r="F74" i="3"/>
  <c r="V74" i="3" s="1"/>
  <c r="AL74" i="3" s="1"/>
  <c r="Q138" i="5" l="1"/>
  <c r="AC139" i="5"/>
  <c r="A140" i="5"/>
  <c r="AC138" i="5"/>
  <c r="H75" i="3"/>
  <c r="I47" i="3"/>
  <c r="Y47" i="3" s="1"/>
  <c r="AO47" i="3" s="1"/>
  <c r="W140" i="5" l="1"/>
  <c r="A141" i="5"/>
  <c r="Q139" i="5"/>
  <c r="AJ139" i="5"/>
  <c r="X75" i="3"/>
  <c r="AN75" i="3" s="1"/>
  <c r="N79" i="3"/>
  <c r="AD79" i="3" s="1"/>
  <c r="AT79" i="3" s="1"/>
  <c r="I48" i="3"/>
  <c r="Y48" i="3" s="1"/>
  <c r="AO48" i="3" s="1"/>
  <c r="Q75" i="3"/>
  <c r="AG75" i="3" s="1"/>
  <c r="AW75" i="3" s="1"/>
  <c r="J74" i="3"/>
  <c r="Z74" i="3" s="1"/>
  <c r="AP74" i="3" s="1"/>
  <c r="F75" i="3"/>
  <c r="V75" i="3" s="1"/>
  <c r="AL75" i="3" s="1"/>
  <c r="Q140" i="5" l="1"/>
  <c r="A142" i="5"/>
  <c r="AC140" i="5"/>
  <c r="AJ140" i="5"/>
  <c r="H76" i="3"/>
  <c r="I49" i="3"/>
  <c r="Y49" i="3" s="1"/>
  <c r="AO49" i="3" s="1"/>
  <c r="A143" i="5" l="1"/>
  <c r="Q141" i="5"/>
  <c r="AC141" i="5"/>
  <c r="AJ141" i="5"/>
  <c r="X76" i="3"/>
  <c r="AN76" i="3" s="1"/>
  <c r="I50" i="3"/>
  <c r="Y50" i="3" s="1"/>
  <c r="AO50" i="3" s="1"/>
  <c r="Q76" i="3"/>
  <c r="AG76" i="3" s="1"/>
  <c r="AW76" i="3" s="1"/>
  <c r="N80" i="3"/>
  <c r="AD80" i="3" s="1"/>
  <c r="AT80" i="3" s="1"/>
  <c r="J75" i="3"/>
  <c r="Z75" i="3" s="1"/>
  <c r="AP75" i="3" s="1"/>
  <c r="F76" i="3"/>
  <c r="V76" i="3" s="1"/>
  <c r="AL76" i="3" s="1"/>
  <c r="AJ142" i="5" l="1"/>
  <c r="Q142" i="5"/>
  <c r="AC142" i="5"/>
  <c r="AC143" i="5"/>
  <c r="A144" i="5"/>
  <c r="H77" i="3"/>
  <c r="I51" i="3"/>
  <c r="Y51" i="3" s="1"/>
  <c r="AO51" i="3" s="1"/>
  <c r="W144" i="5" l="1"/>
  <c r="A145" i="5"/>
  <c r="Q143" i="5"/>
  <c r="AJ143" i="5"/>
  <c r="X77" i="3"/>
  <c r="AN77" i="3" s="1"/>
  <c r="N81" i="3"/>
  <c r="AD81" i="3" s="1"/>
  <c r="AT81" i="3" s="1"/>
  <c r="I52" i="3"/>
  <c r="Y52" i="3" s="1"/>
  <c r="AO52" i="3" s="1"/>
  <c r="Q77" i="3"/>
  <c r="AG77" i="3" s="1"/>
  <c r="AW77" i="3" s="1"/>
  <c r="J76" i="3"/>
  <c r="Z76" i="3" s="1"/>
  <c r="AP76" i="3" s="1"/>
  <c r="F77" i="3"/>
  <c r="V77" i="3" s="1"/>
  <c r="AL77" i="3" s="1"/>
  <c r="Q144" i="5" l="1"/>
  <c r="A146" i="5"/>
  <c r="AC144" i="5"/>
  <c r="AJ144" i="5"/>
  <c r="H78" i="3"/>
  <c r="I53" i="3"/>
  <c r="Y53" i="3" s="1"/>
  <c r="AO53" i="3" s="1"/>
  <c r="Q145" i="5" l="1"/>
  <c r="AJ145" i="5"/>
  <c r="AC145" i="5"/>
  <c r="A147" i="5"/>
  <c r="X78" i="3"/>
  <c r="AN78" i="3" s="1"/>
  <c r="N82" i="3"/>
  <c r="AD82" i="3" s="1"/>
  <c r="AT82" i="3" s="1"/>
  <c r="I54" i="3"/>
  <c r="Y54" i="3" s="1"/>
  <c r="AO54" i="3" s="1"/>
  <c r="Q78" i="3"/>
  <c r="AG78" i="3" s="1"/>
  <c r="AW78" i="3" s="1"/>
  <c r="J77" i="3"/>
  <c r="Z77" i="3" s="1"/>
  <c r="AP77" i="3" s="1"/>
  <c r="F78" i="3"/>
  <c r="V78" i="3" s="1"/>
  <c r="AL78" i="3" s="1"/>
  <c r="AJ146" i="5" l="1"/>
  <c r="Q146" i="5"/>
  <c r="AC146" i="5"/>
  <c r="AC147" i="5"/>
  <c r="A148" i="5"/>
  <c r="H79" i="3"/>
  <c r="I55" i="3"/>
  <c r="Y55" i="3" s="1"/>
  <c r="AO55" i="3" s="1"/>
  <c r="N83" i="3"/>
  <c r="AD83" i="3" s="1"/>
  <c r="AT83" i="3" s="1"/>
  <c r="AJ147" i="5" l="1"/>
  <c r="W148" i="5"/>
  <c r="A149" i="5"/>
  <c r="Q147" i="5"/>
  <c r="X79" i="3"/>
  <c r="AN79" i="3" s="1"/>
  <c r="I56" i="3"/>
  <c r="Y56" i="3" s="1"/>
  <c r="AO56" i="3" s="1"/>
  <c r="Q79" i="3"/>
  <c r="AG79" i="3" s="1"/>
  <c r="AW79" i="3" s="1"/>
  <c r="J78" i="3"/>
  <c r="Z78" i="3" s="1"/>
  <c r="AP78" i="3" s="1"/>
  <c r="F79" i="3"/>
  <c r="V79" i="3" s="1"/>
  <c r="AL79" i="3" s="1"/>
  <c r="A150" i="5" l="1"/>
  <c r="AC149" i="5"/>
  <c r="Q148" i="5"/>
  <c r="AC148" i="5"/>
  <c r="AJ148" i="5"/>
  <c r="H80" i="3"/>
  <c r="I57" i="3"/>
  <c r="Y57" i="3" s="1"/>
  <c r="AO57" i="3" s="1"/>
  <c r="N84" i="3"/>
  <c r="AD84" i="3" s="1"/>
  <c r="AT84" i="3" s="1"/>
  <c r="AJ149" i="5" l="1"/>
  <c r="Q149" i="5"/>
  <c r="A151" i="5"/>
  <c r="X80" i="3"/>
  <c r="AN80" i="3" s="1"/>
  <c r="N85" i="3"/>
  <c r="AD85" i="3" s="1"/>
  <c r="AT85" i="3" s="1"/>
  <c r="I58" i="3"/>
  <c r="Y58" i="3" s="1"/>
  <c r="AO58" i="3" s="1"/>
  <c r="Q80" i="3"/>
  <c r="AG80" i="3" s="1"/>
  <c r="AW80" i="3" s="1"/>
  <c r="J79" i="3"/>
  <c r="Z79" i="3" s="1"/>
  <c r="AP79" i="3" s="1"/>
  <c r="F80" i="3"/>
  <c r="V80" i="3" s="1"/>
  <c r="AL80" i="3" s="1"/>
  <c r="AC150" i="5" l="1"/>
  <c r="AJ151" i="5"/>
  <c r="A152" i="5"/>
  <c r="Q150" i="5"/>
  <c r="AJ150" i="5"/>
  <c r="H81" i="3"/>
  <c r="I59" i="3"/>
  <c r="Y59" i="3" s="1"/>
  <c r="AO59" i="3" s="1"/>
  <c r="N86" i="3"/>
  <c r="AD86" i="3" s="1"/>
  <c r="AT86" i="3" s="1"/>
  <c r="W152" i="5" l="1"/>
  <c r="AJ152" i="5"/>
  <c r="A153" i="5"/>
  <c r="Q151" i="5"/>
  <c r="AC151" i="5"/>
  <c r="X81" i="3"/>
  <c r="AN81" i="3" s="1"/>
  <c r="I60" i="3"/>
  <c r="Y60" i="3" s="1"/>
  <c r="AO60" i="3" s="1"/>
  <c r="Q81" i="3"/>
  <c r="AG81" i="3" s="1"/>
  <c r="AW81" i="3" s="1"/>
  <c r="J80" i="3"/>
  <c r="Z80" i="3" s="1"/>
  <c r="AP80" i="3" s="1"/>
  <c r="F81" i="3"/>
  <c r="V81" i="3" s="1"/>
  <c r="AL81" i="3" s="1"/>
  <c r="A154" i="5" l="1"/>
  <c r="Q152" i="5"/>
  <c r="AC152" i="5"/>
  <c r="H82" i="3"/>
  <c r="X82" i="3" s="1"/>
  <c r="AN82" i="3" s="1"/>
  <c r="I61" i="3"/>
  <c r="Y61" i="3" s="1"/>
  <c r="AO61" i="3" s="1"/>
  <c r="N87" i="3"/>
  <c r="AD87" i="3" s="1"/>
  <c r="AT87" i="3" s="1"/>
  <c r="Q153" i="5" l="1"/>
  <c r="A155" i="5"/>
  <c r="AJ153" i="5"/>
  <c r="AC153" i="5"/>
  <c r="H83" i="3"/>
  <c r="I62" i="3"/>
  <c r="Y62" i="3" s="1"/>
  <c r="AO62" i="3" s="1"/>
  <c r="Q82" i="3"/>
  <c r="AG82" i="3" s="1"/>
  <c r="AW82" i="3" s="1"/>
  <c r="J81" i="3"/>
  <c r="Z81" i="3" s="1"/>
  <c r="AP81" i="3" s="1"/>
  <c r="F82" i="3"/>
  <c r="V82" i="3" s="1"/>
  <c r="AL82" i="3" s="1"/>
  <c r="A156" i="5" l="1"/>
  <c r="Q154" i="5"/>
  <c r="AJ154" i="5"/>
  <c r="AC154" i="5"/>
  <c r="X83" i="3"/>
  <c r="AN83" i="3" s="1"/>
  <c r="I63" i="3"/>
  <c r="Y63" i="3" s="1"/>
  <c r="AO63" i="3" s="1"/>
  <c r="N88" i="3"/>
  <c r="AD88" i="3" s="1"/>
  <c r="AT88" i="3" s="1"/>
  <c r="AC155" i="5" l="1"/>
  <c r="Q155" i="5"/>
  <c r="AJ155" i="5"/>
  <c r="W156" i="5"/>
  <c r="A157" i="5"/>
  <c r="H84" i="3"/>
  <c r="I64" i="3"/>
  <c r="Y64" i="3" s="1"/>
  <c r="AO64" i="3" s="1"/>
  <c r="N89" i="3"/>
  <c r="AD89" i="3" s="1"/>
  <c r="AT89" i="3" s="1"/>
  <c r="Q83" i="3"/>
  <c r="AG83" i="3" s="1"/>
  <c r="AW83" i="3" s="1"/>
  <c r="J82" i="3"/>
  <c r="Z82" i="3" s="1"/>
  <c r="AP82" i="3" s="1"/>
  <c r="F83" i="3"/>
  <c r="V83" i="3" s="1"/>
  <c r="AL83" i="3" s="1"/>
  <c r="A158" i="5" l="1"/>
  <c r="Q156" i="5"/>
  <c r="AJ156" i="5"/>
  <c r="AC156" i="5"/>
  <c r="X84" i="3"/>
  <c r="AN84" i="3" s="1"/>
  <c r="I65" i="3"/>
  <c r="Y65" i="3" s="1"/>
  <c r="AO65" i="3" s="1"/>
  <c r="N90" i="3"/>
  <c r="AD90" i="3" s="1"/>
  <c r="AT90" i="3" s="1"/>
  <c r="Q157" i="5" l="1"/>
  <c r="A159" i="5"/>
  <c r="AC157" i="5"/>
  <c r="AJ157" i="5"/>
  <c r="H85" i="3"/>
  <c r="I66" i="3"/>
  <c r="Y66" i="3" s="1"/>
  <c r="AO66" i="3" s="1"/>
  <c r="N91" i="3"/>
  <c r="Q84" i="3"/>
  <c r="AG84" i="3" s="1"/>
  <c r="AW84" i="3" s="1"/>
  <c r="J83" i="3"/>
  <c r="Z83" i="3" s="1"/>
  <c r="AP83" i="3" s="1"/>
  <c r="F84" i="3"/>
  <c r="V84" i="3" s="1"/>
  <c r="AL84" i="3" s="1"/>
  <c r="Q158" i="5" l="1"/>
  <c r="A160" i="5"/>
  <c r="AC158" i="5"/>
  <c r="AJ158" i="5"/>
  <c r="AD91" i="3"/>
  <c r="AT91" i="3" s="1"/>
  <c r="X85" i="3"/>
  <c r="AN85" i="3" s="1"/>
  <c r="I67" i="3"/>
  <c r="Y67" i="3" s="1"/>
  <c r="AO67" i="3" s="1"/>
  <c r="W160" i="5" l="1"/>
  <c r="A161" i="5"/>
  <c r="AC159" i="5"/>
  <c r="Q159" i="5"/>
  <c r="AJ159" i="5"/>
  <c r="N92" i="3"/>
  <c r="H86" i="3"/>
  <c r="I68" i="3"/>
  <c r="Y68" i="3" s="1"/>
  <c r="AO68" i="3" s="1"/>
  <c r="Q85" i="3"/>
  <c r="AG85" i="3" s="1"/>
  <c r="AW85" i="3" s="1"/>
  <c r="J84" i="3"/>
  <c r="Z84" i="3" s="1"/>
  <c r="AP84" i="3" s="1"/>
  <c r="F85" i="3"/>
  <c r="V85" i="3" s="1"/>
  <c r="AL85" i="3" s="1"/>
  <c r="Q160" i="5" l="1"/>
  <c r="Q161" i="5"/>
  <c r="A162" i="5"/>
  <c r="AJ160" i="5"/>
  <c r="AC160" i="5"/>
  <c r="AD92" i="3"/>
  <c r="AT92" i="3" s="1"/>
  <c r="X86" i="3"/>
  <c r="AN86" i="3" s="1"/>
  <c r="I69" i="3"/>
  <c r="Y69" i="3" s="1"/>
  <c r="AO69" i="3" s="1"/>
  <c r="AC161" i="5" l="1"/>
  <c r="Q162" i="5"/>
  <c r="A163" i="5"/>
  <c r="AJ161" i="5"/>
  <c r="N93" i="3"/>
  <c r="H87" i="3"/>
  <c r="I70" i="3"/>
  <c r="Y70" i="3" s="1"/>
  <c r="AO70" i="3" s="1"/>
  <c r="Q86" i="3"/>
  <c r="AG86" i="3" s="1"/>
  <c r="AW86" i="3" s="1"/>
  <c r="J85" i="3"/>
  <c r="Z85" i="3" s="1"/>
  <c r="AP85" i="3" s="1"/>
  <c r="F86" i="3"/>
  <c r="V86" i="3" s="1"/>
  <c r="AL86" i="3" s="1"/>
  <c r="AD93" i="3" l="1"/>
  <c r="AT93" i="3" s="1"/>
  <c r="AC163" i="5"/>
  <c r="AJ163" i="5"/>
  <c r="Q163" i="5"/>
  <c r="AJ162" i="5"/>
  <c r="AC162" i="5"/>
  <c r="X87" i="3"/>
  <c r="AN87" i="3" s="1"/>
  <c r="I71" i="3"/>
  <c r="Y71" i="3" s="1"/>
  <c r="AO71" i="3" s="1"/>
  <c r="N94" i="3" l="1"/>
  <c r="H88" i="3"/>
  <c r="I72" i="3"/>
  <c r="Y72" i="3" s="1"/>
  <c r="AO72" i="3" s="1"/>
  <c r="Q87" i="3"/>
  <c r="AG87" i="3" s="1"/>
  <c r="AW87" i="3" s="1"/>
  <c r="J86" i="3"/>
  <c r="Z86" i="3" s="1"/>
  <c r="AP86" i="3" s="1"/>
  <c r="F87" i="3"/>
  <c r="V87" i="3" s="1"/>
  <c r="AL87" i="3" s="1"/>
  <c r="AD94" i="3" l="1"/>
  <c r="AT94" i="3" s="1"/>
  <c r="X88" i="3"/>
  <c r="AN88" i="3" s="1"/>
  <c r="I73" i="3"/>
  <c r="Y73" i="3" s="1"/>
  <c r="AO73" i="3" s="1"/>
  <c r="N95" i="3" l="1"/>
  <c r="H89" i="3"/>
  <c r="I74" i="3"/>
  <c r="Y74" i="3" s="1"/>
  <c r="AO74" i="3" s="1"/>
  <c r="Q88" i="3"/>
  <c r="AG88" i="3" s="1"/>
  <c r="AW88" i="3" s="1"/>
  <c r="J87" i="3"/>
  <c r="Z87" i="3" s="1"/>
  <c r="AP87" i="3" s="1"/>
  <c r="F88" i="3"/>
  <c r="V88" i="3" s="1"/>
  <c r="AL88" i="3" s="1"/>
  <c r="AD95" i="3" l="1"/>
  <c r="AT95" i="3" s="1"/>
  <c r="X89" i="3"/>
  <c r="AN89" i="3" s="1"/>
  <c r="I75" i="3"/>
  <c r="Y75" i="3" s="1"/>
  <c r="AO75" i="3" s="1"/>
  <c r="N96" i="3" l="1"/>
  <c r="AD96" i="3" s="1"/>
  <c r="AT96" i="3" s="1"/>
  <c r="H90" i="3"/>
  <c r="I76" i="3"/>
  <c r="Y76" i="3" s="1"/>
  <c r="AO76" i="3" s="1"/>
  <c r="Q89" i="3"/>
  <c r="AG89" i="3" s="1"/>
  <c r="AW89" i="3" s="1"/>
  <c r="J88" i="3"/>
  <c r="Z88" i="3" s="1"/>
  <c r="AP88" i="3" s="1"/>
  <c r="F89" i="3"/>
  <c r="V89" i="3" s="1"/>
  <c r="AL89" i="3" s="1"/>
  <c r="N97" i="3" l="1"/>
  <c r="AD97" i="3" s="1"/>
  <c r="AT97" i="3" s="1"/>
  <c r="X90" i="3"/>
  <c r="AN90" i="3" s="1"/>
  <c r="I77" i="3"/>
  <c r="Y77" i="3" s="1"/>
  <c r="AO77" i="3" s="1"/>
  <c r="N98" i="3" l="1"/>
  <c r="AD98" i="3" s="1"/>
  <c r="AT98" i="3" s="1"/>
  <c r="BI21" i="3" s="1"/>
  <c r="BJ21" i="3" s="1"/>
  <c r="H91" i="3"/>
  <c r="I78" i="3"/>
  <c r="Y78" i="3" s="1"/>
  <c r="AO78" i="3" s="1"/>
  <c r="Q90" i="3"/>
  <c r="AG90" i="3" s="1"/>
  <c r="AW90" i="3" s="1"/>
  <c r="J89" i="3"/>
  <c r="Z89" i="3" s="1"/>
  <c r="AP89" i="3" s="1"/>
  <c r="F90" i="3"/>
  <c r="V90" i="3" s="1"/>
  <c r="AL90" i="3" s="1"/>
  <c r="N99" i="3" l="1"/>
  <c r="N100" i="3" s="1"/>
  <c r="N101" i="3" s="1"/>
  <c r="N102" i="3" s="1"/>
  <c r="N103" i="3" s="1"/>
  <c r="N104" i="3" s="1"/>
  <c r="X91" i="3"/>
  <c r="AN91" i="3" s="1"/>
  <c r="I79" i="3"/>
  <c r="Y79" i="3" s="1"/>
  <c r="AO79" i="3" s="1"/>
  <c r="N105" i="3" l="1"/>
  <c r="H92" i="3"/>
  <c r="I80" i="3"/>
  <c r="Y80" i="3" s="1"/>
  <c r="AO80" i="3" s="1"/>
  <c r="Q91" i="3"/>
  <c r="J90" i="3"/>
  <c r="Z90" i="3" s="1"/>
  <c r="AP90" i="3" s="1"/>
  <c r="F91" i="3"/>
  <c r="BK21" i="3" l="1"/>
  <c r="N106" i="3"/>
  <c r="N107" i="3" s="1"/>
  <c r="N108" i="3" s="1"/>
  <c r="N109" i="3" s="1"/>
  <c r="N110" i="3" s="1"/>
  <c r="N111" i="3" s="1"/>
  <c r="N112" i="3" s="1"/>
  <c r="N113" i="3" s="1"/>
  <c r="N114" i="3" s="1"/>
  <c r="N115" i="3" s="1"/>
  <c r="N116" i="3" s="1"/>
  <c r="N117" i="3" s="1"/>
  <c r="N118" i="3" s="1"/>
  <c r="N119" i="3" s="1"/>
  <c r="N120" i="3" s="1"/>
  <c r="N121" i="3" s="1"/>
  <c r="N122" i="3" s="1"/>
  <c r="AG91" i="3"/>
  <c r="AW91" i="3" s="1"/>
  <c r="V91" i="3"/>
  <c r="AL91" i="3" s="1"/>
  <c r="X92" i="3"/>
  <c r="AN92" i="3" s="1"/>
  <c r="I81" i="3"/>
  <c r="Y81" i="3" s="1"/>
  <c r="AO81" i="3" s="1"/>
  <c r="H93" i="3" l="1"/>
  <c r="I82" i="3"/>
  <c r="Y82" i="3" s="1"/>
  <c r="AO82" i="3" s="1"/>
  <c r="Q92" i="3"/>
  <c r="J91" i="3"/>
  <c r="F92" i="3"/>
  <c r="AG92" i="3" l="1"/>
  <c r="AW92" i="3" s="1"/>
  <c r="V92" i="3"/>
  <c r="AL92" i="3" s="1"/>
  <c r="Z91" i="3"/>
  <c r="AP91" i="3" s="1"/>
  <c r="X93" i="3"/>
  <c r="AN93" i="3" s="1"/>
  <c r="I83" i="3"/>
  <c r="Y83" i="3" s="1"/>
  <c r="AO83" i="3" s="1"/>
  <c r="H94" i="3" l="1"/>
  <c r="I84" i="3"/>
  <c r="Y84" i="3" s="1"/>
  <c r="AO84" i="3" s="1"/>
  <c r="Q93" i="3"/>
  <c r="J92" i="3"/>
  <c r="F93" i="3"/>
  <c r="AG93" i="3" l="1"/>
  <c r="AW93" i="3" s="1"/>
  <c r="V93" i="3"/>
  <c r="AL93" i="3" s="1"/>
  <c r="Z92" i="3"/>
  <c r="AP92" i="3" s="1"/>
  <c r="X94" i="3"/>
  <c r="AN94" i="3" s="1"/>
  <c r="I85" i="3"/>
  <c r="Y85" i="3" s="1"/>
  <c r="AO85" i="3" s="1"/>
  <c r="H95" i="3" l="1"/>
  <c r="I86" i="3"/>
  <c r="Y86" i="3" s="1"/>
  <c r="AO86" i="3" s="1"/>
  <c r="Q94" i="3"/>
  <c r="J93" i="3"/>
  <c r="F94" i="3"/>
  <c r="X95" i="3" l="1"/>
  <c r="AN95" i="3" s="1"/>
  <c r="AG94" i="3"/>
  <c r="AW94" i="3" s="1"/>
  <c r="V94" i="3"/>
  <c r="AL94" i="3" s="1"/>
  <c r="Z93" i="3"/>
  <c r="AP93" i="3" s="1"/>
  <c r="I87" i="3"/>
  <c r="Y87" i="3" s="1"/>
  <c r="AO87" i="3" s="1"/>
  <c r="H96" i="3" l="1"/>
  <c r="I88" i="3"/>
  <c r="Y88" i="3" s="1"/>
  <c r="AO88" i="3" s="1"/>
  <c r="Q95" i="3"/>
  <c r="J94" i="3"/>
  <c r="F95" i="3"/>
  <c r="X96" i="3" l="1"/>
  <c r="AN96" i="3" s="1"/>
  <c r="H97" i="3"/>
  <c r="X97" i="3" s="1"/>
  <c r="AN97" i="3" s="1"/>
  <c r="V95" i="3"/>
  <c r="AL95" i="3" s="1"/>
  <c r="AG95" i="3"/>
  <c r="AW95" i="3" s="1"/>
  <c r="Z94" i="3"/>
  <c r="AP94" i="3" s="1"/>
  <c r="I89" i="3"/>
  <c r="Y89" i="3" s="1"/>
  <c r="AO89" i="3" s="1"/>
  <c r="Q96" i="3" l="1"/>
  <c r="AG96" i="3" s="1"/>
  <c r="AW96" i="3" s="1"/>
  <c r="F96" i="3"/>
  <c r="H98" i="3"/>
  <c r="I90" i="3"/>
  <c r="Y90" i="3" s="1"/>
  <c r="AO90" i="3" s="1"/>
  <c r="J95" i="3"/>
  <c r="Q97" i="3" l="1"/>
  <c r="AG97" i="3" s="1"/>
  <c r="AW97" i="3" s="1"/>
  <c r="X98" i="3"/>
  <c r="AN98" i="3" s="1"/>
  <c r="BI15" i="3" s="1"/>
  <c r="BJ15" i="3" s="1"/>
  <c r="V96" i="3"/>
  <c r="AL96" i="3" s="1"/>
  <c r="Z95" i="3"/>
  <c r="AP95" i="3" s="1"/>
  <c r="Q98" i="3"/>
  <c r="I91" i="3"/>
  <c r="H99" i="3" l="1"/>
  <c r="H100" i="3" s="1"/>
  <c r="H101" i="3" s="1"/>
  <c r="F97" i="3"/>
  <c r="V97" i="3" s="1"/>
  <c r="AL97" i="3" s="1"/>
  <c r="J96" i="3"/>
  <c r="AG98" i="3"/>
  <c r="AW98" i="3" s="1"/>
  <c r="BI24" i="3" s="1"/>
  <c r="BJ24" i="3" s="1"/>
  <c r="Y91" i="3"/>
  <c r="AO91" i="3" s="1"/>
  <c r="F98" i="3" l="1"/>
  <c r="V98" i="3" s="1"/>
  <c r="AL98" i="3" s="1"/>
  <c r="BI13" i="3" s="1"/>
  <c r="BJ13" i="3" s="1"/>
  <c r="Z96" i="3"/>
  <c r="AP96" i="3" s="1"/>
  <c r="H102" i="3"/>
  <c r="H103" i="3" s="1"/>
  <c r="H104" i="3" s="1"/>
  <c r="Q99" i="3"/>
  <c r="J97" i="3"/>
  <c r="Z97" i="3" s="1"/>
  <c r="AP97" i="3" s="1"/>
  <c r="I92" i="3"/>
  <c r="F99" i="3" l="1"/>
  <c r="F100" i="3" s="1"/>
  <c r="F101" i="3" s="1"/>
  <c r="F102" i="3" s="1"/>
  <c r="F103" i="3" s="1"/>
  <c r="Q100" i="3"/>
  <c r="Q101" i="3" s="1"/>
  <c r="Q102" i="3" s="1"/>
  <c r="Q103" i="3" s="1"/>
  <c r="Q104" i="3" s="1"/>
  <c r="Q105" i="3" s="1"/>
  <c r="Q106" i="3" s="1"/>
  <c r="H105" i="3"/>
  <c r="J98" i="3"/>
  <c r="Z98" i="3" s="1"/>
  <c r="Y92" i="3"/>
  <c r="AO92" i="3" s="1"/>
  <c r="Q107" i="3" l="1"/>
  <c r="Q108" i="3" s="1"/>
  <c r="Q109" i="3" s="1"/>
  <c r="Q110" i="3" s="1"/>
  <c r="Q111" i="3" s="1"/>
  <c r="Q112" i="3" s="1"/>
  <c r="Q113" i="3" s="1"/>
  <c r="Q114" i="3" s="1"/>
  <c r="Q115" i="3" s="1"/>
  <c r="Q116" i="3" s="1"/>
  <c r="Q117" i="3" s="1"/>
  <c r="Q118" i="3" s="1"/>
  <c r="Q119" i="3" s="1"/>
  <c r="Q120" i="3" s="1"/>
  <c r="Q121" i="3" s="1"/>
  <c r="Q122" i="3" s="1"/>
  <c r="BK24" i="3"/>
  <c r="BK15" i="3"/>
  <c r="H106" i="3"/>
  <c r="H107" i="3" s="1"/>
  <c r="H108" i="3" s="1"/>
  <c r="H109" i="3" s="1"/>
  <c r="H110" i="3" s="1"/>
  <c r="H111" i="3" s="1"/>
  <c r="H112" i="3" s="1"/>
  <c r="H113" i="3" s="1"/>
  <c r="H114" i="3" s="1"/>
  <c r="H115" i="3" s="1"/>
  <c r="H116" i="3" s="1"/>
  <c r="H117" i="3" s="1"/>
  <c r="H118" i="3" s="1"/>
  <c r="H119" i="3" s="1"/>
  <c r="H120" i="3" s="1"/>
  <c r="H121" i="3" s="1"/>
  <c r="H122" i="3" s="1"/>
  <c r="AP98" i="3"/>
  <c r="BI17" i="3" s="1"/>
  <c r="BJ17" i="3" s="1"/>
  <c r="J99" i="3"/>
  <c r="F104" i="3"/>
  <c r="I93" i="3"/>
  <c r="F105" i="3" l="1"/>
  <c r="J100" i="3"/>
  <c r="J101" i="3" s="1"/>
  <c r="J102" i="3" s="1"/>
  <c r="J103" i="3" s="1"/>
  <c r="J104" i="3" s="1"/>
  <c r="Y93" i="3"/>
  <c r="J105" i="3" l="1"/>
  <c r="J106" i="3" s="1"/>
  <c r="BK13" i="3"/>
  <c r="F106" i="3"/>
  <c r="F107" i="3" s="1"/>
  <c r="F108" i="3" s="1"/>
  <c r="F109" i="3" s="1"/>
  <c r="F110" i="3" s="1"/>
  <c r="F111" i="3" s="1"/>
  <c r="F112" i="3" s="1"/>
  <c r="F113" i="3" s="1"/>
  <c r="F114" i="3" s="1"/>
  <c r="F115" i="3" s="1"/>
  <c r="F116" i="3" s="1"/>
  <c r="F117" i="3" s="1"/>
  <c r="F118" i="3" s="1"/>
  <c r="F119" i="3" s="1"/>
  <c r="F120" i="3" s="1"/>
  <c r="F121" i="3" s="1"/>
  <c r="F122" i="3" s="1"/>
  <c r="AO93" i="3"/>
  <c r="I94" i="3"/>
  <c r="K34" i="6"/>
  <c r="AE107" i="5"/>
  <c r="J27" i="6" s="1"/>
  <c r="J107" i="3" l="1"/>
  <c r="J108" i="3" s="1"/>
  <c r="J109" i="3" s="1"/>
  <c r="J110" i="3" s="1"/>
  <c r="J111" i="3" s="1"/>
  <c r="J112" i="3" s="1"/>
  <c r="J113" i="3" s="1"/>
  <c r="J114" i="3" s="1"/>
  <c r="J115" i="3" s="1"/>
  <c r="J116" i="3" s="1"/>
  <c r="J117" i="3" s="1"/>
  <c r="J118" i="3" s="1"/>
  <c r="J119" i="3" s="1"/>
  <c r="J120" i="3" s="1"/>
  <c r="J121" i="3" s="1"/>
  <c r="J122" i="3" s="1"/>
  <c r="BK17" i="3"/>
  <c r="AA108" i="5"/>
  <c r="Z108" i="5" s="1"/>
  <c r="AH108" i="5"/>
  <c r="AA109" i="5"/>
  <c r="Z109" i="5" s="1"/>
  <c r="AH109" i="5"/>
  <c r="AH110" i="5"/>
  <c r="AA110" i="5"/>
  <c r="Y110" i="5" s="1"/>
  <c r="Y94" i="3"/>
  <c r="I33" i="6"/>
  <c r="AH107" i="5"/>
  <c r="J26" i="6" s="1"/>
  <c r="AA107" i="5"/>
  <c r="X107" i="5" s="1"/>
  <c r="Y108" i="5" l="1"/>
  <c r="X108" i="5"/>
  <c r="Z110" i="5"/>
  <c r="X109" i="5"/>
  <c r="X110" i="5"/>
  <c r="Y109" i="5"/>
  <c r="AO94" i="3"/>
  <c r="I95" i="3"/>
  <c r="K33" i="6"/>
  <c r="J33" i="6"/>
  <c r="Y107" i="5"/>
  <c r="Z107" i="5"/>
  <c r="Y95" i="3" l="1"/>
  <c r="AO95" i="3" s="1"/>
  <c r="I32" i="6"/>
  <c r="AI107" i="5"/>
  <c r="J25" i="6" s="1"/>
  <c r="AB107" i="5"/>
  <c r="AB109" i="5"/>
  <c r="AB108" i="5"/>
  <c r="AI109" i="5"/>
  <c r="AI108" i="5"/>
  <c r="AI110" i="5"/>
  <c r="AB110" i="5"/>
  <c r="K32" i="6"/>
  <c r="J32" i="6"/>
  <c r="I96" i="3" l="1"/>
  <c r="Y96" i="3" l="1"/>
  <c r="AO96" i="3" s="1"/>
  <c r="I97" i="3" l="1"/>
  <c r="Y97" i="3" s="1"/>
  <c r="AO97" i="3" s="1"/>
  <c r="I98" i="3"/>
  <c r="Q103" i="5"/>
  <c r="AJ103" i="5"/>
  <c r="AC103" i="5"/>
  <c r="I103" i="5"/>
  <c r="Y98" i="3" l="1"/>
  <c r="AO98" i="3" s="1"/>
  <c r="BI16" i="3"/>
  <c r="BJ16" i="3" s="1"/>
  <c r="I99" i="3" l="1"/>
  <c r="I100" i="3"/>
  <c r="BK16" i="3" s="1"/>
  <c r="AJ109" i="5" l="1"/>
  <c r="AC109" i="5"/>
  <c r="Q107" i="5"/>
  <c r="I106" i="5"/>
  <c r="AC113" i="5"/>
  <c r="AJ113" i="5"/>
  <c r="Q106" i="5"/>
  <c r="AJ110" i="5"/>
  <c r="AJ107" i="5"/>
  <c r="AC110" i="5"/>
  <c r="AJ108" i="5"/>
  <c r="AC107" i="5"/>
  <c r="AC108" i="5"/>
  <c r="AC111" i="5"/>
  <c r="AJ111" i="5"/>
  <c r="AJ112" i="5"/>
  <c r="I105" i="5"/>
  <c r="AJ105" i="5"/>
  <c r="AC105" i="5"/>
  <c r="AC112" i="5"/>
  <c r="AC106" i="5"/>
  <c r="AJ106" i="5"/>
  <c r="Q105" i="5"/>
  <c r="AI123" i="5"/>
  <c r="N25" i="6" s="1"/>
  <c r="AE123" i="5"/>
  <c r="N27" i="6" s="1"/>
  <c r="AB123" i="5"/>
  <c r="AB122" i="5"/>
  <c r="AI122" i="5"/>
  <c r="AB121" i="5"/>
  <c r="AI121" i="5"/>
  <c r="AI120" i="5"/>
  <c r="AB120" i="5"/>
  <c r="AE122" i="5"/>
  <c r="AE121" i="5"/>
  <c r="AE120" i="5"/>
  <c r="AH123" i="5"/>
  <c r="N26" i="6" s="1"/>
  <c r="AH122" i="5"/>
  <c r="AA123" i="5"/>
  <c r="Z123" i="5" s="1"/>
  <c r="AA122" i="5"/>
  <c r="Z122" i="5" s="1"/>
  <c r="AH121" i="5"/>
  <c r="AA121" i="5"/>
  <c r="X121" i="5" s="1"/>
  <c r="AA120" i="5"/>
  <c r="Z120" i="5" s="1"/>
  <c r="AH120" i="5"/>
  <c r="AF123" i="5"/>
  <c r="N28" i="6" s="1"/>
  <c r="AF121" i="5"/>
  <c r="AF122" i="5"/>
  <c r="AF120" i="5"/>
  <c r="AG123" i="5"/>
  <c r="N29" i="6" s="1"/>
  <c r="AG122" i="5"/>
  <c r="AG121" i="5"/>
  <c r="AG120" i="5"/>
  <c r="Y121" i="5" l="1"/>
  <c r="Z121" i="5"/>
  <c r="X123" i="5"/>
  <c r="AE124" i="5"/>
  <c r="AF124" i="5"/>
  <c r="Y123" i="5"/>
  <c r="AI124" i="5"/>
  <c r="AB124" i="5"/>
  <c r="X122" i="5"/>
  <c r="X120" i="5"/>
  <c r="Y120" i="5"/>
  <c r="Y122" i="5"/>
  <c r="AB125" i="5"/>
  <c r="AI125" i="5" l="1"/>
  <c r="AE125" i="5"/>
  <c r="AA124" i="5"/>
  <c r="X124" i="5" s="1"/>
  <c r="AH124" i="5"/>
  <c r="AG124" i="5"/>
  <c r="AI126" i="5"/>
  <c r="AB126" i="5"/>
  <c r="Z124" i="5" l="1"/>
  <c r="Y124" i="5"/>
  <c r="AH125" i="5"/>
  <c r="AA125" i="5"/>
  <c r="X125" i="5" s="1"/>
  <c r="AE126" i="5"/>
  <c r="AG126" i="5"/>
  <c r="AG125" i="5"/>
  <c r="AA126" i="5"/>
  <c r="X126" i="5" s="1"/>
  <c r="AF126" i="5"/>
  <c r="AF125" i="5"/>
  <c r="AI127" i="5"/>
  <c r="O25" i="6" s="1"/>
  <c r="AH126" i="5"/>
  <c r="Y126" i="5" l="1"/>
  <c r="Y125" i="5"/>
  <c r="AA127" i="5"/>
  <c r="Z125" i="5"/>
  <c r="AB128" i="5"/>
  <c r="Z126" i="5"/>
  <c r="AB127" i="5"/>
  <c r="Z127" i="5" l="1"/>
  <c r="AG127" i="5"/>
  <c r="O29" i="6" s="1"/>
  <c r="AH127" i="5"/>
  <c r="O26" i="6" s="1"/>
  <c r="AI128" i="5"/>
  <c r="B128" i="5"/>
  <c r="AE128" i="5" s="1"/>
  <c r="X127" i="5"/>
  <c r="AE127" i="5"/>
  <c r="O27" i="6" s="1"/>
  <c r="D128" i="5"/>
  <c r="AI129" i="5"/>
  <c r="P128" i="5"/>
  <c r="I128" i="5"/>
  <c r="F128" i="5"/>
  <c r="C128" i="5"/>
  <c r="AF128" i="5" s="1"/>
  <c r="AF127" i="5"/>
  <c r="O28" i="6" s="1"/>
  <c r="Y127" i="5"/>
  <c r="F129" i="5" l="1"/>
  <c r="O128" i="5"/>
  <c r="V128" i="5"/>
  <c r="S128" i="5"/>
  <c r="B129" i="5"/>
  <c r="K128" i="5"/>
  <c r="N128" i="5"/>
  <c r="AH128" i="5"/>
  <c r="AA128" i="5"/>
  <c r="Z128" i="5" s="1"/>
  <c r="P129" i="5"/>
  <c r="I129" i="5"/>
  <c r="AB129" i="5"/>
  <c r="T128" i="5"/>
  <c r="C129" i="5"/>
  <c r="AF129" i="5" s="1"/>
  <c r="L128" i="5"/>
  <c r="D129" i="5"/>
  <c r="AG129" i="5" s="1"/>
  <c r="U128" i="5"/>
  <c r="M128" i="5"/>
  <c r="AG128" i="5"/>
  <c r="Y128" i="5" l="1"/>
  <c r="K129" i="5"/>
  <c r="B130" i="5"/>
  <c r="S129" i="5"/>
  <c r="AE129" i="5"/>
  <c r="AA129" i="5"/>
  <c r="Z129" i="5" s="1"/>
  <c r="I130" i="5"/>
  <c r="P130" i="5"/>
  <c r="AB131" i="5"/>
  <c r="C130" i="5"/>
  <c r="AF130" i="5" s="1"/>
  <c r="L129" i="5"/>
  <c r="T129" i="5"/>
  <c r="X128" i="5"/>
  <c r="AA130" i="5"/>
  <c r="N129" i="5"/>
  <c r="AB130" i="5"/>
  <c r="AH129" i="5"/>
  <c r="M129" i="5"/>
  <c r="U129" i="5"/>
  <c r="D130" i="5"/>
  <c r="AG130" i="5" s="1"/>
  <c r="AI130" i="5"/>
  <c r="V129" i="5"/>
  <c r="O129" i="5"/>
  <c r="F130" i="5"/>
  <c r="AH130" i="5" l="1"/>
  <c r="AI131" i="5"/>
  <c r="P25" i="6" s="1"/>
  <c r="X129" i="5"/>
  <c r="Y129" i="5"/>
  <c r="I131" i="5"/>
  <c r="P131" i="5"/>
  <c r="AI132" i="5"/>
  <c r="F131" i="5"/>
  <c r="V130" i="5"/>
  <c r="O130" i="5"/>
  <c r="K130" i="5"/>
  <c r="B131" i="5"/>
  <c r="S130" i="5"/>
  <c r="X130" i="5"/>
  <c r="AE130" i="5"/>
  <c r="N130" i="5"/>
  <c r="D131" i="5"/>
  <c r="AG131" i="5" s="1"/>
  <c r="P29" i="6" s="1"/>
  <c r="U130" i="5"/>
  <c r="M130" i="5"/>
  <c r="Z130" i="5"/>
  <c r="L130" i="5"/>
  <c r="T130" i="5"/>
  <c r="C131" i="5"/>
  <c r="Y130" i="5"/>
  <c r="AB132" i="5" l="1"/>
  <c r="L131" i="5"/>
  <c r="T131" i="5"/>
  <c r="C132" i="5"/>
  <c r="AF132" i="5" s="1"/>
  <c r="AF131" i="5"/>
  <c r="P28" i="6" s="1"/>
  <c r="B132" i="5"/>
  <c r="AE132" i="5" s="1"/>
  <c r="S131" i="5"/>
  <c r="K131" i="5"/>
  <c r="I132" i="5"/>
  <c r="P132" i="5"/>
  <c r="AB133" i="5"/>
  <c r="N131" i="5"/>
  <c r="M131" i="5"/>
  <c r="U131" i="5"/>
  <c r="D132" i="5"/>
  <c r="AG132" i="5" s="1"/>
  <c r="V131" i="5"/>
  <c r="F132" i="5"/>
  <c r="O131" i="5"/>
  <c r="AA131" i="5"/>
  <c r="AE131" i="5"/>
  <c r="P27" i="6" s="1"/>
  <c r="AH131" i="5"/>
  <c r="P26" i="6" s="1"/>
  <c r="M132" i="5" l="1"/>
  <c r="U132" i="5"/>
  <c r="D133" i="5"/>
  <c r="AG133" i="5" s="1"/>
  <c r="L132" i="5"/>
  <c r="C133" i="5"/>
  <c r="T132" i="5"/>
  <c r="AH133" i="5"/>
  <c r="N132" i="5"/>
  <c r="I133" i="5"/>
  <c r="P133" i="5"/>
  <c r="O132" i="5"/>
  <c r="V132" i="5"/>
  <c r="F133" i="5"/>
  <c r="AI133" i="5"/>
  <c r="AH132" i="5"/>
  <c r="Z131" i="5"/>
  <c r="X131" i="5"/>
  <c r="AA132" i="5"/>
  <c r="Z132" i="5" s="1"/>
  <c r="S132" i="5"/>
  <c r="K132" i="5"/>
  <c r="B133" i="5"/>
  <c r="AE133" i="5" s="1"/>
  <c r="Y131" i="5"/>
  <c r="AA133" i="5" l="1"/>
  <c r="X133" i="5" s="1"/>
  <c r="K133" i="5"/>
  <c r="B134" i="5"/>
  <c r="S133" i="5"/>
  <c r="L133" i="5"/>
  <c r="C134" i="5"/>
  <c r="T133" i="5"/>
  <c r="Y133" i="5"/>
  <c r="AA134" i="5"/>
  <c r="N133" i="5"/>
  <c r="AF133" i="5"/>
  <c r="O133" i="5"/>
  <c r="V133" i="5"/>
  <c r="F134" i="5"/>
  <c r="Y132" i="5"/>
  <c r="X132" i="5"/>
  <c r="I134" i="5"/>
  <c r="P134" i="5"/>
  <c r="AB135" i="5"/>
  <c r="AB134" i="5"/>
  <c r="D134" i="5"/>
  <c r="AG134" i="5" s="1"/>
  <c r="U133" i="5"/>
  <c r="M133" i="5"/>
  <c r="AI134" i="5"/>
  <c r="X134" i="5" l="1"/>
  <c r="Z133" i="5"/>
  <c r="Y134" i="5"/>
  <c r="L134" i="5"/>
  <c r="T134" i="5"/>
  <c r="C135" i="5"/>
  <c r="AF135" i="5" s="1"/>
  <c r="N134" i="5"/>
  <c r="AH134" i="5"/>
  <c r="M134" i="5"/>
  <c r="D135" i="5"/>
  <c r="U134" i="5"/>
  <c r="S134" i="5"/>
  <c r="B135" i="5"/>
  <c r="AE135" i="5" s="1"/>
  <c r="K134" i="5"/>
  <c r="AF134" i="5"/>
  <c r="Z134" i="5"/>
  <c r="V134" i="5"/>
  <c r="F135" i="5"/>
  <c r="O134" i="5"/>
  <c r="I135" i="5"/>
  <c r="P135" i="5"/>
  <c r="AE134" i="5"/>
  <c r="AI135" i="5"/>
  <c r="E136" i="5" l="1"/>
  <c r="AA136" i="5" s="1"/>
  <c r="N135" i="5"/>
  <c r="I136" i="5"/>
  <c r="P136" i="5"/>
  <c r="AI137" i="5"/>
  <c r="AI136" i="5"/>
  <c r="F136" i="5"/>
  <c r="O135" i="5"/>
  <c r="V135" i="5"/>
  <c r="AB136" i="5"/>
  <c r="AH135" i="5"/>
  <c r="C136" i="5"/>
  <c r="T135" i="5"/>
  <c r="L135" i="5"/>
  <c r="M135" i="5"/>
  <c r="U135" i="5"/>
  <c r="D136" i="5"/>
  <c r="AG135" i="5"/>
  <c r="B136" i="5"/>
  <c r="K135" i="5"/>
  <c r="S135" i="5"/>
  <c r="AA135" i="5"/>
  <c r="Z135" i="5" s="1"/>
  <c r="AH136" i="5" l="1"/>
  <c r="X136" i="5"/>
  <c r="AE136" i="5"/>
  <c r="I137" i="5"/>
  <c r="P137" i="5"/>
  <c r="AB138" i="5"/>
  <c r="D137" i="5"/>
  <c r="U136" i="5"/>
  <c r="M136" i="5"/>
  <c r="T136" i="5"/>
  <c r="L136" i="5"/>
  <c r="C137" i="5"/>
  <c r="AF137" i="5" s="1"/>
  <c r="AF136" i="5"/>
  <c r="Y136" i="5"/>
  <c r="Y135" i="5"/>
  <c r="X135" i="5"/>
  <c r="K136" i="5"/>
  <c r="B137" i="5"/>
  <c r="S136" i="5"/>
  <c r="O136" i="5"/>
  <c r="V136" i="5"/>
  <c r="F137" i="5"/>
  <c r="AG136" i="5"/>
  <c r="N136" i="5"/>
  <c r="E137" i="5"/>
  <c r="Z136" i="5"/>
  <c r="AB137" i="5"/>
  <c r="F138" i="5" l="1"/>
  <c r="V137" i="5"/>
  <c r="O137" i="5"/>
  <c r="M137" i="5"/>
  <c r="U137" i="5"/>
  <c r="D138" i="5"/>
  <c r="P138" i="5"/>
  <c r="I138" i="5"/>
  <c r="AI138" i="5"/>
  <c r="C138" i="5"/>
  <c r="T137" i="5"/>
  <c r="L137" i="5"/>
  <c r="AG137" i="5"/>
  <c r="E138" i="5"/>
  <c r="N137" i="5"/>
  <c r="AH137" i="5"/>
  <c r="AA137" i="5"/>
  <c r="Z137" i="5" s="1"/>
  <c r="AH138" i="5"/>
  <c r="AA138" i="5"/>
  <c r="K137" i="5"/>
  <c r="B138" i="5"/>
  <c r="S137" i="5"/>
  <c r="AE137" i="5"/>
  <c r="Y138" i="5" l="1"/>
  <c r="AF138" i="5"/>
  <c r="K138" i="5"/>
  <c r="B139" i="5"/>
  <c r="AE139" i="5" s="1"/>
  <c r="S138" i="5"/>
  <c r="AE138" i="5"/>
  <c r="D139" i="5"/>
  <c r="U138" i="5"/>
  <c r="M138" i="5"/>
  <c r="Z138" i="5"/>
  <c r="P139" i="5"/>
  <c r="I139" i="5"/>
  <c r="AB140" i="5"/>
  <c r="AB139" i="5"/>
  <c r="L138" i="5"/>
  <c r="C139" i="5"/>
  <c r="AF139" i="5" s="1"/>
  <c r="T138" i="5"/>
  <c r="AG138" i="5"/>
  <c r="E139" i="5"/>
  <c r="AH139" i="5" s="1"/>
  <c r="N138" i="5"/>
  <c r="F139" i="5"/>
  <c r="V138" i="5"/>
  <c r="O138" i="5"/>
  <c r="X137" i="5"/>
  <c r="Y137" i="5"/>
  <c r="X138" i="5"/>
  <c r="AI139" i="5"/>
  <c r="AA139" i="5" l="1"/>
  <c r="Z139" i="5" s="1"/>
  <c r="P140" i="5"/>
  <c r="AB141" i="5"/>
  <c r="I140" i="5"/>
  <c r="O139" i="5"/>
  <c r="F140" i="5"/>
  <c r="V139" i="5"/>
  <c r="AG139" i="5"/>
  <c r="L139" i="5"/>
  <c r="T139" i="5"/>
  <c r="C140" i="5"/>
  <c r="M139" i="5"/>
  <c r="U139" i="5"/>
  <c r="D140" i="5"/>
  <c r="AG140" i="5" s="1"/>
  <c r="S139" i="5"/>
  <c r="B140" i="5"/>
  <c r="K139" i="5"/>
  <c r="AI140" i="5"/>
  <c r="E140" i="5"/>
  <c r="AH140" i="5" s="1"/>
  <c r="N139" i="5"/>
  <c r="X139" i="5" l="1"/>
  <c r="Y139" i="5"/>
  <c r="F141" i="5"/>
  <c r="O140" i="5"/>
  <c r="V140" i="5"/>
  <c r="U140" i="5"/>
  <c r="M140" i="5"/>
  <c r="D141" i="5"/>
  <c r="AG141" i="5" s="1"/>
  <c r="AI141" i="5"/>
  <c r="AI142" i="5"/>
  <c r="P141" i="5"/>
  <c r="I141" i="5"/>
  <c r="N140" i="5"/>
  <c r="E141" i="5"/>
  <c r="AA140" i="5"/>
  <c r="Z140" i="5" s="1"/>
  <c r="L140" i="5"/>
  <c r="C141" i="5"/>
  <c r="T140" i="5"/>
  <c r="AF140" i="5"/>
  <c r="S140" i="5"/>
  <c r="K140" i="5"/>
  <c r="B141" i="5"/>
  <c r="AE140" i="5"/>
  <c r="AA141" i="5" l="1"/>
  <c r="Z141" i="5" s="1"/>
  <c r="AH141" i="5"/>
  <c r="X140" i="5"/>
  <c r="AB142" i="5"/>
  <c r="M141" i="5"/>
  <c r="U141" i="5"/>
  <c r="D142" i="5"/>
  <c r="AG142" i="5" s="1"/>
  <c r="C142" i="5"/>
  <c r="AF142" i="5" s="1"/>
  <c r="L141" i="5"/>
  <c r="T141" i="5"/>
  <c r="B142" i="5"/>
  <c r="AE142" i="5" s="1"/>
  <c r="S141" i="5"/>
  <c r="K141" i="5"/>
  <c r="V141" i="5"/>
  <c r="O141" i="5"/>
  <c r="F142" i="5"/>
  <c r="P142" i="5"/>
  <c r="I142" i="5"/>
  <c r="Y140" i="5"/>
  <c r="E142" i="5"/>
  <c r="N141" i="5"/>
  <c r="AF141" i="5"/>
  <c r="AE141" i="5"/>
  <c r="Y141" i="5" l="1"/>
  <c r="X141" i="5"/>
  <c r="I143" i="5"/>
  <c r="P143" i="5"/>
  <c r="AI144" i="5"/>
  <c r="AB143" i="5"/>
  <c r="AB144" i="5"/>
  <c r="AI143" i="5"/>
  <c r="V142" i="5"/>
  <c r="F143" i="5"/>
  <c r="O142" i="5"/>
  <c r="E143" i="5"/>
  <c r="AA143" i="5" s="1"/>
  <c r="N142" i="5"/>
  <c r="T142" i="5"/>
  <c r="C143" i="5"/>
  <c r="L142" i="5"/>
  <c r="B143" i="5"/>
  <c r="AE143" i="5" s="1"/>
  <c r="K142" i="5"/>
  <c r="S142" i="5"/>
  <c r="U142" i="5"/>
  <c r="D143" i="5"/>
  <c r="M142" i="5"/>
  <c r="AA142" i="5"/>
  <c r="Y142" i="5" s="1"/>
  <c r="AH142" i="5"/>
  <c r="Z143" i="5" l="1"/>
  <c r="X142" i="5"/>
  <c r="T143" i="5"/>
  <c r="L143" i="5"/>
  <c r="C144" i="5"/>
  <c r="AF144" i="5" s="1"/>
  <c r="Y143" i="5"/>
  <c r="S143" i="5"/>
  <c r="K143" i="5"/>
  <c r="B144" i="5"/>
  <c r="AE144" i="5" s="1"/>
  <c r="X143" i="5"/>
  <c r="Z142" i="5"/>
  <c r="I144" i="5"/>
  <c r="P144" i="5"/>
  <c r="AF143" i="5"/>
  <c r="N143" i="5"/>
  <c r="E144" i="5"/>
  <c r="AA144" i="5" s="1"/>
  <c r="AI145" i="5"/>
  <c r="D144" i="5"/>
  <c r="M143" i="5"/>
  <c r="U143" i="5"/>
  <c r="AG143" i="5"/>
  <c r="F144" i="5"/>
  <c r="V143" i="5"/>
  <c r="O143" i="5"/>
  <c r="AH143" i="5"/>
  <c r="AH144" i="5" l="1"/>
  <c r="Y144" i="5"/>
  <c r="I145" i="5"/>
  <c r="P145" i="5"/>
  <c r="AB146" i="5"/>
  <c r="AI146" i="5"/>
  <c r="AB145" i="5"/>
  <c r="C145" i="5"/>
  <c r="T144" i="5"/>
  <c r="L144" i="5"/>
  <c r="N144" i="5"/>
  <c r="E145" i="5"/>
  <c r="AH145" i="5" s="1"/>
  <c r="K144" i="5"/>
  <c r="B145" i="5"/>
  <c r="S144" i="5"/>
  <c r="X144" i="5"/>
  <c r="O144" i="5"/>
  <c r="F145" i="5"/>
  <c r="V144" i="5"/>
  <c r="D145" i="5"/>
  <c r="U144" i="5"/>
  <c r="M144" i="5"/>
  <c r="AG144" i="5"/>
  <c r="Z144" i="5"/>
  <c r="B146" i="5" l="1"/>
  <c r="AE146" i="5" s="1"/>
  <c r="S145" i="5"/>
  <c r="K145" i="5"/>
  <c r="N145" i="5"/>
  <c r="E146" i="5"/>
  <c r="AA146" i="5" s="1"/>
  <c r="AA145" i="5"/>
  <c r="Z145" i="5" s="1"/>
  <c r="T145" i="5"/>
  <c r="C146" i="5"/>
  <c r="L145" i="5"/>
  <c r="AF145" i="5"/>
  <c r="V145" i="5"/>
  <c r="O145" i="5"/>
  <c r="F146" i="5"/>
  <c r="I146" i="5"/>
  <c r="P146" i="5"/>
  <c r="AI147" i="5"/>
  <c r="AB147" i="5"/>
  <c r="D146" i="5"/>
  <c r="AG146" i="5" s="1"/>
  <c r="U145" i="5"/>
  <c r="M145" i="5"/>
  <c r="AG145" i="5"/>
  <c r="AE145" i="5"/>
  <c r="Y145" i="5" l="1"/>
  <c r="X145" i="5"/>
  <c r="X146" i="5"/>
  <c r="AB148" i="5"/>
  <c r="P147" i="5"/>
  <c r="I147" i="5"/>
  <c r="Z146" i="5"/>
  <c r="T146" i="5"/>
  <c r="L146" i="5"/>
  <c r="C147" i="5"/>
  <c r="S146" i="5"/>
  <c r="B147" i="5"/>
  <c r="AE147" i="5" s="1"/>
  <c r="K146" i="5"/>
  <c r="AH146" i="5"/>
  <c r="Y146" i="5"/>
  <c r="AF146" i="5"/>
  <c r="N146" i="5"/>
  <c r="E147" i="5"/>
  <c r="AH147" i="5" s="1"/>
  <c r="O146" i="5"/>
  <c r="F147" i="5"/>
  <c r="V146" i="5"/>
  <c r="D147" i="5"/>
  <c r="U146" i="5"/>
  <c r="M146" i="5"/>
  <c r="AI148" i="5" l="1"/>
  <c r="F148" i="5"/>
  <c r="V147" i="5"/>
  <c r="O147" i="5"/>
  <c r="L147" i="5"/>
  <c r="T147" i="5"/>
  <c r="C148" i="5"/>
  <c r="B148" i="5"/>
  <c r="S147" i="5"/>
  <c r="K147" i="5"/>
  <c r="I148" i="5"/>
  <c r="P148" i="5"/>
  <c r="E148" i="5"/>
  <c r="AH148" i="5" s="1"/>
  <c r="N147" i="5"/>
  <c r="AA147" i="5"/>
  <c r="Z147" i="5" s="1"/>
  <c r="U147" i="5"/>
  <c r="D148" i="5"/>
  <c r="M147" i="5"/>
  <c r="AG147" i="5"/>
  <c r="AF147" i="5"/>
  <c r="Y147" i="5" l="1"/>
  <c r="K148" i="5"/>
  <c r="S148" i="5"/>
  <c r="B149" i="5"/>
  <c r="AE149" i="5" s="1"/>
  <c r="AE148" i="5"/>
  <c r="T148" i="5"/>
  <c r="C149" i="5"/>
  <c r="L148" i="5"/>
  <c r="AF148" i="5"/>
  <c r="X147" i="5"/>
  <c r="D149" i="5"/>
  <c r="U148" i="5"/>
  <c r="M148" i="5"/>
  <c r="F149" i="5"/>
  <c r="V148" i="5"/>
  <c r="O148" i="5"/>
  <c r="I149" i="5"/>
  <c r="P149" i="5"/>
  <c r="AB149" i="5"/>
  <c r="AI149" i="5"/>
  <c r="AG148" i="5"/>
  <c r="E149" i="5"/>
  <c r="N148" i="5"/>
  <c r="AA148" i="5"/>
  <c r="Y148" i="5" s="1"/>
  <c r="C150" i="5" l="1"/>
  <c r="AF150" i="5" s="1"/>
  <c r="L149" i="5"/>
  <c r="T149" i="5"/>
  <c r="N149" i="5"/>
  <c r="E150" i="5"/>
  <c r="AA150" i="5" s="1"/>
  <c r="AH149" i="5"/>
  <c r="D150" i="5"/>
  <c r="AG150" i="5" s="1"/>
  <c r="M149" i="5"/>
  <c r="U149" i="5"/>
  <c r="O149" i="5"/>
  <c r="V149" i="5"/>
  <c r="F150" i="5"/>
  <c r="B150" i="5"/>
  <c r="AE150" i="5" s="1"/>
  <c r="S149" i="5"/>
  <c r="K149" i="5"/>
  <c r="AI150" i="5"/>
  <c r="Z148" i="5"/>
  <c r="X148" i="5"/>
  <c r="AA149" i="5"/>
  <c r="Y149" i="5" s="1"/>
  <c r="AF149" i="5"/>
  <c r="I150" i="5"/>
  <c r="P150" i="5"/>
  <c r="AB150" i="5"/>
  <c r="AG149" i="5"/>
  <c r="AH150" i="5" l="1"/>
  <c r="Y150" i="5"/>
  <c r="Z150" i="5"/>
  <c r="X150" i="5"/>
  <c r="X149" i="5"/>
  <c r="Z149" i="5"/>
  <c r="AI152" i="5"/>
  <c r="I151" i="5"/>
  <c r="P151" i="5"/>
  <c r="U150" i="5"/>
  <c r="D151" i="5"/>
  <c r="M150" i="5"/>
  <c r="AB152" i="5"/>
  <c r="AB151" i="5"/>
  <c r="C151" i="5"/>
  <c r="L150" i="5"/>
  <c r="T150" i="5"/>
  <c r="S150" i="5"/>
  <c r="K150" i="5"/>
  <c r="B151" i="5"/>
  <c r="V150" i="5"/>
  <c r="O150" i="5"/>
  <c r="F151" i="5"/>
  <c r="E151" i="5"/>
  <c r="N150" i="5"/>
  <c r="AI151" i="5"/>
  <c r="E152" i="5" l="1"/>
  <c r="AH152" i="5" s="1"/>
  <c r="N151" i="5"/>
  <c r="AA151" i="5"/>
  <c r="Y151" i="5" s="1"/>
  <c r="F152" i="5"/>
  <c r="O151" i="5"/>
  <c r="V151" i="5"/>
  <c r="T151" i="5"/>
  <c r="C152" i="5"/>
  <c r="AF152" i="5" s="1"/>
  <c r="L151" i="5"/>
  <c r="AF151" i="5"/>
  <c r="U151" i="5"/>
  <c r="M151" i="5"/>
  <c r="D152" i="5"/>
  <c r="S151" i="5"/>
  <c r="K151" i="5"/>
  <c r="B152" i="5"/>
  <c r="AE151" i="5"/>
  <c r="AH151" i="5"/>
  <c r="AG151" i="5"/>
  <c r="I152" i="5"/>
  <c r="P152" i="5"/>
  <c r="X151" i="5" l="1"/>
  <c r="AA152" i="5"/>
  <c r="X152" i="5" s="1"/>
  <c r="AE152" i="5"/>
  <c r="Z151" i="5"/>
  <c r="I153" i="5"/>
  <c r="P153" i="5"/>
  <c r="AI154" i="5"/>
  <c r="AB153" i="5"/>
  <c r="AB154" i="5"/>
  <c r="AI153" i="5"/>
  <c r="C153" i="5"/>
  <c r="AF153" i="5" s="1"/>
  <c r="T152" i="5"/>
  <c r="L152" i="5"/>
  <c r="B153" i="5"/>
  <c r="K152" i="5"/>
  <c r="S152" i="5"/>
  <c r="U152" i="5"/>
  <c r="D153" i="5"/>
  <c r="AG153" i="5" s="1"/>
  <c r="M152" i="5"/>
  <c r="AG152" i="5"/>
  <c r="N152" i="5"/>
  <c r="E153" i="5"/>
  <c r="V152" i="5"/>
  <c r="F153" i="5"/>
  <c r="O152" i="5"/>
  <c r="Z152" i="5" l="1"/>
  <c r="Y152" i="5"/>
  <c r="AE153" i="5"/>
  <c r="D154" i="5"/>
  <c r="AG154" i="5" s="1"/>
  <c r="U153" i="5"/>
  <c r="M153" i="5"/>
  <c r="N153" i="5"/>
  <c r="E154" i="5"/>
  <c r="AA154" i="5" s="1"/>
  <c r="AH153" i="5"/>
  <c r="AA153" i="5"/>
  <c r="X153" i="5" s="1"/>
  <c r="B154" i="5"/>
  <c r="S153" i="5"/>
  <c r="O153" i="5"/>
  <c r="V153" i="5"/>
  <c r="F154" i="5"/>
  <c r="L153" i="5"/>
  <c r="T153" i="5"/>
  <c r="C154" i="5"/>
  <c r="AF154" i="5" s="1"/>
  <c r="P154" i="5"/>
  <c r="I154" i="5"/>
  <c r="C155" i="5" l="1"/>
  <c r="AF155" i="5" s="1"/>
  <c r="L154" i="5"/>
  <c r="T154" i="5"/>
  <c r="S154" i="5"/>
  <c r="K154" i="5"/>
  <c r="B155" i="5"/>
  <c r="Y154" i="5"/>
  <c r="Y153" i="5"/>
  <c r="Z153" i="5"/>
  <c r="X154" i="5"/>
  <c r="N154" i="5"/>
  <c r="E155" i="5"/>
  <c r="AH154" i="5"/>
  <c r="V154" i="5"/>
  <c r="F155" i="5"/>
  <c r="O154" i="5"/>
  <c r="M154" i="5"/>
  <c r="U154" i="5"/>
  <c r="D155" i="5"/>
  <c r="Z154" i="5"/>
  <c r="AB156" i="5"/>
  <c r="I155" i="5"/>
  <c r="P155" i="5"/>
  <c r="AI155" i="5"/>
  <c r="AB155" i="5"/>
  <c r="AE154" i="5"/>
  <c r="AI156" i="5" l="1"/>
  <c r="M155" i="5"/>
  <c r="D156" i="5"/>
  <c r="AG156" i="5" s="1"/>
  <c r="U155" i="5"/>
  <c r="B156" i="5"/>
  <c r="S155" i="5"/>
  <c r="K155" i="5"/>
  <c r="E156" i="5"/>
  <c r="AH156" i="5" s="1"/>
  <c r="N155" i="5"/>
  <c r="AA155" i="5"/>
  <c r="X155" i="5" s="1"/>
  <c r="AE155" i="5"/>
  <c r="T155" i="5"/>
  <c r="C156" i="5"/>
  <c r="AF156" i="5" s="1"/>
  <c r="L155" i="5"/>
  <c r="O155" i="5"/>
  <c r="V155" i="5"/>
  <c r="F156" i="5"/>
  <c r="P156" i="5"/>
  <c r="AI157" i="5"/>
  <c r="I156" i="5"/>
  <c r="AH155" i="5"/>
  <c r="AG155" i="5"/>
  <c r="Z155" i="5" l="1"/>
  <c r="AB157" i="5"/>
  <c r="Y155" i="5"/>
  <c r="F157" i="5"/>
  <c r="O156" i="5"/>
  <c r="V156" i="5"/>
  <c r="N156" i="5"/>
  <c r="E157" i="5"/>
  <c r="AA157" i="5" s="1"/>
  <c r="AA156" i="5"/>
  <c r="X156" i="5" s="1"/>
  <c r="K156" i="5"/>
  <c r="S156" i="5"/>
  <c r="B157" i="5"/>
  <c r="T156" i="5"/>
  <c r="L156" i="5"/>
  <c r="C157" i="5"/>
  <c r="AF157" i="5" s="1"/>
  <c r="U156" i="5"/>
  <c r="D157" i="5"/>
  <c r="M156" i="5"/>
  <c r="I157" i="5"/>
  <c r="P157" i="5"/>
  <c r="AE156" i="5"/>
  <c r="AH157" i="5" l="1"/>
  <c r="Y157" i="5"/>
  <c r="I158" i="5"/>
  <c r="P158" i="5"/>
  <c r="AB159" i="5"/>
  <c r="AI159" i="5"/>
  <c r="Z156" i="5"/>
  <c r="Y156" i="5"/>
  <c r="T157" i="5"/>
  <c r="C158" i="5"/>
  <c r="AF158" i="5" s="1"/>
  <c r="L157" i="5"/>
  <c r="E158" i="5"/>
  <c r="AH158" i="5" s="1"/>
  <c r="N157" i="5"/>
  <c r="X157" i="5"/>
  <c r="AB158" i="5"/>
  <c r="K157" i="5"/>
  <c r="B158" i="5"/>
  <c r="AE158" i="5" s="1"/>
  <c r="S157" i="5"/>
  <c r="AE157" i="5"/>
  <c r="AI158" i="5"/>
  <c r="U157" i="5"/>
  <c r="M157" i="5"/>
  <c r="D158" i="5"/>
  <c r="AG157" i="5"/>
  <c r="Z157" i="5"/>
  <c r="V157" i="5"/>
  <c r="O157" i="5"/>
  <c r="F158" i="5"/>
  <c r="M158" i="5" l="1"/>
  <c r="D159" i="5"/>
  <c r="AG159" i="5" s="1"/>
  <c r="U158" i="5"/>
  <c r="AG158" i="5"/>
  <c r="C159" i="5"/>
  <c r="T158" i="5"/>
  <c r="L158" i="5"/>
  <c r="I159" i="5"/>
  <c r="P159" i="5"/>
  <c r="F159" i="5"/>
  <c r="O158" i="5"/>
  <c r="V158" i="5"/>
  <c r="N158" i="5"/>
  <c r="E159" i="5"/>
  <c r="AA158" i="5"/>
  <c r="X158" i="5" s="1"/>
  <c r="K158" i="5"/>
  <c r="S158" i="5"/>
  <c r="B159" i="5"/>
  <c r="AE159" i="5" s="1"/>
  <c r="Z158" i="5" l="1"/>
  <c r="L159" i="5"/>
  <c r="C160" i="5"/>
  <c r="AF160" i="5" s="1"/>
  <c r="T159" i="5"/>
  <c r="AF159" i="5"/>
  <c r="N159" i="5"/>
  <c r="E160" i="5"/>
  <c r="AA160" i="5" s="1"/>
  <c r="AH159" i="5"/>
  <c r="D160" i="5"/>
  <c r="M159" i="5"/>
  <c r="U159" i="5"/>
  <c r="I160" i="5"/>
  <c r="P160" i="5"/>
  <c r="AB160" i="5"/>
  <c r="AB161" i="5"/>
  <c r="AI160" i="5"/>
  <c r="Y158" i="5"/>
  <c r="B160" i="5"/>
  <c r="S159" i="5"/>
  <c r="K159" i="5"/>
  <c r="V159" i="5"/>
  <c r="F160" i="5"/>
  <c r="O159" i="5"/>
  <c r="AA159" i="5"/>
  <c r="Z159" i="5" s="1"/>
  <c r="AH160" i="5" l="1"/>
  <c r="Y159" i="5"/>
  <c r="Y160" i="5"/>
  <c r="B161" i="5"/>
  <c r="AE161" i="5" s="1"/>
  <c r="S160" i="5"/>
  <c r="K160" i="5"/>
  <c r="AE160" i="5"/>
  <c r="X160" i="5"/>
  <c r="U160" i="5"/>
  <c r="M160" i="5"/>
  <c r="D161" i="5"/>
  <c r="AG161" i="5" s="1"/>
  <c r="Z160" i="5"/>
  <c r="AG160" i="5"/>
  <c r="F161" i="5"/>
  <c r="V160" i="5"/>
  <c r="O160" i="5"/>
  <c r="T160" i="5"/>
  <c r="L160" i="5"/>
  <c r="C161" i="5"/>
  <c r="AF161" i="5" s="1"/>
  <c r="X159" i="5"/>
  <c r="I161" i="5"/>
  <c r="P161" i="5"/>
  <c r="AI161" i="5"/>
  <c r="N160" i="5"/>
  <c r="E161" i="5"/>
  <c r="P162" i="5" l="1"/>
  <c r="I162" i="5"/>
  <c r="AB162" i="5"/>
  <c r="AB163" i="5"/>
  <c r="AI163" i="5"/>
  <c r="E162" i="5"/>
  <c r="AA162" i="5" s="1"/>
  <c r="N161" i="5"/>
  <c r="AA161" i="5"/>
  <c r="Z161" i="5" s="1"/>
  <c r="AH161" i="5"/>
  <c r="C162" i="5"/>
  <c r="AF162" i="5" s="1"/>
  <c r="L161" i="5"/>
  <c r="T161" i="5"/>
  <c r="O161" i="5"/>
  <c r="V161" i="5"/>
  <c r="F162" i="5"/>
  <c r="U161" i="5"/>
  <c r="D162" i="5"/>
  <c r="AG162" i="5" s="1"/>
  <c r="M161" i="5"/>
  <c r="AI162" i="5"/>
  <c r="K161" i="5"/>
  <c r="S161" i="5"/>
  <c r="B162" i="5"/>
  <c r="AE162" i="5" s="1"/>
  <c r="AH162" i="5" l="1"/>
  <c r="Y161" i="5"/>
  <c r="X161" i="5"/>
  <c r="F163" i="5"/>
  <c r="O162" i="5"/>
  <c r="V162" i="5"/>
  <c r="N162" i="5"/>
  <c r="E163" i="5"/>
  <c r="AH163" i="5" s="1"/>
  <c r="Z162" i="5"/>
  <c r="P163" i="5"/>
  <c r="I163" i="5"/>
  <c r="Y162" i="5"/>
  <c r="X162" i="5"/>
  <c r="S162" i="5"/>
  <c r="B163" i="5"/>
  <c r="AE163" i="5" s="1"/>
  <c r="K162" i="5"/>
  <c r="D163" i="5"/>
  <c r="AG163" i="5" s="1"/>
  <c r="U162" i="5"/>
  <c r="M162" i="5"/>
  <c r="T162" i="5"/>
  <c r="L162" i="5"/>
  <c r="C163" i="5"/>
  <c r="L163" i="5" l="1"/>
  <c r="T163" i="5"/>
  <c r="AF163" i="5"/>
  <c r="M163" i="5"/>
  <c r="U163" i="5"/>
  <c r="N163" i="5"/>
  <c r="AA163" i="5"/>
  <c r="X163" i="5" s="1"/>
  <c r="K163" i="5"/>
  <c r="S163" i="5"/>
  <c r="V163" i="5"/>
  <c r="O163" i="5"/>
  <c r="Z163" i="5" l="1"/>
  <c r="Y16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Felipe Camargo</author>
  </authors>
  <commentList>
    <comment ref="H4" authorId="0" shapeId="0" xr:uid="{09C6DA8F-103C-4C2D-A8C4-9E1E2A8EB79F}">
      <text>
        <r>
          <rPr>
            <b/>
            <sz val="9"/>
            <color indexed="81"/>
            <rFont val="Tahoma"/>
            <family val="2"/>
          </rPr>
          <t>Felipe Camargo:</t>
        </r>
        <r>
          <rPr>
            <sz val="9"/>
            <color indexed="81"/>
            <rFont val="Tahoma"/>
            <family val="2"/>
          </rPr>
          <t xml:space="preserve">
Disponível em 
Produto Potencial Brasileiro vFinal.xlsx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<sst xmlns="http://schemas.openxmlformats.org/spreadsheetml/2006/main" count="569" uniqueCount="208">
  <si>
    <t>Tabela 6613 - Valores encadeados a preços de 1995 com ajuste sazonal</t>
  </si>
  <si>
    <t>Variável - Valores encadeados a preços de 1995 com ajuste sazonal (Milhões de Reais)</t>
  </si>
  <si>
    <t>Brasil</t>
  </si>
  <si>
    <t>Trimestre</t>
  </si>
  <si>
    <t>Setores e subsetores</t>
  </si>
  <si>
    <t>Agropecuária - total</t>
  </si>
  <si>
    <t>Indústria - total</t>
  </si>
  <si>
    <t>Serviços - total</t>
  </si>
  <si>
    <t>Valor adicionado a preços básicos</t>
  </si>
  <si>
    <t>PIB a preços de mercado</t>
  </si>
  <si>
    <t>1º trimestre 1996</t>
  </si>
  <si>
    <t>2º trimestre 1996</t>
  </si>
  <si>
    <t>3º trimestre 1996</t>
  </si>
  <si>
    <t>4º trimestre 1996</t>
  </si>
  <si>
    <t>1º trimestre 1997</t>
  </si>
  <si>
    <t>2º trimestre 1997</t>
  </si>
  <si>
    <t>3º trimestre 1997</t>
  </si>
  <si>
    <t>4º trimestre 1997</t>
  </si>
  <si>
    <t>1º trimestre 1998</t>
  </si>
  <si>
    <t>2º trimestre 1998</t>
  </si>
  <si>
    <t>3º trimestre 1998</t>
  </si>
  <si>
    <t>4º trimestre 1998</t>
  </si>
  <si>
    <t>1º trimestre 1999</t>
  </si>
  <si>
    <t>2º trimestre 1999</t>
  </si>
  <si>
    <t>3º trimestre 1999</t>
  </si>
  <si>
    <t>4º trimestre 1999</t>
  </si>
  <si>
    <t>1º trimestre 2000</t>
  </si>
  <si>
    <t>2º trimestre 2000</t>
  </si>
  <si>
    <t>3º trimestre 2000</t>
  </si>
  <si>
    <t>4º trimestre 2000</t>
  </si>
  <si>
    <t>1º trimestre 2001</t>
  </si>
  <si>
    <t>2º trimestre 2001</t>
  </si>
  <si>
    <t>3º trimestre 2001</t>
  </si>
  <si>
    <t>4º trimestre 2001</t>
  </si>
  <si>
    <t>1º trimestre 2002</t>
  </si>
  <si>
    <t>2º trimestre 2002</t>
  </si>
  <si>
    <t>3º trimestre 2002</t>
  </si>
  <si>
    <t>4º trimestre 2002</t>
  </si>
  <si>
    <t>1º trimestre 2003</t>
  </si>
  <si>
    <t>2º trimestre 2003</t>
  </si>
  <si>
    <t>3º trimestre 2003</t>
  </si>
  <si>
    <t>4º trimestre 2003</t>
  </si>
  <si>
    <t>1º trimestre 2004</t>
  </si>
  <si>
    <t>2º trimestre 2004</t>
  </si>
  <si>
    <t>3º trimestre 2004</t>
  </si>
  <si>
    <t>4º trimestre 2004</t>
  </si>
  <si>
    <t>1º trimestre 2005</t>
  </si>
  <si>
    <t>2º trimestre 2005</t>
  </si>
  <si>
    <t>3º trimestre 2005</t>
  </si>
  <si>
    <t>4º trimestre 2005</t>
  </si>
  <si>
    <t>1º trimestre 2006</t>
  </si>
  <si>
    <t>2º trimestre 2006</t>
  </si>
  <si>
    <t>3º trimestre 2006</t>
  </si>
  <si>
    <t>4º trimestre 2006</t>
  </si>
  <si>
    <t>1º trimestre 2007</t>
  </si>
  <si>
    <t>2º trimestre 2007</t>
  </si>
  <si>
    <t>3º trimestre 2007</t>
  </si>
  <si>
    <t>4º trimestre 2007</t>
  </si>
  <si>
    <t>1º trimestre 2008</t>
  </si>
  <si>
    <t>2º trimestre 2008</t>
  </si>
  <si>
    <t>3º trimestre 2008</t>
  </si>
  <si>
    <t>4º trimestre 2008</t>
  </si>
  <si>
    <t>1º trimestre 2009</t>
  </si>
  <si>
    <t>2º trimestre 2009</t>
  </si>
  <si>
    <t>3º trimestre 2009</t>
  </si>
  <si>
    <t>4º trimestre 2009</t>
  </si>
  <si>
    <t>1º trimestre 2010</t>
  </si>
  <si>
    <t>2º trimestre 2010</t>
  </si>
  <si>
    <t>3º trimestre 2010</t>
  </si>
  <si>
    <t>4º trimestre 2010</t>
  </si>
  <si>
    <t>1º trimestre 2011</t>
  </si>
  <si>
    <t>2º trimestre 2011</t>
  </si>
  <si>
    <t>3º trimestre 2011</t>
  </si>
  <si>
    <t>4º trimestre 2011</t>
  </si>
  <si>
    <t>1º trimestre 2012</t>
  </si>
  <si>
    <t>2º trimestre 2012</t>
  </si>
  <si>
    <t>3º trimestre 2012</t>
  </si>
  <si>
    <t>4º trimestre 2012</t>
  </si>
  <si>
    <t>1º trimestre 2013</t>
  </si>
  <si>
    <t>2º trimestre 2013</t>
  </si>
  <si>
    <t>3º trimestre 2013</t>
  </si>
  <si>
    <t>4º trimestre 2013</t>
  </si>
  <si>
    <t>1º trimestre 2014</t>
  </si>
  <si>
    <t>2º trimestre 2014</t>
  </si>
  <si>
    <t>3º trimestre 2014</t>
  </si>
  <si>
    <t>4º trimestre 2014</t>
  </si>
  <si>
    <t>1º trimestre 2015</t>
  </si>
  <si>
    <t>2º trimestre 2015</t>
  </si>
  <si>
    <t>3º trimestre 2015</t>
  </si>
  <si>
    <t>4º trimestre 2015</t>
  </si>
  <si>
    <t>1º trimestre 2016</t>
  </si>
  <si>
    <t>2º trimestre 2016</t>
  </si>
  <si>
    <t>3º trimestre 2016</t>
  </si>
  <si>
    <t>4º trimestre 2016</t>
  </si>
  <si>
    <t>1º trimestre 2017</t>
  </si>
  <si>
    <t>2º trimestre 2017</t>
  </si>
  <si>
    <t>3º trimestre 2017</t>
  </si>
  <si>
    <t>4º trimestre 2017</t>
  </si>
  <si>
    <t>1º trimestre 2018</t>
  </si>
  <si>
    <t>2º trimestre 2018</t>
  </si>
  <si>
    <t>3º trimestre 2018</t>
  </si>
  <si>
    <t>4º trimestre 2018</t>
  </si>
  <si>
    <t>1º trimestre 2019</t>
  </si>
  <si>
    <t>2º trimestre 2019</t>
  </si>
  <si>
    <t>3º trimestre 2019</t>
  </si>
  <si>
    <t>4º trimestre 2019</t>
  </si>
  <si>
    <t>1º trimestre 2020</t>
  </si>
  <si>
    <t>Fonte: IBGE - Contas Nacionais Trimestrais</t>
  </si>
  <si>
    <t>Agropecuária</t>
  </si>
  <si>
    <t>Serviços</t>
  </si>
  <si>
    <t>PIB</t>
  </si>
  <si>
    <t>Período</t>
  </si>
  <si>
    <t>Valores encadeados a preços de 1995 com ajuste sazonal (Milhões de Reais)</t>
  </si>
  <si>
    <t>Variações Trimestrais (%)</t>
  </si>
  <si>
    <t>PIBVA</t>
  </si>
  <si>
    <t>Percentual do PIB (%)</t>
  </si>
  <si>
    <t>Indústria</t>
  </si>
  <si>
    <t>Imp. Líq.</t>
  </si>
  <si>
    <t>Modelo 1</t>
  </si>
  <si>
    <t>Modelo 2</t>
  </si>
  <si>
    <t>Modelo 3</t>
  </si>
  <si>
    <t>Modelo 4</t>
  </si>
  <si>
    <t>Modelo 5</t>
  </si>
  <si>
    <t>Modelo 6</t>
  </si>
  <si>
    <t>RSS</t>
  </si>
  <si>
    <t>Dado</t>
  </si>
  <si>
    <t>Modelo 7</t>
  </si>
  <si>
    <t>Modelo 8</t>
  </si>
  <si>
    <t>Modelo 9</t>
  </si>
  <si>
    <t>ARMA(2,2)</t>
  </si>
  <si>
    <t>ARMA(2,1)</t>
  </si>
  <si>
    <t>ARMA(1,2)</t>
  </si>
  <si>
    <t>ARMA(3,1)</t>
  </si>
  <si>
    <t>ARMA(3,2)</t>
  </si>
  <si>
    <t>ARMA(2,3)</t>
  </si>
  <si>
    <t>ARMA(1,3)</t>
  </si>
  <si>
    <t>ARMA(3,3)</t>
  </si>
  <si>
    <t>.</t>
  </si>
  <si>
    <t>Coeficientes</t>
  </si>
  <si>
    <t>Modelo</t>
  </si>
  <si>
    <r>
      <rPr>
        <sz val="7"/>
        <color theme="1"/>
        <rFont val="Arial"/>
        <family val="2"/>
      </rPr>
      <t>β</t>
    </r>
    <r>
      <rPr>
        <sz val="5"/>
        <color theme="1"/>
        <rFont val="Arial"/>
        <family val="2"/>
      </rPr>
      <t>1</t>
    </r>
  </si>
  <si>
    <r>
      <rPr>
        <sz val="7"/>
        <color theme="1"/>
        <rFont val="Arial"/>
        <family val="2"/>
      </rPr>
      <t>β</t>
    </r>
    <r>
      <rPr>
        <sz val="5"/>
        <color theme="1"/>
        <rFont val="Arial"/>
        <family val="2"/>
      </rPr>
      <t>2</t>
    </r>
    <r>
      <rPr>
        <sz val="11"/>
        <color theme="1"/>
        <rFont val="Calibri"/>
        <family val="2"/>
        <scheme val="minor"/>
      </rPr>
      <t/>
    </r>
  </si>
  <si>
    <r>
      <rPr>
        <sz val="7"/>
        <color theme="1"/>
        <rFont val="Arial"/>
        <family val="2"/>
      </rPr>
      <t>β</t>
    </r>
    <r>
      <rPr>
        <sz val="5"/>
        <color theme="1"/>
        <rFont val="Arial"/>
        <family val="2"/>
      </rPr>
      <t>3</t>
    </r>
    <r>
      <rPr>
        <sz val="11"/>
        <color theme="1"/>
        <rFont val="Calibri"/>
        <family val="2"/>
        <scheme val="minor"/>
      </rPr>
      <t/>
    </r>
  </si>
  <si>
    <r>
      <rPr>
        <sz val="7"/>
        <color theme="1"/>
        <rFont val="Arial"/>
        <family val="2"/>
      </rPr>
      <t>θ</t>
    </r>
    <r>
      <rPr>
        <sz val="5"/>
        <color theme="1"/>
        <rFont val="Arial"/>
        <family val="2"/>
      </rPr>
      <t>1</t>
    </r>
  </si>
  <si>
    <r>
      <rPr>
        <sz val="7"/>
        <color theme="1"/>
        <rFont val="Arial"/>
        <family val="2"/>
      </rPr>
      <t>θ</t>
    </r>
    <r>
      <rPr>
        <sz val="5"/>
        <color theme="1"/>
        <rFont val="Arial"/>
        <family val="2"/>
      </rPr>
      <t>2</t>
    </r>
    <r>
      <rPr>
        <sz val="11"/>
        <color theme="1"/>
        <rFont val="Calibri"/>
        <family val="2"/>
        <scheme val="minor"/>
      </rPr>
      <t/>
    </r>
  </si>
  <si>
    <r>
      <rPr>
        <sz val="7"/>
        <color theme="1"/>
        <rFont val="Arial"/>
        <family val="2"/>
      </rPr>
      <t>θ</t>
    </r>
    <r>
      <rPr>
        <sz val="5"/>
        <color theme="1"/>
        <rFont val="Arial"/>
        <family val="2"/>
      </rPr>
      <t>3</t>
    </r>
    <r>
      <rPr>
        <sz val="11"/>
        <color theme="1"/>
        <rFont val="Calibri"/>
        <family val="2"/>
        <scheme val="minor"/>
      </rPr>
      <t/>
    </r>
  </si>
  <si>
    <t>ARMA(1,0)</t>
  </si>
  <si>
    <t>ARMA(0,1)</t>
  </si>
  <si>
    <t>ARMA(2,0)</t>
  </si>
  <si>
    <t>Modelo 10</t>
  </si>
  <si>
    <t>Modelo 11</t>
  </si>
  <si>
    <t>Modelo 12</t>
  </si>
  <si>
    <t>ARMA(0,2)</t>
  </si>
  <si>
    <t>ARMA(3,0)</t>
  </si>
  <si>
    <t>ARMA(0,3)</t>
  </si>
  <si>
    <t>Modelo 13</t>
  </si>
  <si>
    <t>Modelo 14</t>
  </si>
  <si>
    <t>Modelo 15</t>
  </si>
  <si>
    <t>Nome</t>
  </si>
  <si>
    <t>c</t>
  </si>
  <si>
    <t>BIC</t>
  </si>
  <si>
    <t>OFS - MAE</t>
  </si>
  <si>
    <t>ARMA(1,1)</t>
  </si>
  <si>
    <t>β1</t>
  </si>
  <si>
    <t>β2</t>
  </si>
  <si>
    <t>β3</t>
  </si>
  <si>
    <t>θ1</t>
  </si>
  <si>
    <t>θ2</t>
  </si>
  <si>
    <t>θ3</t>
  </si>
  <si>
    <t>Sort</t>
  </si>
  <si>
    <t>MAE</t>
  </si>
  <si>
    <t>Modelos - PIB Agropecuária</t>
  </si>
  <si>
    <t>Modelos - PIB Indústria</t>
  </si>
  <si>
    <t>Modelos - PIB Serviços</t>
  </si>
  <si>
    <t>Dados: IBGE</t>
  </si>
  <si>
    <t>Elaboraçao: Felipe Camargo</t>
  </si>
  <si>
    <t>x</t>
  </si>
  <si>
    <t>% histórico</t>
  </si>
  <si>
    <t>Unidade</t>
  </si>
  <si>
    <t>Crescimento acumulado 4T (%)</t>
  </si>
  <si>
    <t>(%) Acc. 4T</t>
  </si>
  <si>
    <t>Contribuicoes ao crescimento acumulado 4T (%)</t>
  </si>
  <si>
    <t>Projeções macro - Brasil</t>
  </si>
  <si>
    <t>(%) Trimestral</t>
  </si>
  <si>
    <t>Autoria: Felipe Camargo</t>
  </si>
  <si>
    <t>Especificaçao ARMA(I,N):</t>
  </si>
  <si>
    <t>Parametrizaçao</t>
  </si>
  <si>
    <t>2º trimestre 2020</t>
  </si>
  <si>
    <t>3º trimestre 2020</t>
  </si>
  <si>
    <t>PIB potencial</t>
  </si>
  <si>
    <t>Hiato do produto</t>
  </si>
  <si>
    <t>4º trimestre 2020</t>
  </si>
  <si>
    <t>1º trimestre 2021</t>
  </si>
  <si>
    <t>2º trimestre 2021</t>
  </si>
  <si>
    <t>3º trimestre 2021</t>
  </si>
  <si>
    <t>Base 100 = 1996T1</t>
  </si>
  <si>
    <t>Valor Adicionado</t>
  </si>
  <si>
    <t>Histograma do crescimento trimestral</t>
  </si>
  <si>
    <t>Amostra completa (1996-2021T3)</t>
  </si>
  <si>
    <t>Amplitude</t>
  </si>
  <si>
    <t>Intervalos</t>
  </si>
  <si>
    <t>1996-2021T3</t>
  </si>
  <si>
    <t>Mediana</t>
  </si>
  <si>
    <t>2017-2021T3</t>
  </si>
  <si>
    <t>1996-2005</t>
  </si>
  <si>
    <t>2006-2014</t>
  </si>
  <si>
    <t>Check</t>
  </si>
  <si>
    <t>https://flcamargo90.medium.com/como-eu-projeto-o-pib-brasileiro-74286f4648e1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</si>
</sst>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mm/yyyy"/>
    <numFmt numFmtId="165" formatCode="0.0"/>
    <numFmt numFmtId="166" formatCode="#,##0.0"/>
    <numFmt numFmtId="167" formatCode="0.000"/>
    <numFmt numFmtId="168" formatCode="yyyy"/>
    <numFmt numFmtId="169" formatCode="yyyy\F"/>
    <numFmt numFmtId="170" formatCode="mm/yyyy\F"/>
    <numFmt numFmtId="171" formatCode="0.0%"/>
  </numFmts>
  <fonts count="15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1"/>
      <name val="Arial"/>
      <family val="2"/>
    </font>
    <font>
      <sz val="8"/>
      <name val="Calibri"/>
      <family val="2"/>
      <scheme val="minor"/>
    </font>
    <font>
      <b/>
      <sz val="8"/>
      <color theme="1"/>
      <name val="Arial"/>
      <family val="2"/>
    </font>
    <font>
      <sz val="5"/>
      <color theme="1"/>
      <name val="Arial"/>
      <family val="2"/>
    </font>
    <font>
      <sz val="7"/>
      <color theme="1"/>
      <name val="Arial"/>
      <family val="2"/>
    </font>
    <font>
      <sz val="11"/>
      <color theme="1"/>
      <name val="Calibri"/>
      <family val="2"/>
      <scheme val="minor"/>
    </font>
    <font>
      <sz val="8"/>
      <color rgb="FFFF0000"/>
      <name val="Arial"/>
      <family val="2"/>
    </font>
    <font>
      <b/>
      <sz val="8"/>
      <color rgb="FFFF0000"/>
      <name val="Arial"/>
      <family val="2"/>
    </font>
    <font>
      <sz val="11"/>
      <color rgb="FF000000"/>
      <name val="Calibri"/>
      <family val="2"/>
    </font>
    <font>
      <sz val="12"/>
      <color theme="1"/>
      <name val="Arial Black"/>
      <family val="2"/>
    </font>
    <font>
      <sz val="9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/>
      <top/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/>
      <right/>
      <top style="mediumDashed">
        <color auto="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/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/>
      <right/>
      <top style="medium">
        <color theme="0" tint="-0.24994659260841701"/>
      </top>
      <bottom style="medium">
        <color theme="0" tint="-0.2499465926084170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78">
    <xf numFmtId="0" fontId="0" fillId="0" borderId="0" xfId="0"/>
    <xf numFmtId="0" fontId="2" fillId="0" borderId="0" xfId="0" applyFont="1" applyAlignment="1">
      <alignment horizontal="centerContinuous"/>
    </xf>
    <xf numFmtId="0" fontId="2" fillId="0" borderId="0" xfId="0" applyFont="1"/>
    <xf numFmtId="0" fontId="2" fillId="0" borderId="0" xfId="0" applyFont="1" applyAlignment="1">
      <alignment horizontal="center"/>
    </xf>
    <xf numFmtId="165" fontId="2" fillId="0" borderId="0" xfId="0" applyNumberFormat="1" applyFont="1" applyAlignment="1">
      <alignment horizontal="center"/>
    </xf>
    <xf numFmtId="3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4" fillId="0" borderId="0" xfId="0" applyNumberFormat="1" applyFont="1"/>
    <xf numFmtId="166" fontId="2" fillId="0" borderId="0" xfId="0" applyNumberFormat="1" applyFont="1" applyAlignment="1">
      <alignment horizontal="center"/>
    </xf>
    <xf numFmtId="0" fontId="2" fillId="2" borderId="0" xfId="0" applyFont="1" applyFill="1"/>
    <xf numFmtId="0" fontId="2" fillId="2" borderId="0" xfId="0" applyFont="1" applyFill="1" applyAlignment="1">
      <alignment horizontal="center" vertical="center"/>
    </xf>
    <xf numFmtId="0" fontId="4" fillId="0" borderId="0" xfId="0" applyFont="1"/>
    <xf numFmtId="0" fontId="2" fillId="2" borderId="0" xfId="0" applyFont="1" applyFill="1" applyAlignment="1">
      <alignment horizontal="center"/>
    </xf>
    <xf numFmtId="2" fontId="2" fillId="0" borderId="1" xfId="0" applyNumberFormat="1" applyFont="1" applyBorder="1" applyAlignment="1">
      <alignment horizontal="center"/>
    </xf>
    <xf numFmtId="3" fontId="2" fillId="0" borderId="1" xfId="0" applyNumberFormat="1" applyFont="1" applyBorder="1" applyAlignment="1">
      <alignment horizontal="center"/>
    </xf>
    <xf numFmtId="165" fontId="2" fillId="0" borderId="1" xfId="0" applyNumberFormat="1" applyFont="1" applyBorder="1" applyAlignment="1">
      <alignment horizontal="center"/>
    </xf>
    <xf numFmtId="3" fontId="2" fillId="0" borderId="0" xfId="0" applyNumberFormat="1" applyFont="1"/>
    <xf numFmtId="167" fontId="2" fillId="0" borderId="1" xfId="0" applyNumberFormat="1" applyFont="1" applyBorder="1" applyAlignment="1">
      <alignment horizontal="center"/>
    </xf>
    <xf numFmtId="4" fontId="2" fillId="0" borderId="0" xfId="0" applyNumberFormat="1" applyFont="1" applyAlignment="1">
      <alignment horizontal="center"/>
    </xf>
    <xf numFmtId="2" fontId="8" fillId="2" borderId="0" xfId="0" applyNumberFormat="1" applyFont="1" applyFill="1" applyAlignment="1">
      <alignment horizontal="center"/>
    </xf>
    <xf numFmtId="164" fontId="9" fillId="0" borderId="0" xfId="0" applyNumberFormat="1" applyFont="1"/>
    <xf numFmtId="165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8" fillId="0" borderId="0" xfId="0" applyNumberFormat="1" applyFont="1" applyAlignment="1">
      <alignment horizontal="center"/>
    </xf>
    <xf numFmtId="165" fontId="8" fillId="0" borderId="0" xfId="1" applyNumberFormat="1" applyFont="1" applyAlignment="1">
      <alignment horizontal="center"/>
    </xf>
    <xf numFmtId="0" fontId="8" fillId="0" borderId="0" xfId="0" applyFont="1" applyAlignment="1">
      <alignment horizontal="centerContinuous"/>
    </xf>
    <xf numFmtId="2" fontId="2" fillId="2" borderId="0" xfId="0" applyNumberFormat="1" applyFont="1" applyFill="1" applyAlignment="1">
      <alignment horizontal="centerContinuous"/>
    </xf>
    <xf numFmtId="165" fontId="8" fillId="0" borderId="1" xfId="0" applyNumberFormat="1" applyFont="1" applyBorder="1" applyAlignment="1">
      <alignment horizontal="center"/>
    </xf>
    <xf numFmtId="168" fontId="4" fillId="2" borderId="2" xfId="0" applyNumberFormat="1" applyFont="1" applyFill="1" applyBorder="1" applyAlignment="1">
      <alignment horizontal="left"/>
    </xf>
    <xf numFmtId="168" fontId="4" fillId="2" borderId="3" xfId="0" applyNumberFormat="1" applyFont="1" applyFill="1" applyBorder="1" applyAlignment="1">
      <alignment horizontal="center"/>
    </xf>
    <xf numFmtId="169" fontId="9" fillId="2" borderId="3" xfId="0" applyNumberFormat="1" applyFont="1" applyFill="1" applyBorder="1" applyAlignment="1">
      <alignment horizontal="center"/>
    </xf>
    <xf numFmtId="169" fontId="9" fillId="2" borderId="4" xfId="0" applyNumberFormat="1" applyFont="1" applyFill="1" applyBorder="1" applyAlignment="1">
      <alignment horizontal="center"/>
    </xf>
    <xf numFmtId="0" fontId="4" fillId="2" borderId="5" xfId="0" applyFont="1" applyFill="1" applyBorder="1"/>
    <xf numFmtId="165" fontId="8" fillId="0" borderId="6" xfId="0" applyNumberFormat="1" applyFont="1" applyBorder="1" applyAlignment="1">
      <alignment horizontal="center"/>
    </xf>
    <xf numFmtId="0" fontId="4" fillId="2" borderId="5" xfId="0" applyFont="1" applyFill="1" applyBorder="1" applyAlignment="1">
      <alignment horizontal="left" indent="1"/>
    </xf>
    <xf numFmtId="0" fontId="4" fillId="2" borderId="7" xfId="0" applyFont="1" applyFill="1" applyBorder="1" applyAlignment="1">
      <alignment horizontal="left" indent="1"/>
    </xf>
    <xf numFmtId="165" fontId="2" fillId="0" borderId="8" xfId="0" applyNumberFormat="1" applyFont="1" applyBorder="1" applyAlignment="1">
      <alignment horizontal="center"/>
    </xf>
    <xf numFmtId="165" fontId="8" fillId="0" borderId="8" xfId="0" applyNumberFormat="1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165" fontId="2" fillId="0" borderId="10" xfId="0" applyNumberFormat="1" applyFont="1" applyBorder="1" applyAlignment="1">
      <alignment horizontal="center"/>
    </xf>
    <xf numFmtId="165" fontId="2" fillId="0" borderId="11" xfId="0" applyNumberFormat="1" applyFont="1" applyBorder="1" applyAlignment="1">
      <alignment horizontal="center"/>
    </xf>
    <xf numFmtId="165" fontId="8" fillId="0" borderId="11" xfId="0" applyNumberFormat="1" applyFont="1" applyBorder="1" applyAlignment="1">
      <alignment horizontal="center"/>
    </xf>
    <xf numFmtId="165" fontId="8" fillId="0" borderId="12" xfId="0" applyNumberFormat="1" applyFont="1" applyBorder="1" applyAlignment="1">
      <alignment horizontal="center"/>
    </xf>
    <xf numFmtId="165" fontId="2" fillId="0" borderId="13" xfId="0" applyNumberFormat="1" applyFont="1" applyBorder="1" applyAlignment="1">
      <alignment horizontal="center"/>
    </xf>
    <xf numFmtId="165" fontId="2" fillId="0" borderId="14" xfId="0" applyNumberFormat="1" applyFont="1" applyBorder="1" applyAlignment="1">
      <alignment horizontal="center"/>
    </xf>
    <xf numFmtId="164" fontId="4" fillId="2" borderId="3" xfId="0" applyNumberFormat="1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8" fillId="2" borderId="0" xfId="0" applyFont="1" applyFill="1"/>
    <xf numFmtId="166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3" fontId="9" fillId="0" borderId="0" xfId="0" applyNumberFormat="1" applyFont="1" applyAlignment="1">
      <alignment horizontal="center"/>
    </xf>
    <xf numFmtId="166" fontId="9" fillId="0" borderId="0" xfId="0" applyNumberFormat="1" applyFont="1" applyAlignment="1">
      <alignment horizontal="center"/>
    </xf>
    <xf numFmtId="165" fontId="9" fillId="0" borderId="0" xfId="0" applyNumberFormat="1" applyFont="1" applyAlignment="1">
      <alignment horizontal="center"/>
    </xf>
    <xf numFmtId="0" fontId="2" fillId="0" borderId="15" xfId="0" applyFont="1" applyBorder="1"/>
    <xf numFmtId="165" fontId="8" fillId="0" borderId="16" xfId="0" applyNumberFormat="1" applyFont="1" applyBorder="1" applyAlignment="1">
      <alignment horizontal="center"/>
    </xf>
    <xf numFmtId="165" fontId="8" fillId="0" borderId="17" xfId="0" applyNumberFormat="1" applyFont="1" applyBorder="1" applyAlignment="1">
      <alignment horizontal="center"/>
    </xf>
    <xf numFmtId="165" fontId="8" fillId="0" borderId="18" xfId="0" applyNumberFormat="1" applyFont="1" applyBorder="1" applyAlignment="1">
      <alignment horizontal="center"/>
    </xf>
    <xf numFmtId="170" fontId="9" fillId="2" borderId="19" xfId="0" applyNumberFormat="1" applyFont="1" applyFill="1" applyBorder="1" applyAlignment="1">
      <alignment horizontal="center"/>
    </xf>
    <xf numFmtId="170" fontId="9" fillId="2" borderId="20" xfId="0" applyNumberFormat="1" applyFont="1" applyFill="1" applyBorder="1" applyAlignment="1">
      <alignment horizontal="center"/>
    </xf>
    <xf numFmtId="165" fontId="8" fillId="2" borderId="0" xfId="0" applyNumberFormat="1" applyFont="1" applyFill="1" applyAlignment="1">
      <alignment horizontal="center"/>
    </xf>
    <xf numFmtId="171" fontId="2" fillId="0" borderId="0" xfId="1" applyNumberFormat="1" applyFont="1" applyAlignment="1">
      <alignment horizontal="center"/>
    </xf>
    <xf numFmtId="0" fontId="11" fillId="0" borderId="0" xfId="0" applyFont="1"/>
    <xf numFmtId="0" fontId="1" fillId="0" borderId="0" xfId="0" applyFont="1" applyAlignment="1">
      <alignment horizontal="centerContinuous"/>
    </xf>
    <xf numFmtId="0" fontId="1" fillId="0" borderId="0" xfId="0" applyFont="1" applyAlignment="1">
      <alignment horizontal="center"/>
    </xf>
    <xf numFmtId="0" fontId="1" fillId="0" borderId="0" xfId="0" applyFont="1"/>
    <xf numFmtId="165" fontId="2" fillId="0" borderId="0" xfId="0" applyNumberFormat="1" applyFont="1" applyAlignment="1">
      <alignment horizontal="right"/>
    </xf>
    <xf numFmtId="2" fontId="2" fillId="0" borderId="0" xfId="0" applyNumberFormat="1" applyFont="1"/>
    <xf numFmtId="165" fontId="2" fillId="0" borderId="0" xfId="0" applyNumberFormat="1" applyFont="1"/>
    <xf numFmtId="165" fontId="2" fillId="0" borderId="0" xfId="1" applyNumberFormat="1" applyFont="1"/>
    <xf numFmtId="0" fontId="1" fillId="0" borderId="21" xfId="0" applyFont="1" applyBorder="1"/>
    <xf numFmtId="0" fontId="2" fillId="0" borderId="21" xfId="0" applyFont="1" applyBorder="1"/>
    <xf numFmtId="165" fontId="2" fillId="0" borderId="21" xfId="0" applyNumberFormat="1" applyFont="1" applyBorder="1" applyAlignment="1">
      <alignment horizontal="right"/>
    </xf>
    <xf numFmtId="0" fontId="4" fillId="0" borderId="1" xfId="0" applyFont="1" applyBorder="1"/>
    <xf numFmtId="2" fontId="2" fillId="0" borderId="1" xfId="0" applyNumberFormat="1" applyFont="1" applyBorder="1"/>
    <xf numFmtId="0" fontId="12" fillId="2" borderId="0" xfId="0" applyFont="1" applyFill="1" applyAlignment="1">
      <alignment horizontal="center"/>
    </xf>
    <xf numFmtId="2" fontId="1" fillId="0" borderId="0" xfId="0" applyNumberFormat="1" applyFont="1"/>
    <xf numFmtId="0" fontId="2" fillId="0" borderId="0" xfId="0" applyFont="1" applyAlignment="1">
      <alignment horizontal="right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200">
                <a:latin typeface="Arial Black" panose="020B0A04020102020204" pitchFamily="34" charset="0"/>
              </a:rPr>
              <a:t>Brasil: Crescimento</a:t>
            </a:r>
            <a:r>
              <a:rPr lang="en-US" sz="1200" baseline="0">
                <a:latin typeface="Arial Black" panose="020B0A04020102020204" pitchFamily="34" charset="0"/>
              </a:rPr>
              <a:t> setorial</a:t>
            </a:r>
          </a:p>
          <a:p>
            <a:pPr algn="l">
              <a:defRPr/>
            </a:pPr>
            <a:r>
              <a:rPr lang="en-US" sz="1000" baseline="0"/>
              <a:t>Valor adicionado a R$ constantes, 1996T1 = 1</a:t>
            </a:r>
            <a:endParaRPr lang="en-US" sz="1000"/>
          </a:p>
        </c:rich>
      </c:tx>
      <c:layout>
        <c:manualLayout>
          <c:xMode val="edge"/>
          <c:yMode val="edge"/>
          <c:x val="1.1087871828521435E-2"/>
          <c:y val="1.99789560328627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6244119742166772E-2"/>
          <c:y val="0.18562309003437191"/>
          <c:w val="0.84890138732658416"/>
          <c:h val="0.65914170122225835"/>
        </c:manualLayout>
      </c:layout>
      <c:lineChart>
        <c:grouping val="standard"/>
        <c:varyColors val="0"/>
        <c:ser>
          <c:idx val="0"/>
          <c:order val="0"/>
          <c:tx>
            <c:strRef>
              <c:f>Dados!$U$2</c:f>
              <c:strCache>
                <c:ptCount val="1"/>
                <c:pt idx="0">
                  <c:v>Agropecuária</c:v>
                </c:pt>
              </c:strCache>
            </c:strRef>
          </c:tx>
          <c:spPr>
            <a:ln w="190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Dados!$A$3:$A$105</c:f>
              <c:numCache>
                <c:formatCode>mm/yyyy</c:formatCode>
                <c:ptCount val="103"/>
                <c:pt idx="0">
                  <c:v>35125</c:v>
                </c:pt>
                <c:pt idx="1">
                  <c:v>35246</c:v>
                </c:pt>
                <c:pt idx="2">
                  <c:v>35338</c:v>
                </c:pt>
                <c:pt idx="3">
                  <c:v>35430</c:v>
                </c:pt>
                <c:pt idx="4">
                  <c:v>35520</c:v>
                </c:pt>
                <c:pt idx="5">
                  <c:v>35611</c:v>
                </c:pt>
                <c:pt idx="6">
                  <c:v>35703</c:v>
                </c:pt>
                <c:pt idx="7">
                  <c:v>35795</c:v>
                </c:pt>
                <c:pt idx="8">
                  <c:v>35885</c:v>
                </c:pt>
                <c:pt idx="9">
                  <c:v>35976</c:v>
                </c:pt>
                <c:pt idx="10">
                  <c:v>36068</c:v>
                </c:pt>
                <c:pt idx="11">
                  <c:v>36160</c:v>
                </c:pt>
                <c:pt idx="12">
                  <c:v>36250</c:v>
                </c:pt>
                <c:pt idx="13">
                  <c:v>36341</c:v>
                </c:pt>
                <c:pt idx="14">
                  <c:v>36433</c:v>
                </c:pt>
                <c:pt idx="15">
                  <c:v>36525</c:v>
                </c:pt>
                <c:pt idx="16">
                  <c:v>36616</c:v>
                </c:pt>
                <c:pt idx="17">
                  <c:v>36707</c:v>
                </c:pt>
                <c:pt idx="18">
                  <c:v>36799</c:v>
                </c:pt>
                <c:pt idx="19">
                  <c:v>36891</c:v>
                </c:pt>
                <c:pt idx="20">
                  <c:v>36981</c:v>
                </c:pt>
                <c:pt idx="21">
                  <c:v>37072</c:v>
                </c:pt>
                <c:pt idx="22">
                  <c:v>37164</c:v>
                </c:pt>
                <c:pt idx="23">
                  <c:v>37256</c:v>
                </c:pt>
                <c:pt idx="24">
                  <c:v>37346</c:v>
                </c:pt>
                <c:pt idx="25">
                  <c:v>37437</c:v>
                </c:pt>
                <c:pt idx="26">
                  <c:v>37529</c:v>
                </c:pt>
                <c:pt idx="27">
                  <c:v>37621</c:v>
                </c:pt>
                <c:pt idx="28">
                  <c:v>37711</c:v>
                </c:pt>
                <c:pt idx="29">
                  <c:v>37802</c:v>
                </c:pt>
                <c:pt idx="30">
                  <c:v>37894</c:v>
                </c:pt>
                <c:pt idx="31">
                  <c:v>37986</c:v>
                </c:pt>
                <c:pt idx="32">
                  <c:v>38077</c:v>
                </c:pt>
                <c:pt idx="33">
                  <c:v>38168</c:v>
                </c:pt>
                <c:pt idx="34">
                  <c:v>38260</c:v>
                </c:pt>
                <c:pt idx="35">
                  <c:v>38352</c:v>
                </c:pt>
                <c:pt idx="36">
                  <c:v>38442</c:v>
                </c:pt>
                <c:pt idx="37">
                  <c:v>38533</c:v>
                </c:pt>
                <c:pt idx="38">
                  <c:v>38625</c:v>
                </c:pt>
                <c:pt idx="39">
                  <c:v>38717</c:v>
                </c:pt>
                <c:pt idx="40">
                  <c:v>38807</c:v>
                </c:pt>
                <c:pt idx="41">
                  <c:v>38898</c:v>
                </c:pt>
                <c:pt idx="42">
                  <c:v>38990</c:v>
                </c:pt>
                <c:pt idx="43">
                  <c:v>39082</c:v>
                </c:pt>
                <c:pt idx="44">
                  <c:v>39172</c:v>
                </c:pt>
                <c:pt idx="45">
                  <c:v>39263</c:v>
                </c:pt>
                <c:pt idx="46">
                  <c:v>39355</c:v>
                </c:pt>
                <c:pt idx="47">
                  <c:v>39447</c:v>
                </c:pt>
                <c:pt idx="48">
                  <c:v>39538</c:v>
                </c:pt>
                <c:pt idx="49">
                  <c:v>39629</c:v>
                </c:pt>
                <c:pt idx="50">
                  <c:v>39721</c:v>
                </c:pt>
                <c:pt idx="51">
                  <c:v>39813</c:v>
                </c:pt>
                <c:pt idx="52">
                  <c:v>39903</c:v>
                </c:pt>
                <c:pt idx="53">
                  <c:v>39994</c:v>
                </c:pt>
                <c:pt idx="54">
                  <c:v>40086</c:v>
                </c:pt>
                <c:pt idx="55">
                  <c:v>40178</c:v>
                </c:pt>
                <c:pt idx="56">
                  <c:v>40268</c:v>
                </c:pt>
                <c:pt idx="57">
                  <c:v>40359</c:v>
                </c:pt>
                <c:pt idx="58">
                  <c:v>40451</c:v>
                </c:pt>
                <c:pt idx="59">
                  <c:v>40543</c:v>
                </c:pt>
                <c:pt idx="60">
                  <c:v>40633</c:v>
                </c:pt>
                <c:pt idx="61">
                  <c:v>40724</c:v>
                </c:pt>
                <c:pt idx="62">
                  <c:v>40816</c:v>
                </c:pt>
                <c:pt idx="63">
                  <c:v>40908</c:v>
                </c:pt>
                <c:pt idx="64">
                  <c:v>40999</c:v>
                </c:pt>
                <c:pt idx="65">
                  <c:v>41090</c:v>
                </c:pt>
                <c:pt idx="66">
                  <c:v>41182</c:v>
                </c:pt>
                <c:pt idx="67">
                  <c:v>41274</c:v>
                </c:pt>
                <c:pt idx="68">
                  <c:v>41364</c:v>
                </c:pt>
                <c:pt idx="69">
                  <c:v>41455</c:v>
                </c:pt>
                <c:pt idx="70">
                  <c:v>41547</c:v>
                </c:pt>
                <c:pt idx="71">
                  <c:v>41639</c:v>
                </c:pt>
                <c:pt idx="72">
                  <c:v>41729</c:v>
                </c:pt>
                <c:pt idx="73">
                  <c:v>41820</c:v>
                </c:pt>
                <c:pt idx="74">
                  <c:v>41912</c:v>
                </c:pt>
                <c:pt idx="75">
                  <c:v>42004</c:v>
                </c:pt>
                <c:pt idx="76">
                  <c:v>42094</c:v>
                </c:pt>
                <c:pt idx="77">
                  <c:v>42185</c:v>
                </c:pt>
                <c:pt idx="78">
                  <c:v>42277</c:v>
                </c:pt>
                <c:pt idx="79">
                  <c:v>42369</c:v>
                </c:pt>
                <c:pt idx="80">
                  <c:v>42460</c:v>
                </c:pt>
                <c:pt idx="81">
                  <c:v>42551</c:v>
                </c:pt>
                <c:pt idx="82">
                  <c:v>42643</c:v>
                </c:pt>
                <c:pt idx="83">
                  <c:v>42735</c:v>
                </c:pt>
                <c:pt idx="84">
                  <c:v>42825</c:v>
                </c:pt>
                <c:pt idx="85">
                  <c:v>42916</c:v>
                </c:pt>
                <c:pt idx="86">
                  <c:v>43008</c:v>
                </c:pt>
                <c:pt idx="87">
                  <c:v>43100</c:v>
                </c:pt>
                <c:pt idx="88">
                  <c:v>43190</c:v>
                </c:pt>
                <c:pt idx="89">
                  <c:v>43281</c:v>
                </c:pt>
                <c:pt idx="90">
                  <c:v>43373</c:v>
                </c:pt>
                <c:pt idx="91">
                  <c:v>43465</c:v>
                </c:pt>
                <c:pt idx="92">
                  <c:v>43555</c:v>
                </c:pt>
                <c:pt idx="93">
                  <c:v>43646</c:v>
                </c:pt>
                <c:pt idx="94">
                  <c:v>43738</c:v>
                </c:pt>
                <c:pt idx="95">
                  <c:v>43830</c:v>
                </c:pt>
                <c:pt idx="96">
                  <c:v>43921</c:v>
                </c:pt>
                <c:pt idx="97">
                  <c:v>44012</c:v>
                </c:pt>
                <c:pt idx="98">
                  <c:v>44104</c:v>
                </c:pt>
                <c:pt idx="99">
                  <c:v>44196</c:v>
                </c:pt>
                <c:pt idx="100">
                  <c:v>44286</c:v>
                </c:pt>
                <c:pt idx="101">
                  <c:v>44377</c:v>
                </c:pt>
                <c:pt idx="102">
                  <c:v>44469</c:v>
                </c:pt>
              </c:numCache>
            </c:numRef>
          </c:cat>
          <c:val>
            <c:numRef>
              <c:f>Dados!$U$3:$U$105</c:f>
              <c:numCache>
                <c:formatCode>0.0</c:formatCode>
                <c:ptCount val="103"/>
                <c:pt idx="0" formatCode="General">
                  <c:v>1</c:v>
                </c:pt>
                <c:pt idx="1">
                  <c:v>1.0128904971710149</c:v>
                </c:pt>
                <c:pt idx="2">
                  <c:v>1.0677675916396732</c:v>
                </c:pt>
                <c:pt idx="3">
                  <c:v>1.3165024922576392</c:v>
                </c:pt>
                <c:pt idx="4">
                  <c:v>1.0694844275395652</c:v>
                </c:pt>
                <c:pt idx="5">
                  <c:v>1.0526195975395178</c:v>
                </c:pt>
                <c:pt idx="6">
                  <c:v>1.0872883003798852</c:v>
                </c:pt>
                <c:pt idx="7">
                  <c:v>1.1787892512793268</c:v>
                </c:pt>
                <c:pt idx="8">
                  <c:v>1.0512193329001718</c:v>
                </c:pt>
                <c:pt idx="9">
                  <c:v>1.181908723138869</c:v>
                </c:pt>
                <c:pt idx="10">
                  <c:v>1.1512866783967974</c:v>
                </c:pt>
                <c:pt idx="11">
                  <c:v>1.1263095616377283</c:v>
                </c:pt>
                <c:pt idx="12">
                  <c:v>1.1751694308357004</c:v>
                </c:pt>
                <c:pt idx="13">
                  <c:v>1.1950150104575221</c:v>
                </c:pt>
                <c:pt idx="14">
                  <c:v>1.2010191934665382</c:v>
                </c:pt>
                <c:pt idx="15">
                  <c:v>1.2470168790579217</c:v>
                </c:pt>
                <c:pt idx="16">
                  <c:v>1.2399313739904101</c:v>
                </c:pt>
                <c:pt idx="17">
                  <c:v>1.2350760956685463</c:v>
                </c:pt>
                <c:pt idx="18">
                  <c:v>1.2237127287731262</c:v>
                </c:pt>
                <c:pt idx="19">
                  <c:v>1.231107691140273</c:v>
                </c:pt>
                <c:pt idx="20">
                  <c:v>1.2696060762711463</c:v>
                </c:pt>
                <c:pt idx="21">
                  <c:v>1.2721042622111138</c:v>
                </c:pt>
                <c:pt idx="22">
                  <c:v>1.3008600778741588</c:v>
                </c:pt>
                <c:pt idx="23">
                  <c:v>1.3685174031197089</c:v>
                </c:pt>
                <c:pt idx="24">
                  <c:v>1.3289187253679102</c:v>
                </c:pt>
                <c:pt idx="25">
                  <c:v>1.3604549140870652</c:v>
                </c:pt>
                <c:pt idx="26">
                  <c:v>1.4559550966787289</c:v>
                </c:pt>
                <c:pt idx="27">
                  <c:v>1.4973393786192277</c:v>
                </c:pt>
                <c:pt idx="28">
                  <c:v>1.5319784399557987</c:v>
                </c:pt>
                <c:pt idx="29">
                  <c:v>1.5313618966768321</c:v>
                </c:pt>
                <c:pt idx="30">
                  <c:v>1.4872363684652343</c:v>
                </c:pt>
                <c:pt idx="31">
                  <c:v>1.5128976111319261</c:v>
                </c:pt>
                <c:pt idx="32">
                  <c:v>1.5308496914912286</c:v>
                </c:pt>
                <c:pt idx="33">
                  <c:v>1.5572982124987549</c:v>
                </c:pt>
                <c:pt idx="34">
                  <c:v>1.5571701612023541</c:v>
                </c:pt>
                <c:pt idx="35">
                  <c:v>1.5388540831764306</c:v>
                </c:pt>
                <c:pt idx="36">
                  <c:v>1.5777366221965063</c:v>
                </c:pt>
                <c:pt idx="37">
                  <c:v>1.5984512907096413</c:v>
                </c:pt>
                <c:pt idx="38">
                  <c:v>1.5231108876800425</c:v>
                </c:pt>
                <c:pt idx="39">
                  <c:v>1.5365788013450128</c:v>
                </c:pt>
                <c:pt idx="40">
                  <c:v>1.5887051642613572</c:v>
                </c:pt>
                <c:pt idx="41">
                  <c:v>1.607084082275329</c:v>
                </c:pt>
                <c:pt idx="42">
                  <c:v>1.676453500780164</c:v>
                </c:pt>
                <c:pt idx="43">
                  <c:v>1.6850222666976515</c:v>
                </c:pt>
                <c:pt idx="44">
                  <c:v>1.658024785039814</c:v>
                </c:pt>
                <c:pt idx="45">
                  <c:v>1.6239334986934022</c:v>
                </c:pt>
                <c:pt idx="46">
                  <c:v>1.7463730655954619</c:v>
                </c:pt>
                <c:pt idx="47">
                  <c:v>1.7468663002186353</c:v>
                </c:pt>
                <c:pt idx="48">
                  <c:v>1.7445293640593205</c:v>
                </c:pt>
                <c:pt idx="49">
                  <c:v>1.8012774302476129</c:v>
                </c:pt>
                <c:pt idx="50">
                  <c:v>1.8356580176710786</c:v>
                </c:pt>
                <c:pt idx="51">
                  <c:v>1.762930809616178</c:v>
                </c:pt>
                <c:pt idx="52">
                  <c:v>1.7152649001911282</c:v>
                </c:pt>
                <c:pt idx="53">
                  <c:v>1.6963085656832009</c:v>
                </c:pt>
                <c:pt idx="54">
                  <c:v>1.7121584705932564</c:v>
                </c:pt>
                <c:pt idx="55">
                  <c:v>1.7857689954612925</c:v>
                </c:pt>
                <c:pt idx="56">
                  <c:v>1.8201021564786839</c:v>
                </c:pt>
                <c:pt idx="57">
                  <c:v>1.8633194690139574</c:v>
                </c:pt>
                <c:pt idx="58">
                  <c:v>1.8211965207988505</c:v>
                </c:pt>
                <c:pt idx="59">
                  <c:v>1.8529425713648848</c:v>
                </c:pt>
                <c:pt idx="60">
                  <c:v>1.8965499660901197</c:v>
                </c:pt>
                <c:pt idx="61">
                  <c:v>1.8781295499708328</c:v>
                </c:pt>
                <c:pt idx="62">
                  <c:v>1.9742118916970592</c:v>
                </c:pt>
                <c:pt idx="63">
                  <c:v>2.0706036907229208</c:v>
                </c:pt>
                <c:pt idx="64">
                  <c:v>1.6654399036295429</c:v>
                </c:pt>
                <c:pt idx="65">
                  <c:v>1.8724727653863118</c:v>
                </c:pt>
                <c:pt idx="66">
                  <c:v>2.0839162829079974</c:v>
                </c:pt>
                <c:pt idx="67">
                  <c:v>1.9744264961845452</c:v>
                </c:pt>
                <c:pt idx="68">
                  <c:v>1.9923406354189883</c:v>
                </c:pt>
                <c:pt idx="69">
                  <c:v>2.0596896890250553</c:v>
                </c:pt>
                <c:pt idx="70">
                  <c:v>2.0536072524460169</c:v>
                </c:pt>
                <c:pt idx="71">
                  <c:v>2.0788096446339397</c:v>
                </c:pt>
                <c:pt idx="72">
                  <c:v>2.0956638036926205</c:v>
                </c:pt>
                <c:pt idx="73">
                  <c:v>2.0598106263605449</c:v>
                </c:pt>
                <c:pt idx="74">
                  <c:v>2.1045669257729314</c:v>
                </c:pt>
                <c:pt idx="75">
                  <c:v>2.1597997182871471</c:v>
                </c:pt>
                <c:pt idx="76">
                  <c:v>2.2110380217497489</c:v>
                </c:pt>
                <c:pt idx="77">
                  <c:v>2.1460745163692234</c:v>
                </c:pt>
                <c:pt idx="78">
                  <c:v>2.1299649518859103</c:v>
                </c:pt>
                <c:pt idx="79">
                  <c:v>2.1764926275651746</c:v>
                </c:pt>
                <c:pt idx="80">
                  <c:v>2.021518546096094</c:v>
                </c:pt>
                <c:pt idx="81">
                  <c:v>2.0229342243174138</c:v>
                </c:pt>
                <c:pt idx="82">
                  <c:v>2.0569448857734995</c:v>
                </c:pt>
                <c:pt idx="83">
                  <c:v>2.156150256339723</c:v>
                </c:pt>
                <c:pt idx="84">
                  <c:v>2.4152739112082804</c:v>
                </c:pt>
                <c:pt idx="85">
                  <c:v>2.3386968646402924</c:v>
                </c:pt>
                <c:pt idx="86">
                  <c:v>2.2869997106989213</c:v>
                </c:pt>
                <c:pt idx="87">
                  <c:v>2.2961328508486938</c:v>
                </c:pt>
                <c:pt idx="88">
                  <c:v>2.3356509037101656</c:v>
                </c:pt>
                <c:pt idx="89">
                  <c:v>2.3518825911891206</c:v>
                </c:pt>
                <c:pt idx="90">
                  <c:v>2.4064229581746504</c:v>
                </c:pt>
                <c:pt idx="91">
                  <c:v>2.4359802801003516</c:v>
                </c:pt>
                <c:pt idx="92">
                  <c:v>2.3323559541481482</c:v>
                </c:pt>
                <c:pt idx="93">
                  <c:v>2.3738825153068701</c:v>
                </c:pt>
                <c:pt idx="94">
                  <c:v>2.4399249714255875</c:v>
                </c:pt>
                <c:pt idx="95">
                  <c:v>2.423382640986846</c:v>
                </c:pt>
                <c:pt idx="96">
                  <c:v>2.4424919256543633</c:v>
                </c:pt>
                <c:pt idx="97">
                  <c:v>2.4867704040255512</c:v>
                </c:pt>
                <c:pt idx="98">
                  <c:v>2.5009722413245226</c:v>
                </c:pt>
                <c:pt idx="99">
                  <c:v>2.4742261196188791</c:v>
                </c:pt>
                <c:pt idx="100">
                  <c:v>2.5689188676471262</c:v>
                </c:pt>
                <c:pt idx="101">
                  <c:v>2.4956379563013069</c:v>
                </c:pt>
                <c:pt idx="102">
                  <c:v>2.2969794121971208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92-473F-92A3-3A49CDED4351}"/>
            </c:ext>
          </c:extLst>
        </c:ser>
        <c:ser>
          <c:idx val="1"/>
          <c:order val="1"/>
          <c:tx>
            <c:strRef>
              <c:f>Dados!$V$2</c:f>
              <c:strCache>
                <c:ptCount val="1"/>
                <c:pt idx="0">
                  <c:v>Indústria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Dados!$A$3:$A$105</c:f>
              <c:numCache>
                <c:formatCode>mm/yyyy</c:formatCode>
                <c:ptCount val="103"/>
                <c:pt idx="0">
                  <c:v>35125</c:v>
                </c:pt>
                <c:pt idx="1">
                  <c:v>35246</c:v>
                </c:pt>
                <c:pt idx="2">
                  <c:v>35338</c:v>
                </c:pt>
                <c:pt idx="3">
                  <c:v>35430</c:v>
                </c:pt>
                <c:pt idx="4">
                  <c:v>35520</c:v>
                </c:pt>
                <c:pt idx="5">
                  <c:v>35611</c:v>
                </c:pt>
                <c:pt idx="6">
                  <c:v>35703</c:v>
                </c:pt>
                <c:pt idx="7">
                  <c:v>35795</c:v>
                </c:pt>
                <c:pt idx="8">
                  <c:v>35885</c:v>
                </c:pt>
                <c:pt idx="9">
                  <c:v>35976</c:v>
                </c:pt>
                <c:pt idx="10">
                  <c:v>36068</c:v>
                </c:pt>
                <c:pt idx="11">
                  <c:v>36160</c:v>
                </c:pt>
                <c:pt idx="12">
                  <c:v>36250</c:v>
                </c:pt>
                <c:pt idx="13">
                  <c:v>36341</c:v>
                </c:pt>
                <c:pt idx="14">
                  <c:v>36433</c:v>
                </c:pt>
                <c:pt idx="15">
                  <c:v>36525</c:v>
                </c:pt>
                <c:pt idx="16">
                  <c:v>36616</c:v>
                </c:pt>
                <c:pt idx="17">
                  <c:v>36707</c:v>
                </c:pt>
                <c:pt idx="18">
                  <c:v>36799</c:v>
                </c:pt>
                <c:pt idx="19">
                  <c:v>36891</c:v>
                </c:pt>
                <c:pt idx="20">
                  <c:v>36981</c:v>
                </c:pt>
                <c:pt idx="21">
                  <c:v>37072</c:v>
                </c:pt>
                <c:pt idx="22">
                  <c:v>37164</c:v>
                </c:pt>
                <c:pt idx="23">
                  <c:v>37256</c:v>
                </c:pt>
                <c:pt idx="24">
                  <c:v>37346</c:v>
                </c:pt>
                <c:pt idx="25">
                  <c:v>37437</c:v>
                </c:pt>
                <c:pt idx="26">
                  <c:v>37529</c:v>
                </c:pt>
                <c:pt idx="27">
                  <c:v>37621</c:v>
                </c:pt>
                <c:pt idx="28">
                  <c:v>37711</c:v>
                </c:pt>
                <c:pt idx="29">
                  <c:v>37802</c:v>
                </c:pt>
                <c:pt idx="30">
                  <c:v>37894</c:v>
                </c:pt>
                <c:pt idx="31">
                  <c:v>37986</c:v>
                </c:pt>
                <c:pt idx="32">
                  <c:v>38077</c:v>
                </c:pt>
                <c:pt idx="33">
                  <c:v>38168</c:v>
                </c:pt>
                <c:pt idx="34">
                  <c:v>38260</c:v>
                </c:pt>
                <c:pt idx="35">
                  <c:v>38352</c:v>
                </c:pt>
                <c:pt idx="36">
                  <c:v>38442</c:v>
                </c:pt>
                <c:pt idx="37">
                  <c:v>38533</c:v>
                </c:pt>
                <c:pt idx="38">
                  <c:v>38625</c:v>
                </c:pt>
                <c:pt idx="39">
                  <c:v>38717</c:v>
                </c:pt>
                <c:pt idx="40">
                  <c:v>38807</c:v>
                </c:pt>
                <c:pt idx="41">
                  <c:v>38898</c:v>
                </c:pt>
                <c:pt idx="42">
                  <c:v>38990</c:v>
                </c:pt>
                <c:pt idx="43">
                  <c:v>39082</c:v>
                </c:pt>
                <c:pt idx="44">
                  <c:v>39172</c:v>
                </c:pt>
                <c:pt idx="45">
                  <c:v>39263</c:v>
                </c:pt>
                <c:pt idx="46">
                  <c:v>39355</c:v>
                </c:pt>
                <c:pt idx="47">
                  <c:v>39447</c:v>
                </c:pt>
                <c:pt idx="48">
                  <c:v>39538</c:v>
                </c:pt>
                <c:pt idx="49">
                  <c:v>39629</c:v>
                </c:pt>
                <c:pt idx="50">
                  <c:v>39721</c:v>
                </c:pt>
                <c:pt idx="51">
                  <c:v>39813</c:v>
                </c:pt>
                <c:pt idx="52">
                  <c:v>39903</c:v>
                </c:pt>
                <c:pt idx="53">
                  <c:v>39994</c:v>
                </c:pt>
                <c:pt idx="54">
                  <c:v>40086</c:v>
                </c:pt>
                <c:pt idx="55">
                  <c:v>40178</c:v>
                </c:pt>
                <c:pt idx="56">
                  <c:v>40268</c:v>
                </c:pt>
                <c:pt idx="57">
                  <c:v>40359</c:v>
                </c:pt>
                <c:pt idx="58">
                  <c:v>40451</c:v>
                </c:pt>
                <c:pt idx="59">
                  <c:v>40543</c:v>
                </c:pt>
                <c:pt idx="60">
                  <c:v>40633</c:v>
                </c:pt>
                <c:pt idx="61">
                  <c:v>40724</c:v>
                </c:pt>
                <c:pt idx="62">
                  <c:v>40816</c:v>
                </c:pt>
                <c:pt idx="63">
                  <c:v>40908</c:v>
                </c:pt>
                <c:pt idx="64">
                  <c:v>40999</c:v>
                </c:pt>
                <c:pt idx="65">
                  <c:v>41090</c:v>
                </c:pt>
                <c:pt idx="66">
                  <c:v>41182</c:v>
                </c:pt>
                <c:pt idx="67">
                  <c:v>41274</c:v>
                </c:pt>
                <c:pt idx="68">
                  <c:v>41364</c:v>
                </c:pt>
                <c:pt idx="69">
                  <c:v>41455</c:v>
                </c:pt>
                <c:pt idx="70">
                  <c:v>41547</c:v>
                </c:pt>
                <c:pt idx="71">
                  <c:v>41639</c:v>
                </c:pt>
                <c:pt idx="72">
                  <c:v>41729</c:v>
                </c:pt>
                <c:pt idx="73">
                  <c:v>41820</c:v>
                </c:pt>
                <c:pt idx="74">
                  <c:v>41912</c:v>
                </c:pt>
                <c:pt idx="75">
                  <c:v>42004</c:v>
                </c:pt>
                <c:pt idx="76">
                  <c:v>42094</c:v>
                </c:pt>
                <c:pt idx="77">
                  <c:v>42185</c:v>
                </c:pt>
                <c:pt idx="78">
                  <c:v>42277</c:v>
                </c:pt>
                <c:pt idx="79">
                  <c:v>42369</c:v>
                </c:pt>
                <c:pt idx="80">
                  <c:v>42460</c:v>
                </c:pt>
                <c:pt idx="81">
                  <c:v>42551</c:v>
                </c:pt>
                <c:pt idx="82">
                  <c:v>42643</c:v>
                </c:pt>
                <c:pt idx="83">
                  <c:v>42735</c:v>
                </c:pt>
                <c:pt idx="84">
                  <c:v>42825</c:v>
                </c:pt>
                <c:pt idx="85">
                  <c:v>42916</c:v>
                </c:pt>
                <c:pt idx="86">
                  <c:v>43008</c:v>
                </c:pt>
                <c:pt idx="87">
                  <c:v>43100</c:v>
                </c:pt>
                <c:pt idx="88">
                  <c:v>43190</c:v>
                </c:pt>
                <c:pt idx="89">
                  <c:v>43281</c:v>
                </c:pt>
                <c:pt idx="90">
                  <c:v>43373</c:v>
                </c:pt>
                <c:pt idx="91">
                  <c:v>43465</c:v>
                </c:pt>
                <c:pt idx="92">
                  <c:v>43555</c:v>
                </c:pt>
                <c:pt idx="93">
                  <c:v>43646</c:v>
                </c:pt>
                <c:pt idx="94">
                  <c:v>43738</c:v>
                </c:pt>
                <c:pt idx="95">
                  <c:v>43830</c:v>
                </c:pt>
                <c:pt idx="96">
                  <c:v>43921</c:v>
                </c:pt>
                <c:pt idx="97">
                  <c:v>44012</c:v>
                </c:pt>
                <c:pt idx="98">
                  <c:v>44104</c:v>
                </c:pt>
                <c:pt idx="99">
                  <c:v>44196</c:v>
                </c:pt>
                <c:pt idx="100">
                  <c:v>44286</c:v>
                </c:pt>
                <c:pt idx="101">
                  <c:v>44377</c:v>
                </c:pt>
                <c:pt idx="102">
                  <c:v>44469</c:v>
                </c:pt>
              </c:numCache>
            </c:numRef>
          </c:cat>
          <c:val>
            <c:numRef>
              <c:f>Dados!$V$3:$V$105</c:f>
              <c:numCache>
                <c:formatCode>0.0</c:formatCode>
                <c:ptCount val="103"/>
                <c:pt idx="0" formatCode="General">
                  <c:v>1</c:v>
                </c:pt>
                <c:pt idx="1">
                  <c:v>0.96435693369886633</c:v>
                </c:pt>
                <c:pt idx="2">
                  <c:v>1.0501425468254142</c:v>
                </c:pt>
                <c:pt idx="3">
                  <c:v>0.98629635291805184</c:v>
                </c:pt>
                <c:pt idx="4">
                  <c:v>1.0375097709194876</c:v>
                </c:pt>
                <c:pt idx="5">
                  <c:v>1.033831801225958</c:v>
                </c:pt>
                <c:pt idx="6">
                  <c:v>1.0541159540845384</c:v>
                </c:pt>
                <c:pt idx="7">
                  <c:v>1.0504250244977982</c:v>
                </c:pt>
                <c:pt idx="8">
                  <c:v>1.0260832250742253</c:v>
                </c:pt>
                <c:pt idx="9">
                  <c:v>1.041163980808798</c:v>
                </c:pt>
                <c:pt idx="10">
                  <c:v>1.0267141798751576</c:v>
                </c:pt>
                <c:pt idx="11">
                  <c:v>0.99472340347915511</c:v>
                </c:pt>
                <c:pt idx="12">
                  <c:v>0.9906801567955078</c:v>
                </c:pt>
                <c:pt idx="13">
                  <c:v>0.98830945633007972</c:v>
                </c:pt>
                <c:pt idx="14">
                  <c:v>0.99169030847185791</c:v>
                </c:pt>
                <c:pt idx="15">
                  <c:v>1.0108755103857943</c:v>
                </c:pt>
                <c:pt idx="16">
                  <c:v>1.0241224412310841</c:v>
                </c:pt>
                <c:pt idx="17">
                  <c:v>1.036008343291251</c:v>
                </c:pt>
                <c:pt idx="18">
                  <c:v>1.0395449541495776</c:v>
                </c:pt>
                <c:pt idx="19">
                  <c:v>1.0562706563297914</c:v>
                </c:pt>
                <c:pt idx="20">
                  <c:v>1.0630671603265986</c:v>
                </c:pt>
                <c:pt idx="21">
                  <c:v>1.0437115598167468</c:v>
                </c:pt>
                <c:pt idx="22">
                  <c:v>1.0105709528953479</c:v>
                </c:pt>
                <c:pt idx="23">
                  <c:v>1.0105627929625858</c:v>
                </c:pt>
                <c:pt idx="24">
                  <c:v>1.0522922091121969</c:v>
                </c:pt>
                <c:pt idx="25">
                  <c:v>1.0604043822678899</c:v>
                </c:pt>
                <c:pt idx="26">
                  <c:v>1.069762865153991</c:v>
                </c:pt>
                <c:pt idx="27">
                  <c:v>1.102096358726004</c:v>
                </c:pt>
                <c:pt idx="28">
                  <c:v>1.0448505904311349</c:v>
                </c:pt>
                <c:pt idx="29">
                  <c:v>1.0527981249434504</c:v>
                </c:pt>
                <c:pt idx="30">
                  <c:v>1.0891189456598878</c:v>
                </c:pt>
                <c:pt idx="31">
                  <c:v>1.1020133194102479</c:v>
                </c:pt>
                <c:pt idx="32">
                  <c:v>1.1200690906306932</c:v>
                </c:pt>
                <c:pt idx="33">
                  <c:v>1.1471091878202924</c:v>
                </c:pt>
                <c:pt idx="34">
                  <c:v>1.1887589246264609</c:v>
                </c:pt>
                <c:pt idx="35">
                  <c:v>1.1869092598676985</c:v>
                </c:pt>
                <c:pt idx="36">
                  <c:v>1.1758916706526334</c:v>
                </c:pt>
                <c:pt idx="37">
                  <c:v>1.1974754128025982</c:v>
                </c:pt>
                <c:pt idx="38">
                  <c:v>1.1741252852076496</c:v>
                </c:pt>
                <c:pt idx="39">
                  <c:v>1.189265800449804</c:v>
                </c:pt>
                <c:pt idx="40">
                  <c:v>1.2010269035383145</c:v>
                </c:pt>
                <c:pt idx="41">
                  <c:v>1.1862927049481109</c:v>
                </c:pt>
                <c:pt idx="42">
                  <c:v>1.2057349447440553</c:v>
                </c:pt>
                <c:pt idx="43">
                  <c:v>1.2402245805494561</c:v>
                </c:pt>
                <c:pt idx="44">
                  <c:v>1.2464057296167879</c:v>
                </c:pt>
                <c:pt idx="45">
                  <c:v>1.2890051385976578</c:v>
                </c:pt>
                <c:pt idx="46">
                  <c:v>1.2931796641995668</c:v>
                </c:pt>
                <c:pt idx="47">
                  <c:v>1.3043321323032295</c:v>
                </c:pt>
                <c:pt idx="48">
                  <c:v>1.3383770517730931</c:v>
                </c:pt>
                <c:pt idx="49">
                  <c:v>1.3462009873038643</c:v>
                </c:pt>
                <c:pt idx="50">
                  <c:v>1.3839622761508443</c:v>
                </c:pt>
                <c:pt idx="51">
                  <c:v>1.2753336512507134</c:v>
                </c:pt>
                <c:pt idx="52">
                  <c:v>1.1905889095473852</c:v>
                </c:pt>
                <c:pt idx="53">
                  <c:v>1.250537055574662</c:v>
                </c:pt>
                <c:pt idx="54">
                  <c:v>1.2988308976334033</c:v>
                </c:pt>
                <c:pt idx="55">
                  <c:v>1.3525933346309225</c:v>
                </c:pt>
                <c:pt idx="56">
                  <c:v>1.3676642504465764</c:v>
                </c:pt>
                <c:pt idx="57">
                  <c:v>1.4042375490825953</c:v>
                </c:pt>
                <c:pt idx="58">
                  <c:v>1.4094851058427278</c:v>
                </c:pt>
                <c:pt idx="59">
                  <c:v>1.4312639663849169</c:v>
                </c:pt>
                <c:pt idx="60">
                  <c:v>1.4326624348615367</c:v>
                </c:pt>
                <c:pt idx="61">
                  <c:v>1.4834630562644162</c:v>
                </c:pt>
                <c:pt idx="62">
                  <c:v>1.4656914427025121</c:v>
                </c:pt>
                <c:pt idx="63">
                  <c:v>1.4616376361058785</c:v>
                </c:pt>
                <c:pt idx="64">
                  <c:v>1.4638513778646465</c:v>
                </c:pt>
                <c:pt idx="65">
                  <c:v>1.4360718467679827</c:v>
                </c:pt>
                <c:pt idx="66">
                  <c:v>1.4574923902627042</c:v>
                </c:pt>
                <c:pt idx="67">
                  <c:v>1.4447074556105657</c:v>
                </c:pt>
                <c:pt idx="68">
                  <c:v>1.4481303074062668</c:v>
                </c:pt>
                <c:pt idx="69">
                  <c:v>1.4930360973825574</c:v>
                </c:pt>
                <c:pt idx="70">
                  <c:v>1.4993926850042751</c:v>
                </c:pt>
                <c:pt idx="71">
                  <c:v>1.4870510266995396</c:v>
                </c:pt>
                <c:pt idx="72">
                  <c:v>1.4861546340858147</c:v>
                </c:pt>
                <c:pt idx="73">
                  <c:v>1.4532396253054871</c:v>
                </c:pt>
                <c:pt idx="74">
                  <c:v>1.4436927439717893</c:v>
                </c:pt>
                <c:pt idx="75">
                  <c:v>1.454774892654884</c:v>
                </c:pt>
                <c:pt idx="76">
                  <c:v>1.4279615935964682</c:v>
                </c:pt>
                <c:pt idx="77">
                  <c:v>1.3815363761402599</c:v>
                </c:pt>
                <c:pt idx="78">
                  <c:v>1.3574084149546601</c:v>
                </c:pt>
                <c:pt idx="79">
                  <c:v>1.3334933320149436</c:v>
                </c:pt>
                <c:pt idx="80">
                  <c:v>1.329715763142111</c:v>
                </c:pt>
                <c:pt idx="81">
                  <c:v>1.323241576489409</c:v>
                </c:pt>
                <c:pt idx="82">
                  <c:v>1.3093092112920983</c:v>
                </c:pt>
                <c:pt idx="83">
                  <c:v>1.286299400892936</c:v>
                </c:pt>
                <c:pt idx="84">
                  <c:v>1.2939901375212663</c:v>
                </c:pt>
                <c:pt idx="85">
                  <c:v>1.3043338122893864</c:v>
                </c:pt>
                <c:pt idx="86">
                  <c:v>1.3043921318088336</c:v>
                </c:pt>
                <c:pt idx="87">
                  <c:v>1.3187140137965261</c:v>
                </c:pt>
                <c:pt idx="88">
                  <c:v>1.322223264880297</c:v>
                </c:pt>
                <c:pt idx="89">
                  <c:v>1.307953462463469</c:v>
                </c:pt>
                <c:pt idx="90">
                  <c:v>1.3187915331577664</c:v>
                </c:pt>
                <c:pt idx="91">
                  <c:v>1.3096692083257231</c:v>
                </c:pt>
                <c:pt idx="92">
                  <c:v>1.293623180544992</c:v>
                </c:pt>
                <c:pt idx="93">
                  <c:v>1.3135422964114771</c:v>
                </c:pt>
                <c:pt idx="94">
                  <c:v>1.3095897689803033</c:v>
                </c:pt>
                <c:pt idx="95">
                  <c:v>1.306608993541893</c:v>
                </c:pt>
                <c:pt idx="96">
                  <c:v>1.2819635966199636</c:v>
                </c:pt>
                <c:pt idx="97">
                  <c:v>1.142653864532156</c:v>
                </c:pt>
                <c:pt idx="98">
                  <c:v>1.3038852559854905</c:v>
                </c:pt>
                <c:pt idx="99">
                  <c:v>1.31742714440033</c:v>
                </c:pt>
                <c:pt idx="100">
                  <c:v>1.3291500878032763</c:v>
                </c:pt>
                <c:pt idx="101">
                  <c:v>1.3218531879297313</c:v>
                </c:pt>
                <c:pt idx="102">
                  <c:v>1.3215080707734967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4EB-4095-872D-6511F1A8A7FE}"/>
            </c:ext>
          </c:extLst>
        </c:ser>
        <c:ser>
          <c:idx val="2"/>
          <c:order val="2"/>
          <c:tx>
            <c:strRef>
              <c:f>Dados!$W$2</c:f>
              <c:strCache>
                <c:ptCount val="1"/>
                <c:pt idx="0">
                  <c:v>Serviços</c:v>
                </c:pt>
              </c:strCache>
            </c:strRef>
          </c:tx>
          <c:spPr>
            <a:ln w="19050" cap="rnd">
              <a:solidFill>
                <a:sysClr val="windowText" lastClr="000000">
                  <a:lumMod val="50000"/>
                  <a:lumOff val="50000"/>
                </a:sysClr>
              </a:solidFill>
              <a:round/>
            </a:ln>
            <a:effectLst/>
          </c:spPr>
          <c:marker>
            <c:symbol val="none"/>
          </c:marker>
          <c:cat>
            <c:numRef>
              <c:f>Dados!$A$3:$A$105</c:f>
              <c:numCache>
                <c:formatCode>mm/yyyy</c:formatCode>
                <c:ptCount val="103"/>
                <c:pt idx="0">
                  <c:v>35125</c:v>
                </c:pt>
                <c:pt idx="1">
                  <c:v>35246</c:v>
                </c:pt>
                <c:pt idx="2">
                  <c:v>35338</c:v>
                </c:pt>
                <c:pt idx="3">
                  <c:v>35430</c:v>
                </c:pt>
                <c:pt idx="4">
                  <c:v>35520</c:v>
                </c:pt>
                <c:pt idx="5">
                  <c:v>35611</c:v>
                </c:pt>
                <c:pt idx="6">
                  <c:v>35703</c:v>
                </c:pt>
                <c:pt idx="7">
                  <c:v>35795</c:v>
                </c:pt>
                <c:pt idx="8">
                  <c:v>35885</c:v>
                </c:pt>
                <c:pt idx="9">
                  <c:v>35976</c:v>
                </c:pt>
                <c:pt idx="10">
                  <c:v>36068</c:v>
                </c:pt>
                <c:pt idx="11">
                  <c:v>36160</c:v>
                </c:pt>
                <c:pt idx="12">
                  <c:v>36250</c:v>
                </c:pt>
                <c:pt idx="13">
                  <c:v>36341</c:v>
                </c:pt>
                <c:pt idx="14">
                  <c:v>36433</c:v>
                </c:pt>
                <c:pt idx="15">
                  <c:v>36525</c:v>
                </c:pt>
                <c:pt idx="16">
                  <c:v>36616</c:v>
                </c:pt>
                <c:pt idx="17">
                  <c:v>36707</c:v>
                </c:pt>
                <c:pt idx="18">
                  <c:v>36799</c:v>
                </c:pt>
                <c:pt idx="19">
                  <c:v>36891</c:v>
                </c:pt>
                <c:pt idx="20">
                  <c:v>36981</c:v>
                </c:pt>
                <c:pt idx="21">
                  <c:v>37072</c:v>
                </c:pt>
                <c:pt idx="22">
                  <c:v>37164</c:v>
                </c:pt>
                <c:pt idx="23">
                  <c:v>37256</c:v>
                </c:pt>
                <c:pt idx="24">
                  <c:v>37346</c:v>
                </c:pt>
                <c:pt idx="25">
                  <c:v>37437</c:v>
                </c:pt>
                <c:pt idx="26">
                  <c:v>37529</c:v>
                </c:pt>
                <c:pt idx="27">
                  <c:v>37621</c:v>
                </c:pt>
                <c:pt idx="28">
                  <c:v>37711</c:v>
                </c:pt>
                <c:pt idx="29">
                  <c:v>37802</c:v>
                </c:pt>
                <c:pt idx="30">
                  <c:v>37894</c:v>
                </c:pt>
                <c:pt idx="31">
                  <c:v>37986</c:v>
                </c:pt>
                <c:pt idx="32">
                  <c:v>38077</c:v>
                </c:pt>
                <c:pt idx="33">
                  <c:v>38168</c:v>
                </c:pt>
                <c:pt idx="34">
                  <c:v>38260</c:v>
                </c:pt>
                <c:pt idx="35">
                  <c:v>38352</c:v>
                </c:pt>
                <c:pt idx="36">
                  <c:v>38442</c:v>
                </c:pt>
                <c:pt idx="37">
                  <c:v>38533</c:v>
                </c:pt>
                <c:pt idx="38">
                  <c:v>38625</c:v>
                </c:pt>
                <c:pt idx="39">
                  <c:v>38717</c:v>
                </c:pt>
                <c:pt idx="40">
                  <c:v>38807</c:v>
                </c:pt>
                <c:pt idx="41">
                  <c:v>38898</c:v>
                </c:pt>
                <c:pt idx="42">
                  <c:v>38990</c:v>
                </c:pt>
                <c:pt idx="43">
                  <c:v>39082</c:v>
                </c:pt>
                <c:pt idx="44">
                  <c:v>39172</c:v>
                </c:pt>
                <c:pt idx="45">
                  <c:v>39263</c:v>
                </c:pt>
                <c:pt idx="46">
                  <c:v>39355</c:v>
                </c:pt>
                <c:pt idx="47">
                  <c:v>39447</c:v>
                </c:pt>
                <c:pt idx="48">
                  <c:v>39538</c:v>
                </c:pt>
                <c:pt idx="49">
                  <c:v>39629</c:v>
                </c:pt>
                <c:pt idx="50">
                  <c:v>39721</c:v>
                </c:pt>
                <c:pt idx="51">
                  <c:v>39813</c:v>
                </c:pt>
                <c:pt idx="52">
                  <c:v>39903</c:v>
                </c:pt>
                <c:pt idx="53">
                  <c:v>39994</c:v>
                </c:pt>
                <c:pt idx="54">
                  <c:v>40086</c:v>
                </c:pt>
                <c:pt idx="55">
                  <c:v>40178</c:v>
                </c:pt>
                <c:pt idx="56">
                  <c:v>40268</c:v>
                </c:pt>
                <c:pt idx="57">
                  <c:v>40359</c:v>
                </c:pt>
                <c:pt idx="58">
                  <c:v>40451</c:v>
                </c:pt>
                <c:pt idx="59">
                  <c:v>40543</c:v>
                </c:pt>
                <c:pt idx="60">
                  <c:v>40633</c:v>
                </c:pt>
                <c:pt idx="61">
                  <c:v>40724</c:v>
                </c:pt>
                <c:pt idx="62">
                  <c:v>40816</c:v>
                </c:pt>
                <c:pt idx="63">
                  <c:v>40908</c:v>
                </c:pt>
                <c:pt idx="64">
                  <c:v>40999</c:v>
                </c:pt>
                <c:pt idx="65">
                  <c:v>41090</c:v>
                </c:pt>
                <c:pt idx="66">
                  <c:v>41182</c:v>
                </c:pt>
                <c:pt idx="67">
                  <c:v>41274</c:v>
                </c:pt>
                <c:pt idx="68">
                  <c:v>41364</c:v>
                </c:pt>
                <c:pt idx="69">
                  <c:v>41455</c:v>
                </c:pt>
                <c:pt idx="70">
                  <c:v>41547</c:v>
                </c:pt>
                <c:pt idx="71">
                  <c:v>41639</c:v>
                </c:pt>
                <c:pt idx="72">
                  <c:v>41729</c:v>
                </c:pt>
                <c:pt idx="73">
                  <c:v>41820</c:v>
                </c:pt>
                <c:pt idx="74">
                  <c:v>41912</c:v>
                </c:pt>
                <c:pt idx="75">
                  <c:v>42004</c:v>
                </c:pt>
                <c:pt idx="76">
                  <c:v>42094</c:v>
                </c:pt>
                <c:pt idx="77">
                  <c:v>42185</c:v>
                </c:pt>
                <c:pt idx="78">
                  <c:v>42277</c:v>
                </c:pt>
                <c:pt idx="79">
                  <c:v>42369</c:v>
                </c:pt>
                <c:pt idx="80">
                  <c:v>42460</c:v>
                </c:pt>
                <c:pt idx="81">
                  <c:v>42551</c:v>
                </c:pt>
                <c:pt idx="82">
                  <c:v>42643</c:v>
                </c:pt>
                <c:pt idx="83">
                  <c:v>42735</c:v>
                </c:pt>
                <c:pt idx="84">
                  <c:v>42825</c:v>
                </c:pt>
                <c:pt idx="85">
                  <c:v>42916</c:v>
                </c:pt>
                <c:pt idx="86">
                  <c:v>43008</c:v>
                </c:pt>
                <c:pt idx="87">
                  <c:v>43100</c:v>
                </c:pt>
                <c:pt idx="88">
                  <c:v>43190</c:v>
                </c:pt>
                <c:pt idx="89">
                  <c:v>43281</c:v>
                </c:pt>
                <c:pt idx="90">
                  <c:v>43373</c:v>
                </c:pt>
                <c:pt idx="91">
                  <c:v>43465</c:v>
                </c:pt>
                <c:pt idx="92">
                  <c:v>43555</c:v>
                </c:pt>
                <c:pt idx="93">
                  <c:v>43646</c:v>
                </c:pt>
                <c:pt idx="94">
                  <c:v>43738</c:v>
                </c:pt>
                <c:pt idx="95">
                  <c:v>43830</c:v>
                </c:pt>
                <c:pt idx="96">
                  <c:v>43921</c:v>
                </c:pt>
                <c:pt idx="97">
                  <c:v>44012</c:v>
                </c:pt>
                <c:pt idx="98">
                  <c:v>44104</c:v>
                </c:pt>
                <c:pt idx="99">
                  <c:v>44196</c:v>
                </c:pt>
                <c:pt idx="100">
                  <c:v>44286</c:v>
                </c:pt>
                <c:pt idx="101">
                  <c:v>44377</c:v>
                </c:pt>
                <c:pt idx="102">
                  <c:v>44469</c:v>
                </c:pt>
              </c:numCache>
            </c:numRef>
          </c:cat>
          <c:val>
            <c:numRef>
              <c:f>Dados!$W$3:$W$105</c:f>
              <c:numCache>
                <c:formatCode>0.0</c:formatCode>
                <c:ptCount val="103"/>
                <c:pt idx="0" formatCode="General">
                  <c:v>1</c:v>
                </c:pt>
                <c:pt idx="1">
                  <c:v>1.0124861025073646</c:v>
                </c:pt>
                <c:pt idx="2">
                  <c:v>1.0272711604179314</c:v>
                </c:pt>
                <c:pt idx="3">
                  <c:v>1.0062322791269611</c:v>
                </c:pt>
                <c:pt idx="4">
                  <c:v>1.0306447199961974</c:v>
                </c:pt>
                <c:pt idx="5">
                  <c:v>1.0350773293782076</c:v>
                </c:pt>
                <c:pt idx="6">
                  <c:v>1.0408985286917283</c:v>
                </c:pt>
                <c:pt idx="7">
                  <c:v>1.0531432969161378</c:v>
                </c:pt>
                <c:pt idx="8">
                  <c:v>1.0447113784960136</c:v>
                </c:pt>
                <c:pt idx="9">
                  <c:v>1.0538100094408267</c:v>
                </c:pt>
                <c:pt idx="10">
                  <c:v>1.0605755812987374</c:v>
                </c:pt>
                <c:pt idx="11">
                  <c:v>1.0603176299234411</c:v>
                </c:pt>
                <c:pt idx="12">
                  <c:v>1.072819383413127</c:v>
                </c:pt>
                <c:pt idx="13">
                  <c:v>1.0708076525188222</c:v>
                </c:pt>
                <c:pt idx="14">
                  <c:v>1.0710353646504975</c:v>
                </c:pt>
                <c:pt idx="15">
                  <c:v>1.082166691077046</c:v>
                </c:pt>
                <c:pt idx="16">
                  <c:v>1.0926289863148579</c:v>
                </c:pt>
                <c:pt idx="17">
                  <c:v>1.1056545646572991</c:v>
                </c:pt>
                <c:pt idx="18">
                  <c:v>1.1206015426071902</c:v>
                </c:pt>
                <c:pt idx="19">
                  <c:v>1.1340274769418515</c:v>
                </c:pt>
                <c:pt idx="20">
                  <c:v>1.1290899784634749</c:v>
                </c:pt>
                <c:pt idx="21">
                  <c:v>1.1398359236031106</c:v>
                </c:pt>
                <c:pt idx="22">
                  <c:v>1.1413396738489856</c:v>
                </c:pt>
                <c:pt idx="23">
                  <c:v>1.1437476064624252</c:v>
                </c:pt>
                <c:pt idx="24">
                  <c:v>1.1639565992463563</c:v>
                </c:pt>
                <c:pt idx="25">
                  <c:v>1.1664908990503906</c:v>
                </c:pt>
                <c:pt idx="26">
                  <c:v>1.1793347520981008</c:v>
                </c:pt>
                <c:pt idx="27">
                  <c:v>1.1864578812743529</c:v>
                </c:pt>
                <c:pt idx="28">
                  <c:v>1.1842842303407235</c:v>
                </c:pt>
                <c:pt idx="29">
                  <c:v>1.1750002994941058</c:v>
                </c:pt>
                <c:pt idx="30">
                  <c:v>1.1862075621682133</c:v>
                </c:pt>
                <c:pt idx="31">
                  <c:v>1.1981466531823466</c:v>
                </c:pt>
                <c:pt idx="32">
                  <c:v>1.2078538368286544</c:v>
                </c:pt>
                <c:pt idx="33">
                  <c:v>1.2385704354103277</c:v>
                </c:pt>
                <c:pt idx="34">
                  <c:v>1.2495010041747541</c:v>
                </c:pt>
                <c:pt idx="35">
                  <c:v>1.2704124555541081</c:v>
                </c:pt>
                <c:pt idx="36">
                  <c:v>1.2757058689637921</c:v>
                </c:pt>
                <c:pt idx="37">
                  <c:v>1.2887214963730289</c:v>
                </c:pt>
                <c:pt idx="38">
                  <c:v>1.295313844704383</c:v>
                </c:pt>
                <c:pt idx="39">
                  <c:v>1.305774883999169</c:v>
                </c:pt>
                <c:pt idx="40">
                  <c:v>1.3305985012928476</c:v>
                </c:pt>
                <c:pt idx="41">
                  <c:v>1.3371519153904026</c:v>
                </c:pt>
                <c:pt idx="42">
                  <c:v>1.3554144863173694</c:v>
                </c:pt>
                <c:pt idx="43">
                  <c:v>1.3660070131858553</c:v>
                </c:pt>
                <c:pt idx="44">
                  <c:v>1.4043727878495813</c:v>
                </c:pt>
                <c:pt idx="45">
                  <c:v>1.4165545657006975</c:v>
                </c:pt>
                <c:pt idx="46">
                  <c:v>1.4286847532767546</c:v>
                </c:pt>
                <c:pt idx="47">
                  <c:v>1.4503080345187238</c:v>
                </c:pt>
                <c:pt idx="48">
                  <c:v>1.4626130880083714</c:v>
                </c:pt>
                <c:pt idx="49">
                  <c:v>1.498622616944719</c:v>
                </c:pt>
                <c:pt idx="50">
                  <c:v>1.5146090326649519</c:v>
                </c:pt>
                <c:pt idx="51">
                  <c:v>1.4819366409591224</c:v>
                </c:pt>
                <c:pt idx="52">
                  <c:v>1.493702991501709</c:v>
                </c:pt>
                <c:pt idx="53">
                  <c:v>1.5088208743141094</c:v>
                </c:pt>
                <c:pt idx="54">
                  <c:v>1.5360146493194518</c:v>
                </c:pt>
                <c:pt idx="55">
                  <c:v>1.5580241813473517</c:v>
                </c:pt>
                <c:pt idx="56">
                  <c:v>1.5865211421584513</c:v>
                </c:pt>
                <c:pt idx="57">
                  <c:v>1.5996615909822509</c:v>
                </c:pt>
                <c:pt idx="58">
                  <c:v>1.6238965574408435</c:v>
                </c:pt>
                <c:pt idx="59">
                  <c:v>1.6407540179549609</c:v>
                </c:pt>
                <c:pt idx="60">
                  <c:v>1.6607450563184167</c:v>
                </c:pt>
                <c:pt idx="61">
                  <c:v>1.669643219434114</c:v>
                </c:pt>
                <c:pt idx="62">
                  <c:v>1.6695300879507911</c:v>
                </c:pt>
                <c:pt idx="63">
                  <c:v>1.6783657437482047</c:v>
                </c:pt>
                <c:pt idx="64">
                  <c:v>1.6763702435022332</c:v>
                </c:pt>
                <c:pt idx="65">
                  <c:v>1.7104319014165872</c:v>
                </c:pt>
                <c:pt idx="66">
                  <c:v>1.7279917239151257</c:v>
                </c:pt>
                <c:pt idx="67">
                  <c:v>1.7367585926791271</c:v>
                </c:pt>
                <c:pt idx="68">
                  <c:v>1.7429096219534201</c:v>
                </c:pt>
                <c:pt idx="69">
                  <c:v>1.763621958057686</c:v>
                </c:pt>
                <c:pt idx="70">
                  <c:v>1.7723378162126402</c:v>
                </c:pt>
                <c:pt idx="71">
                  <c:v>1.7782177550153671</c:v>
                </c:pt>
                <c:pt idx="72">
                  <c:v>1.7918734303127455</c:v>
                </c:pt>
                <c:pt idx="73">
                  <c:v>1.7754850162132587</c:v>
                </c:pt>
                <c:pt idx="74">
                  <c:v>1.7791068660666225</c:v>
                </c:pt>
                <c:pt idx="75">
                  <c:v>1.7814949934246558</c:v>
                </c:pt>
                <c:pt idx="76">
                  <c:v>1.7700035977937147</c:v>
                </c:pt>
                <c:pt idx="77">
                  <c:v>1.7366757004394262</c:v>
                </c:pt>
                <c:pt idx="78">
                  <c:v>1.7178874690506662</c:v>
                </c:pt>
                <c:pt idx="79">
                  <c:v>1.7100208216031483</c:v>
                </c:pt>
                <c:pt idx="80">
                  <c:v>1.6928117936528122</c:v>
                </c:pt>
                <c:pt idx="81">
                  <c:v>1.7001891063752832</c:v>
                </c:pt>
                <c:pt idx="82">
                  <c:v>1.6892536104497555</c:v>
                </c:pt>
                <c:pt idx="83">
                  <c:v>1.6805043248881153</c:v>
                </c:pt>
                <c:pt idx="84">
                  <c:v>1.6887405094182208</c:v>
                </c:pt>
                <c:pt idx="85">
                  <c:v>1.7060042191956792</c:v>
                </c:pt>
                <c:pt idx="86">
                  <c:v>1.7170181632548176</c:v>
                </c:pt>
                <c:pt idx="87">
                  <c:v>1.7208325588351348</c:v>
                </c:pt>
                <c:pt idx="88">
                  <c:v>1.7341584041717408</c:v>
                </c:pt>
                <c:pt idx="89">
                  <c:v>1.741358628927576</c:v>
                </c:pt>
                <c:pt idx="90">
                  <c:v>1.7522013782911992</c:v>
                </c:pt>
                <c:pt idx="91">
                  <c:v>1.7442113585941481</c:v>
                </c:pt>
                <c:pt idx="92">
                  <c:v>1.7687609870862013</c:v>
                </c:pt>
                <c:pt idx="93">
                  <c:v>1.7685329851215199</c:v>
                </c:pt>
                <c:pt idx="94">
                  <c:v>1.7692509980882623</c:v>
                </c:pt>
                <c:pt idx="95">
                  <c:v>1.7710050674402769</c:v>
                </c:pt>
                <c:pt idx="96">
                  <c:v>1.742679108102688</c:v>
                </c:pt>
                <c:pt idx="97">
                  <c:v>1.5863002894079181</c:v>
                </c:pt>
                <c:pt idx="98">
                  <c:v>1.6846466182091653</c:v>
                </c:pt>
                <c:pt idx="99">
                  <c:v>1.7357599247516236</c:v>
                </c:pt>
                <c:pt idx="100">
                  <c:v>1.752074334823591</c:v>
                </c:pt>
                <c:pt idx="101">
                  <c:v>1.7621565623795992</c:v>
                </c:pt>
                <c:pt idx="102">
                  <c:v>1.7821028698491368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4EB-4095-872D-6511F1A8A7FE}"/>
            </c:ext>
          </c:extLst>
        </c:ser>
        <c:ser>
          <c:idx val="3"/>
          <c:order val="3"/>
          <c:tx>
            <c:strRef>
              <c:f>Dados!$X$2</c:f>
              <c:strCache>
                <c:ptCount val="1"/>
                <c:pt idx="0">
                  <c:v>Valor Adicionado</c:v>
                </c:pt>
              </c:strCache>
            </c:strRef>
          </c:tx>
          <c:spPr>
            <a:ln w="2540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Dados!$A$3:$A$105</c:f>
              <c:numCache>
                <c:formatCode>mm/yyyy</c:formatCode>
                <c:ptCount val="103"/>
                <c:pt idx="0">
                  <c:v>35125</c:v>
                </c:pt>
                <c:pt idx="1">
                  <c:v>35246</c:v>
                </c:pt>
                <c:pt idx="2">
                  <c:v>35338</c:v>
                </c:pt>
                <c:pt idx="3">
                  <c:v>35430</c:v>
                </c:pt>
                <c:pt idx="4">
                  <c:v>35520</c:v>
                </c:pt>
                <c:pt idx="5">
                  <c:v>35611</c:v>
                </c:pt>
                <c:pt idx="6">
                  <c:v>35703</c:v>
                </c:pt>
                <c:pt idx="7">
                  <c:v>35795</c:v>
                </c:pt>
                <c:pt idx="8">
                  <c:v>35885</c:v>
                </c:pt>
                <c:pt idx="9">
                  <c:v>35976</c:v>
                </c:pt>
                <c:pt idx="10">
                  <c:v>36068</c:v>
                </c:pt>
                <c:pt idx="11">
                  <c:v>36160</c:v>
                </c:pt>
                <c:pt idx="12">
                  <c:v>36250</c:v>
                </c:pt>
                <c:pt idx="13">
                  <c:v>36341</c:v>
                </c:pt>
                <c:pt idx="14">
                  <c:v>36433</c:v>
                </c:pt>
                <c:pt idx="15">
                  <c:v>36525</c:v>
                </c:pt>
                <c:pt idx="16">
                  <c:v>36616</c:v>
                </c:pt>
                <c:pt idx="17">
                  <c:v>36707</c:v>
                </c:pt>
                <c:pt idx="18">
                  <c:v>36799</c:v>
                </c:pt>
                <c:pt idx="19">
                  <c:v>36891</c:v>
                </c:pt>
                <c:pt idx="20">
                  <c:v>36981</c:v>
                </c:pt>
                <c:pt idx="21">
                  <c:v>37072</c:v>
                </c:pt>
                <c:pt idx="22">
                  <c:v>37164</c:v>
                </c:pt>
                <c:pt idx="23">
                  <c:v>37256</c:v>
                </c:pt>
                <c:pt idx="24">
                  <c:v>37346</c:v>
                </c:pt>
                <c:pt idx="25">
                  <c:v>37437</c:v>
                </c:pt>
                <c:pt idx="26">
                  <c:v>37529</c:v>
                </c:pt>
                <c:pt idx="27">
                  <c:v>37621</c:v>
                </c:pt>
                <c:pt idx="28">
                  <c:v>37711</c:v>
                </c:pt>
                <c:pt idx="29">
                  <c:v>37802</c:v>
                </c:pt>
                <c:pt idx="30">
                  <c:v>37894</c:v>
                </c:pt>
                <c:pt idx="31">
                  <c:v>37986</c:v>
                </c:pt>
                <c:pt idx="32">
                  <c:v>38077</c:v>
                </c:pt>
                <c:pt idx="33">
                  <c:v>38168</c:v>
                </c:pt>
                <c:pt idx="34">
                  <c:v>38260</c:v>
                </c:pt>
                <c:pt idx="35">
                  <c:v>38352</c:v>
                </c:pt>
                <c:pt idx="36">
                  <c:v>38442</c:v>
                </c:pt>
                <c:pt idx="37">
                  <c:v>38533</c:v>
                </c:pt>
                <c:pt idx="38">
                  <c:v>38625</c:v>
                </c:pt>
                <c:pt idx="39">
                  <c:v>38717</c:v>
                </c:pt>
                <c:pt idx="40">
                  <c:v>38807</c:v>
                </c:pt>
                <c:pt idx="41">
                  <c:v>38898</c:v>
                </c:pt>
                <c:pt idx="42">
                  <c:v>38990</c:v>
                </c:pt>
                <c:pt idx="43">
                  <c:v>39082</c:v>
                </c:pt>
                <c:pt idx="44">
                  <c:v>39172</c:v>
                </c:pt>
                <c:pt idx="45">
                  <c:v>39263</c:v>
                </c:pt>
                <c:pt idx="46">
                  <c:v>39355</c:v>
                </c:pt>
                <c:pt idx="47">
                  <c:v>39447</c:v>
                </c:pt>
                <c:pt idx="48">
                  <c:v>39538</c:v>
                </c:pt>
                <c:pt idx="49">
                  <c:v>39629</c:v>
                </c:pt>
                <c:pt idx="50">
                  <c:v>39721</c:v>
                </c:pt>
                <c:pt idx="51">
                  <c:v>39813</c:v>
                </c:pt>
                <c:pt idx="52">
                  <c:v>39903</c:v>
                </c:pt>
                <c:pt idx="53">
                  <c:v>39994</c:v>
                </c:pt>
                <c:pt idx="54">
                  <c:v>40086</c:v>
                </c:pt>
                <c:pt idx="55">
                  <c:v>40178</c:v>
                </c:pt>
                <c:pt idx="56">
                  <c:v>40268</c:v>
                </c:pt>
                <c:pt idx="57">
                  <c:v>40359</c:v>
                </c:pt>
                <c:pt idx="58">
                  <c:v>40451</c:v>
                </c:pt>
                <c:pt idx="59">
                  <c:v>40543</c:v>
                </c:pt>
                <c:pt idx="60">
                  <c:v>40633</c:v>
                </c:pt>
                <c:pt idx="61">
                  <c:v>40724</c:v>
                </c:pt>
                <c:pt idx="62">
                  <c:v>40816</c:v>
                </c:pt>
                <c:pt idx="63">
                  <c:v>40908</c:v>
                </c:pt>
                <c:pt idx="64">
                  <c:v>40999</c:v>
                </c:pt>
                <c:pt idx="65">
                  <c:v>41090</c:v>
                </c:pt>
                <c:pt idx="66">
                  <c:v>41182</c:v>
                </c:pt>
                <c:pt idx="67">
                  <c:v>41274</c:v>
                </c:pt>
                <c:pt idx="68">
                  <c:v>41364</c:v>
                </c:pt>
                <c:pt idx="69">
                  <c:v>41455</c:v>
                </c:pt>
                <c:pt idx="70">
                  <c:v>41547</c:v>
                </c:pt>
                <c:pt idx="71">
                  <c:v>41639</c:v>
                </c:pt>
                <c:pt idx="72">
                  <c:v>41729</c:v>
                </c:pt>
                <c:pt idx="73">
                  <c:v>41820</c:v>
                </c:pt>
                <c:pt idx="74">
                  <c:v>41912</c:v>
                </c:pt>
                <c:pt idx="75">
                  <c:v>42004</c:v>
                </c:pt>
                <c:pt idx="76">
                  <c:v>42094</c:v>
                </c:pt>
                <c:pt idx="77">
                  <c:v>42185</c:v>
                </c:pt>
                <c:pt idx="78">
                  <c:v>42277</c:v>
                </c:pt>
                <c:pt idx="79">
                  <c:v>42369</c:v>
                </c:pt>
                <c:pt idx="80">
                  <c:v>42460</c:v>
                </c:pt>
                <c:pt idx="81">
                  <c:v>42551</c:v>
                </c:pt>
                <c:pt idx="82">
                  <c:v>42643</c:v>
                </c:pt>
                <c:pt idx="83">
                  <c:v>42735</c:v>
                </c:pt>
                <c:pt idx="84">
                  <c:v>42825</c:v>
                </c:pt>
                <c:pt idx="85">
                  <c:v>42916</c:v>
                </c:pt>
                <c:pt idx="86">
                  <c:v>43008</c:v>
                </c:pt>
                <c:pt idx="87">
                  <c:v>43100</c:v>
                </c:pt>
                <c:pt idx="88">
                  <c:v>43190</c:v>
                </c:pt>
                <c:pt idx="89">
                  <c:v>43281</c:v>
                </c:pt>
                <c:pt idx="90">
                  <c:v>43373</c:v>
                </c:pt>
                <c:pt idx="91">
                  <c:v>43465</c:v>
                </c:pt>
                <c:pt idx="92">
                  <c:v>43555</c:v>
                </c:pt>
                <c:pt idx="93">
                  <c:v>43646</c:v>
                </c:pt>
                <c:pt idx="94">
                  <c:v>43738</c:v>
                </c:pt>
                <c:pt idx="95">
                  <c:v>43830</c:v>
                </c:pt>
                <c:pt idx="96">
                  <c:v>43921</c:v>
                </c:pt>
                <c:pt idx="97">
                  <c:v>44012</c:v>
                </c:pt>
                <c:pt idx="98">
                  <c:v>44104</c:v>
                </c:pt>
                <c:pt idx="99">
                  <c:v>44196</c:v>
                </c:pt>
                <c:pt idx="100">
                  <c:v>44286</c:v>
                </c:pt>
                <c:pt idx="101">
                  <c:v>44377</c:v>
                </c:pt>
                <c:pt idx="102">
                  <c:v>44469</c:v>
                </c:pt>
              </c:numCache>
            </c:numRef>
          </c:cat>
          <c:val>
            <c:numRef>
              <c:f>Dados!$X$3:$X$105</c:f>
              <c:numCache>
                <c:formatCode>0.0</c:formatCode>
                <c:ptCount val="103"/>
                <c:pt idx="0" formatCode="General">
                  <c:v>1</c:v>
                </c:pt>
                <c:pt idx="1">
                  <c:v>1.0066100896582637</c:v>
                </c:pt>
                <c:pt idx="2">
                  <c:v>1.0449803472306067</c:v>
                </c:pt>
                <c:pt idx="3">
                  <c:v>1.0199701449374536</c:v>
                </c:pt>
                <c:pt idx="4">
                  <c:v>1.0377878780370746</c:v>
                </c:pt>
                <c:pt idx="5">
                  <c:v>1.04484119227806</c:v>
                </c:pt>
                <c:pt idx="6">
                  <c:v>1.0551777244055498</c:v>
                </c:pt>
                <c:pt idx="7">
                  <c:v>1.064953245115779</c:v>
                </c:pt>
                <c:pt idx="8">
                  <c:v>1.0469702040602833</c:v>
                </c:pt>
                <c:pt idx="9">
                  <c:v>1.0643942656361203</c:v>
                </c:pt>
                <c:pt idx="10">
                  <c:v>1.0645703231973731</c:v>
                </c:pt>
                <c:pt idx="11">
                  <c:v>1.0535093725416012</c:v>
                </c:pt>
                <c:pt idx="12">
                  <c:v>1.063441221354432</c:v>
                </c:pt>
                <c:pt idx="13">
                  <c:v>1.0646342964586473</c:v>
                </c:pt>
                <c:pt idx="14">
                  <c:v>1.0647319605562893</c:v>
                </c:pt>
                <c:pt idx="15">
                  <c:v>1.0777277746337364</c:v>
                </c:pt>
                <c:pt idx="16">
                  <c:v>1.0877998926874759</c:v>
                </c:pt>
                <c:pt idx="17">
                  <c:v>1.1007970832387826</c:v>
                </c:pt>
                <c:pt idx="18">
                  <c:v>1.1142333034048588</c:v>
                </c:pt>
                <c:pt idx="19">
                  <c:v>1.1289463669414501</c:v>
                </c:pt>
                <c:pt idx="20">
                  <c:v>1.1284738431294357</c:v>
                </c:pt>
                <c:pt idx="21">
                  <c:v>1.1277406413870033</c:v>
                </c:pt>
                <c:pt idx="22">
                  <c:v>1.1241561068180421</c:v>
                </c:pt>
                <c:pt idx="23">
                  <c:v>1.1254406191143453</c:v>
                </c:pt>
                <c:pt idx="24">
                  <c:v>1.1504154919117742</c:v>
                </c:pt>
                <c:pt idx="25">
                  <c:v>1.1579520795701521</c:v>
                </c:pt>
                <c:pt idx="26">
                  <c:v>1.1717415946934704</c:v>
                </c:pt>
                <c:pt idx="27">
                  <c:v>1.1859400536457745</c:v>
                </c:pt>
                <c:pt idx="28">
                  <c:v>1.1781807394076731</c:v>
                </c:pt>
                <c:pt idx="29">
                  <c:v>1.1694943372520887</c:v>
                </c:pt>
                <c:pt idx="30">
                  <c:v>1.1831690151277099</c:v>
                </c:pt>
                <c:pt idx="31">
                  <c:v>1.1934030327258627</c:v>
                </c:pt>
                <c:pt idx="32">
                  <c:v>1.2106642771080469</c:v>
                </c:pt>
                <c:pt idx="33">
                  <c:v>1.2415065991434142</c:v>
                </c:pt>
                <c:pt idx="34">
                  <c:v>1.2572031204793488</c:v>
                </c:pt>
                <c:pt idx="35">
                  <c:v>1.2667119329927286</c:v>
                </c:pt>
                <c:pt idx="36">
                  <c:v>1.2761091855771236</c:v>
                </c:pt>
                <c:pt idx="37">
                  <c:v>1.2943421549576593</c:v>
                </c:pt>
                <c:pt idx="38">
                  <c:v>1.2809113751406465</c:v>
                </c:pt>
                <c:pt idx="39">
                  <c:v>1.2944702325729565</c:v>
                </c:pt>
                <c:pt idx="40">
                  <c:v>1.3192133333910145</c:v>
                </c:pt>
                <c:pt idx="41">
                  <c:v>1.3172219034483557</c:v>
                </c:pt>
                <c:pt idx="42">
                  <c:v>1.3397886024556034</c:v>
                </c:pt>
                <c:pt idx="43">
                  <c:v>1.359173090539076</c:v>
                </c:pt>
                <c:pt idx="44">
                  <c:v>1.3855024136141396</c:v>
                </c:pt>
                <c:pt idx="45">
                  <c:v>1.4011774357393183</c:v>
                </c:pt>
                <c:pt idx="46">
                  <c:v>1.417563046107811</c:v>
                </c:pt>
                <c:pt idx="47">
                  <c:v>1.4357977196940774</c:v>
                </c:pt>
                <c:pt idx="48">
                  <c:v>1.4515433352643301</c:v>
                </c:pt>
                <c:pt idx="49">
                  <c:v>1.4843515241563958</c:v>
                </c:pt>
                <c:pt idx="50">
                  <c:v>1.5027135543478423</c:v>
                </c:pt>
                <c:pt idx="51">
                  <c:v>1.447882176983863</c:v>
                </c:pt>
                <c:pt idx="52">
                  <c:v>1.4342764538939596</c:v>
                </c:pt>
                <c:pt idx="53">
                  <c:v>1.4541633549361079</c:v>
                </c:pt>
                <c:pt idx="54">
                  <c:v>1.4867754946227727</c:v>
                </c:pt>
                <c:pt idx="55">
                  <c:v>1.5222136006891289</c:v>
                </c:pt>
                <c:pt idx="56">
                  <c:v>1.5541147588542341</c:v>
                </c:pt>
                <c:pt idx="57">
                  <c:v>1.570451078349286</c:v>
                </c:pt>
                <c:pt idx="58">
                  <c:v>1.5823413217321498</c:v>
                </c:pt>
                <c:pt idx="59">
                  <c:v>1.603606531932162</c:v>
                </c:pt>
                <c:pt idx="60">
                  <c:v>1.6271079222363065</c:v>
                </c:pt>
                <c:pt idx="61">
                  <c:v>1.6386379882926316</c:v>
                </c:pt>
                <c:pt idx="62">
                  <c:v>1.6369158884017927</c:v>
                </c:pt>
                <c:pt idx="63">
                  <c:v>1.6504700920415305</c:v>
                </c:pt>
                <c:pt idx="64">
                  <c:v>1.6269344865300241</c:v>
                </c:pt>
                <c:pt idx="65">
                  <c:v>1.6518809777473999</c:v>
                </c:pt>
                <c:pt idx="66">
                  <c:v>1.6816545006041417</c:v>
                </c:pt>
                <c:pt idx="67">
                  <c:v>1.6781357090485598</c:v>
                </c:pt>
                <c:pt idx="68">
                  <c:v>1.6859551293118544</c:v>
                </c:pt>
                <c:pt idx="69">
                  <c:v>1.7162478449990812</c:v>
                </c:pt>
                <c:pt idx="70">
                  <c:v>1.7193596591169051</c:v>
                </c:pt>
                <c:pt idx="71">
                  <c:v>1.7226585425868566</c:v>
                </c:pt>
                <c:pt idx="72">
                  <c:v>1.7387438194685065</c:v>
                </c:pt>
                <c:pt idx="73">
                  <c:v>1.7096815403188212</c:v>
                </c:pt>
                <c:pt idx="74">
                  <c:v>1.7104792396935218</c:v>
                </c:pt>
                <c:pt idx="75">
                  <c:v>1.7179354019506872</c:v>
                </c:pt>
                <c:pt idx="76">
                  <c:v>1.7094870642264022</c:v>
                </c:pt>
                <c:pt idx="77">
                  <c:v>1.6677222910240674</c:v>
                </c:pt>
                <c:pt idx="78">
                  <c:v>1.6462508063842702</c:v>
                </c:pt>
                <c:pt idx="79">
                  <c:v>1.6370351172565656</c:v>
                </c:pt>
                <c:pt idx="80">
                  <c:v>1.6103492874519212</c:v>
                </c:pt>
                <c:pt idx="81">
                  <c:v>1.6220548866985052</c:v>
                </c:pt>
                <c:pt idx="82">
                  <c:v>1.6109361896870134</c:v>
                </c:pt>
                <c:pt idx="83">
                  <c:v>1.6078677017225729</c:v>
                </c:pt>
                <c:pt idx="84">
                  <c:v>1.6286200115440284</c:v>
                </c:pt>
                <c:pt idx="85">
                  <c:v>1.6357532268152326</c:v>
                </c:pt>
                <c:pt idx="86">
                  <c:v>1.6395870997918651</c:v>
                </c:pt>
                <c:pt idx="87">
                  <c:v>1.6472831617788091</c:v>
                </c:pt>
                <c:pt idx="88">
                  <c:v>1.6554257912135621</c:v>
                </c:pt>
                <c:pt idx="89">
                  <c:v>1.6621566828395802</c:v>
                </c:pt>
                <c:pt idx="90">
                  <c:v>1.6732478503738846</c:v>
                </c:pt>
                <c:pt idx="91">
                  <c:v>1.6696476502214761</c:v>
                </c:pt>
                <c:pt idx="92">
                  <c:v>1.6760146283776225</c:v>
                </c:pt>
                <c:pt idx="93">
                  <c:v>1.6796295764642388</c:v>
                </c:pt>
                <c:pt idx="94">
                  <c:v>1.6809354568785493</c:v>
                </c:pt>
                <c:pt idx="95">
                  <c:v>1.6889792423809238</c:v>
                </c:pt>
                <c:pt idx="96">
                  <c:v>1.6529099902768525</c:v>
                </c:pt>
                <c:pt idx="97">
                  <c:v>1.5090492013370951</c:v>
                </c:pt>
                <c:pt idx="98">
                  <c:v>1.6226921285490263</c:v>
                </c:pt>
                <c:pt idx="99">
                  <c:v>1.6694864061408055</c:v>
                </c:pt>
                <c:pt idx="100">
                  <c:v>1.6917148203105159</c:v>
                </c:pt>
                <c:pt idx="101">
                  <c:v>1.6852657780938005</c:v>
                </c:pt>
                <c:pt idx="102">
                  <c:v>1.6827170728772136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4EB-4095-872D-6511F1A8A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4527775"/>
        <c:axId val="1264573311"/>
      </c:lineChart>
      <c:dateAx>
        <c:axId val="1264527775"/>
        <c:scaling>
          <c:orientation val="minMax"/>
        </c:scaling>
        <c:delete val="0"/>
        <c:axPos val="b"/>
        <c:numFmt formatCode="yyyy" sourceLinked="0"/>
        <c:majorTickMark val="out"/>
        <c:minorTickMark val="out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264573311"/>
        <c:crossesAt val="-100000"/>
        <c:auto val="1"/>
        <c:lblOffset val="100"/>
        <c:baseTimeUnit val="months"/>
        <c:majorUnit val="36"/>
        <c:majorTimeUnit val="months"/>
        <c:minorUnit val="12"/>
        <c:minorTimeUnit val="months"/>
      </c:dateAx>
      <c:valAx>
        <c:axId val="1264573311"/>
        <c:scaling>
          <c:orientation val="minMax"/>
          <c:min val="0.8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2645277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700732720909886"/>
          <c:y val="0.18966360713786515"/>
          <c:w val="0.33332780096761078"/>
          <c:h val="0.322442591094341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200">
                <a:latin typeface="Arial Black" panose="020B0A04020102020204" pitchFamily="34" charset="0"/>
              </a:rPr>
              <a:t>Brasil: Histograma</a:t>
            </a:r>
            <a:r>
              <a:rPr lang="en-US" sz="1200" baseline="0">
                <a:latin typeface="Arial Black" panose="020B0A04020102020204" pitchFamily="34" charset="0"/>
              </a:rPr>
              <a:t> do crescimento</a:t>
            </a:r>
          </a:p>
          <a:p>
            <a:pPr algn="l">
              <a:defRPr/>
            </a:pPr>
            <a:r>
              <a:rPr lang="en-US" sz="1000" baseline="0"/>
              <a:t>Freq. relativa, </a:t>
            </a:r>
            <a:r>
              <a:rPr lang="en-US" sz="1000" baseline="0">
                <a:latin typeface="Arial" panose="020B0604020202020204" pitchFamily="34" charset="0"/>
                <a:cs typeface="Arial" panose="020B0604020202020204" pitchFamily="34" charset="0"/>
              </a:rPr>
              <a:t>∆</a:t>
            </a:r>
            <a:r>
              <a:rPr lang="en-US" sz="1000" baseline="0"/>
              <a:t>% t/t do PIB</a:t>
            </a:r>
          </a:p>
          <a:p>
            <a:pPr algn="l">
              <a:defRPr/>
            </a:pPr>
            <a:endParaRPr lang="en-US"/>
          </a:p>
        </c:rich>
      </c:tx>
      <c:layout>
        <c:manualLayout>
          <c:xMode val="edge"/>
          <c:yMode val="edge"/>
          <c:x val="2.977935886558604E-3"/>
          <c:y val="1.493058317205296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2105840267131067E-2"/>
          <c:y val="0.2095703013903448"/>
          <c:w val="0.89274022694233179"/>
          <c:h val="0.63192104856861919"/>
        </c:manualLayout>
      </c:layout>
      <c:lineChart>
        <c:grouping val="standard"/>
        <c:varyColors val="0"/>
        <c:ser>
          <c:idx val="0"/>
          <c:order val="0"/>
          <c:tx>
            <c:strRef>
              <c:f>Dados!$AC$29</c:f>
              <c:strCache>
                <c:ptCount val="1"/>
                <c:pt idx="0">
                  <c:v>1996-2021T3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Dados!$AB$30:$AB$36</c:f>
              <c:strCache>
                <c:ptCount val="7"/>
                <c:pt idx="0">
                  <c:v>-06 &lt; x</c:v>
                </c:pt>
                <c:pt idx="1">
                  <c:v>-06 &lt; x &lt; -03</c:v>
                </c:pt>
                <c:pt idx="2">
                  <c:v>-03 &lt; x &lt; -01</c:v>
                </c:pt>
                <c:pt idx="3">
                  <c:v>-01 &lt; x &lt; 02</c:v>
                </c:pt>
                <c:pt idx="4">
                  <c:v>02 &lt; x &lt; 05</c:v>
                </c:pt>
                <c:pt idx="5">
                  <c:v>05 &lt; x &lt; 08</c:v>
                </c:pt>
                <c:pt idx="6">
                  <c:v>x &gt; 08</c:v>
                </c:pt>
              </c:strCache>
            </c:strRef>
          </c:cat>
          <c:val>
            <c:numRef>
              <c:f>Dados!$AC$30:$AC$36</c:f>
              <c:numCache>
                <c:formatCode>0.0</c:formatCode>
                <c:ptCount val="7"/>
                <c:pt idx="0">
                  <c:v>0.98039215686274506</c:v>
                </c:pt>
                <c:pt idx="1">
                  <c:v>0.98039215686274506</c:v>
                </c:pt>
                <c:pt idx="2">
                  <c:v>14.705882352941178</c:v>
                </c:pt>
                <c:pt idx="3">
                  <c:v>74.509803921568633</c:v>
                </c:pt>
                <c:pt idx="4">
                  <c:v>7.8431372549019605</c:v>
                </c:pt>
                <c:pt idx="5">
                  <c:v>0.98039215686274506</c:v>
                </c:pt>
                <c:pt idx="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F5B-44FE-ADDE-ADE2A042D3E1}"/>
            </c:ext>
          </c:extLst>
        </c:ser>
        <c:ser>
          <c:idx val="1"/>
          <c:order val="1"/>
          <c:tx>
            <c:strRef>
              <c:f>Dados!$AD$29</c:f>
              <c:strCache>
                <c:ptCount val="1"/>
                <c:pt idx="0">
                  <c:v>1996-2005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Dados!$AB$30:$AB$36</c:f>
              <c:strCache>
                <c:ptCount val="7"/>
                <c:pt idx="0">
                  <c:v>-06 &lt; x</c:v>
                </c:pt>
                <c:pt idx="1">
                  <c:v>-06 &lt; x &lt; -03</c:v>
                </c:pt>
                <c:pt idx="2">
                  <c:v>-03 &lt; x &lt; -01</c:v>
                </c:pt>
                <c:pt idx="3">
                  <c:v>-01 &lt; x &lt; 02</c:v>
                </c:pt>
                <c:pt idx="4">
                  <c:v>02 &lt; x &lt; 05</c:v>
                </c:pt>
                <c:pt idx="5">
                  <c:v>05 &lt; x &lt; 08</c:v>
                </c:pt>
                <c:pt idx="6">
                  <c:v>x &gt; 08</c:v>
                </c:pt>
              </c:strCache>
            </c:strRef>
          </c:cat>
          <c:val>
            <c:numRef>
              <c:f>Dados!$AD$30:$AD$36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12.820512820512819</c:v>
                </c:pt>
                <c:pt idx="3">
                  <c:v>79.487179487179489</c:v>
                </c:pt>
                <c:pt idx="4">
                  <c:v>7.6923076923076925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F5B-44FE-ADDE-ADE2A042D3E1}"/>
            </c:ext>
          </c:extLst>
        </c:ser>
        <c:ser>
          <c:idx val="2"/>
          <c:order val="2"/>
          <c:tx>
            <c:strRef>
              <c:f>Dados!$AE$29</c:f>
              <c:strCache>
                <c:ptCount val="1"/>
                <c:pt idx="0">
                  <c:v>2006-2014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Dados!$AB$30:$AB$36</c:f>
              <c:strCache>
                <c:ptCount val="7"/>
                <c:pt idx="0">
                  <c:v>-06 &lt; x</c:v>
                </c:pt>
                <c:pt idx="1">
                  <c:v>-06 &lt; x &lt; -03</c:v>
                </c:pt>
                <c:pt idx="2">
                  <c:v>-03 &lt; x &lt; -01</c:v>
                </c:pt>
                <c:pt idx="3">
                  <c:v>-01 &lt; x &lt; 02</c:v>
                </c:pt>
                <c:pt idx="4">
                  <c:v>02 &lt; x &lt; 05</c:v>
                </c:pt>
                <c:pt idx="5">
                  <c:v>05 &lt; x &lt; 08</c:v>
                </c:pt>
                <c:pt idx="6">
                  <c:v>x &gt; 08</c:v>
                </c:pt>
              </c:strCache>
            </c:strRef>
          </c:cat>
          <c:val>
            <c:numRef>
              <c:f>Dados!$AE$30:$AE$36</c:f>
              <c:numCache>
                <c:formatCode>0.0</c:formatCode>
                <c:ptCount val="7"/>
                <c:pt idx="0">
                  <c:v>0</c:v>
                </c:pt>
                <c:pt idx="1">
                  <c:v>2.7777777777777777</c:v>
                </c:pt>
                <c:pt idx="2">
                  <c:v>8.3333333333333321</c:v>
                </c:pt>
                <c:pt idx="3">
                  <c:v>77.777777777777786</c:v>
                </c:pt>
                <c:pt idx="4">
                  <c:v>11.111111111111111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F5B-44FE-ADDE-ADE2A042D3E1}"/>
            </c:ext>
          </c:extLst>
        </c:ser>
        <c:ser>
          <c:idx val="3"/>
          <c:order val="3"/>
          <c:tx>
            <c:strRef>
              <c:f>Dados!$AF$29</c:f>
              <c:strCache>
                <c:ptCount val="1"/>
                <c:pt idx="0">
                  <c:v>2017-2021T3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Dados!$AB$30:$AB$36</c:f>
              <c:strCache>
                <c:ptCount val="7"/>
                <c:pt idx="0">
                  <c:v>-06 &lt; x</c:v>
                </c:pt>
                <c:pt idx="1">
                  <c:v>-06 &lt; x &lt; -03</c:v>
                </c:pt>
                <c:pt idx="2">
                  <c:v>-03 &lt; x &lt; -01</c:v>
                </c:pt>
                <c:pt idx="3">
                  <c:v>-01 &lt; x &lt; 02</c:v>
                </c:pt>
                <c:pt idx="4">
                  <c:v>02 &lt; x &lt; 05</c:v>
                </c:pt>
                <c:pt idx="5">
                  <c:v>05 &lt; x &lt; 08</c:v>
                </c:pt>
                <c:pt idx="6">
                  <c:v>x &gt; 08</c:v>
                </c:pt>
              </c:strCache>
            </c:strRef>
          </c:cat>
          <c:val>
            <c:numRef>
              <c:f>Dados!$AF$30:$AF$36</c:f>
              <c:numCache>
                <c:formatCode>0.0</c:formatCode>
                <c:ptCount val="7"/>
                <c:pt idx="0">
                  <c:v>5.2631578947368416</c:v>
                </c:pt>
                <c:pt idx="1">
                  <c:v>0</c:v>
                </c:pt>
                <c:pt idx="2">
                  <c:v>5.2631578947368416</c:v>
                </c:pt>
                <c:pt idx="3">
                  <c:v>78.94736842105263</c:v>
                </c:pt>
                <c:pt idx="4">
                  <c:v>5.2631578947368416</c:v>
                </c:pt>
                <c:pt idx="5">
                  <c:v>5.2631578947368416</c:v>
                </c:pt>
                <c:pt idx="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CF5B-44FE-ADDE-ADE2A042D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3481887"/>
        <c:axId val="1943478975"/>
      </c:lineChart>
      <c:catAx>
        <c:axId val="19434818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943478975"/>
        <c:crosses val="autoZero"/>
        <c:auto val="1"/>
        <c:lblAlgn val="ctr"/>
        <c:lblOffset val="100"/>
        <c:tickLblSkip val="2"/>
        <c:noMultiLvlLbl val="0"/>
      </c:catAx>
      <c:valAx>
        <c:axId val="1943478975"/>
        <c:scaling>
          <c:orientation val="minMax"/>
          <c:min val="0"/>
        </c:scaling>
        <c:delete val="0"/>
        <c:axPos val="l"/>
        <c:numFmt formatCode="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943481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760729807559481"/>
          <c:y val="0.26767021769337657"/>
          <c:w val="0.2818501811767456"/>
          <c:h val="0.262116151889682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Modelos!$AY$29</c:f>
          <c:strCache>
            <c:ptCount val="1"/>
            <c:pt idx="0">
              <c:v>Modelos - PIB Agropecuária</c:v>
            </c:pt>
          </c:strCache>
        </c:strRef>
      </c:tx>
      <c:layout>
        <c:manualLayout>
          <c:xMode val="edge"/>
          <c:yMode val="edge"/>
          <c:x val="1.7190765167092968E-2"/>
          <c:y val="2.59605399792315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/>
              </a:solidFill>
              <a:latin typeface="Arial Black" panose="020B0A040201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0263553839209592E-2"/>
          <c:y val="0.30166147455867082"/>
          <c:w val="0.89054324021599207"/>
          <c:h val="0.43610395663158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Modelos!$BN$30</c:f>
              <c:strCache>
                <c:ptCount val="1"/>
                <c:pt idx="0">
                  <c:v>MAE</c:v>
                </c:pt>
              </c:strCache>
            </c:strRef>
          </c:tx>
          <c:spPr>
            <a:noFill/>
            <a:ln>
              <a:solidFill>
                <a:schemeClr val="tx1"/>
              </a:solidFill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Modelos!$BM$31:$BM$45</c:f>
              <c:strCache>
                <c:ptCount val="15"/>
                <c:pt idx="0">
                  <c:v>ARMA(0,1)</c:v>
                </c:pt>
                <c:pt idx="1">
                  <c:v>ARMA(1,2)</c:v>
                </c:pt>
                <c:pt idx="2">
                  <c:v>ARMA(2,0)</c:v>
                </c:pt>
                <c:pt idx="3">
                  <c:v>ARMA(1,1)</c:v>
                </c:pt>
                <c:pt idx="4">
                  <c:v>ARMA(2,1)</c:v>
                </c:pt>
                <c:pt idx="5">
                  <c:v>ARMA(0,2)</c:v>
                </c:pt>
                <c:pt idx="6">
                  <c:v>ARMA(0,3)</c:v>
                </c:pt>
                <c:pt idx="7">
                  <c:v>ARMA(3,0)</c:v>
                </c:pt>
                <c:pt idx="8">
                  <c:v>ARMA(1,0)</c:v>
                </c:pt>
                <c:pt idx="9">
                  <c:v>ARMA(1,3)</c:v>
                </c:pt>
                <c:pt idx="10">
                  <c:v>ARMA(2,2)</c:v>
                </c:pt>
                <c:pt idx="11">
                  <c:v>ARMA(3,2)</c:v>
                </c:pt>
                <c:pt idx="12">
                  <c:v>ARMA(2,3)</c:v>
                </c:pt>
                <c:pt idx="13">
                  <c:v>ARMA(3,1)</c:v>
                </c:pt>
                <c:pt idx="14">
                  <c:v>ARMA(3,3)</c:v>
                </c:pt>
              </c:strCache>
            </c:strRef>
          </c:cat>
          <c:val>
            <c:numRef>
              <c:f>Modelos!$BN$31:$BN$45</c:f>
              <c:numCache>
                <c:formatCode>0.000</c:formatCode>
                <c:ptCount val="15"/>
                <c:pt idx="0">
                  <c:v>1.7058362982801611</c:v>
                </c:pt>
                <c:pt idx="1">
                  <c:v>1.6949052584745414</c:v>
                </c:pt>
                <c:pt idx="2">
                  <c:v>1.6833233293379088</c:v>
                </c:pt>
                <c:pt idx="3">
                  <c:v>1.6790221347293393</c:v>
                </c:pt>
                <c:pt idx="4">
                  <c:v>1.6762947706493219</c:v>
                </c:pt>
                <c:pt idx="5">
                  <c:v>1.6687996288523388</c:v>
                </c:pt>
                <c:pt idx="6">
                  <c:v>1.6681237272439726</c:v>
                </c:pt>
                <c:pt idx="7">
                  <c:v>1.6626308716955416</c:v>
                </c:pt>
                <c:pt idx="8">
                  <c:v>1.6541039973567186</c:v>
                </c:pt>
                <c:pt idx="9">
                  <c:v>1.6539769137744396</c:v>
                </c:pt>
                <c:pt idx="10">
                  <c:v>1.6367270059278434</c:v>
                </c:pt>
                <c:pt idx="11">
                  <c:v>1.6020645874667063</c:v>
                </c:pt>
                <c:pt idx="12">
                  <c:v>1.5452579987567789</c:v>
                </c:pt>
                <c:pt idx="13">
                  <c:v>1.527261987357879</c:v>
                </c:pt>
                <c:pt idx="14">
                  <c:v>1.4982563439610315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84-4A46-80CD-991FDB058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-27"/>
        <c:axId val="274296095"/>
        <c:axId val="560668639"/>
      </c:barChart>
      <c:catAx>
        <c:axId val="274296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560668639"/>
        <c:crosses val="autoZero"/>
        <c:auto val="1"/>
        <c:lblAlgn val="ctr"/>
        <c:lblOffset val="100"/>
        <c:noMultiLvlLbl val="0"/>
      </c:catAx>
      <c:valAx>
        <c:axId val="560668639"/>
        <c:scaling>
          <c:orientation val="minMax"/>
        </c:scaling>
        <c:delete val="1"/>
        <c:axPos val="l"/>
        <c:numFmt formatCode="0.000" sourceLinked="1"/>
        <c:majorTickMark val="none"/>
        <c:minorTickMark val="none"/>
        <c:tickLblPos val="nextTo"/>
        <c:crossAx val="274296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Modelos!$AY$48</c:f>
          <c:strCache>
            <c:ptCount val="1"/>
            <c:pt idx="0">
              <c:v>Modelos - PIB Indústria</c:v>
            </c:pt>
          </c:strCache>
        </c:strRef>
      </c:tx>
      <c:layout>
        <c:manualLayout>
          <c:xMode val="edge"/>
          <c:yMode val="edge"/>
          <c:x val="1.7190765167092968E-2"/>
          <c:y val="2.59605399792315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/>
              </a:solidFill>
              <a:latin typeface="Arial Black" panose="020B0A040201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0263553839209592E-2"/>
          <c:y val="0.30166147455867082"/>
          <c:w val="0.89054324021599207"/>
          <c:h val="0.43610395663158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Modelos!$BN$30</c:f>
              <c:strCache>
                <c:ptCount val="1"/>
                <c:pt idx="0">
                  <c:v>MAE</c:v>
                </c:pt>
              </c:strCache>
            </c:strRef>
          </c:tx>
          <c:spPr>
            <a:noFill/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Modelos!$BM$50:$BM$64</c:f>
              <c:strCache>
                <c:ptCount val="15"/>
                <c:pt idx="0">
                  <c:v>ARMA(1,2)</c:v>
                </c:pt>
                <c:pt idx="1">
                  <c:v>ARMA(2,0)</c:v>
                </c:pt>
                <c:pt idx="2">
                  <c:v>ARMA(2,3)</c:v>
                </c:pt>
                <c:pt idx="3">
                  <c:v>ARMA(1,0)</c:v>
                </c:pt>
                <c:pt idx="4">
                  <c:v>ARMA(3,0)</c:v>
                </c:pt>
                <c:pt idx="5">
                  <c:v>ARMA(0,1)</c:v>
                </c:pt>
                <c:pt idx="6">
                  <c:v>ARMA(0,2)</c:v>
                </c:pt>
                <c:pt idx="7">
                  <c:v>ARMA(2,2)</c:v>
                </c:pt>
                <c:pt idx="8">
                  <c:v>ARMA(1,1)</c:v>
                </c:pt>
                <c:pt idx="9">
                  <c:v>ARMA(1,3)</c:v>
                </c:pt>
                <c:pt idx="10">
                  <c:v>ARMA(3,3)</c:v>
                </c:pt>
                <c:pt idx="11">
                  <c:v>ARMA(2,1)</c:v>
                </c:pt>
                <c:pt idx="12">
                  <c:v>ARMA(0,3)</c:v>
                </c:pt>
                <c:pt idx="13">
                  <c:v>ARMA(3,1)</c:v>
                </c:pt>
                <c:pt idx="14">
                  <c:v>ARMA(3,2)</c:v>
                </c:pt>
              </c:strCache>
            </c:strRef>
          </c:cat>
          <c:val>
            <c:numRef>
              <c:f>Modelos!$BN$50:$BN$64</c:f>
              <c:numCache>
                <c:formatCode>0.000</c:formatCode>
                <c:ptCount val="15"/>
                <c:pt idx="0">
                  <c:v>2.2359991495081477</c:v>
                </c:pt>
                <c:pt idx="1">
                  <c:v>2.132721564475609</c:v>
                </c:pt>
                <c:pt idx="2">
                  <c:v>2.1210222923009945</c:v>
                </c:pt>
                <c:pt idx="3">
                  <c:v>2.1169821146654106</c:v>
                </c:pt>
                <c:pt idx="4">
                  <c:v>2.1169601785858654</c:v>
                </c:pt>
                <c:pt idx="5">
                  <c:v>2.1155341556675982</c:v>
                </c:pt>
                <c:pt idx="6">
                  <c:v>2.1148753305881822</c:v>
                </c:pt>
                <c:pt idx="7">
                  <c:v>2.1132463679412301</c:v>
                </c:pt>
                <c:pt idx="8">
                  <c:v>2.111204732012502</c:v>
                </c:pt>
                <c:pt idx="9">
                  <c:v>2.1087422925066668</c:v>
                </c:pt>
                <c:pt idx="10">
                  <c:v>2.1086508193461873</c:v>
                </c:pt>
                <c:pt idx="11">
                  <c:v>2.1038691399260148</c:v>
                </c:pt>
                <c:pt idx="12">
                  <c:v>2.101458810777336</c:v>
                </c:pt>
                <c:pt idx="13">
                  <c:v>2.0710772469365675</c:v>
                </c:pt>
                <c:pt idx="14">
                  <c:v>2.0622068914728526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0E-4CB1-AC07-59A8A76D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-27"/>
        <c:axId val="274296095"/>
        <c:axId val="560668639"/>
      </c:barChart>
      <c:catAx>
        <c:axId val="274296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560668639"/>
        <c:crosses val="autoZero"/>
        <c:auto val="1"/>
        <c:lblAlgn val="ctr"/>
        <c:lblOffset val="100"/>
        <c:noMultiLvlLbl val="0"/>
      </c:catAx>
      <c:valAx>
        <c:axId val="560668639"/>
        <c:scaling>
          <c:orientation val="minMax"/>
        </c:scaling>
        <c:delete val="1"/>
        <c:axPos val="l"/>
        <c:numFmt formatCode="0.000" sourceLinked="1"/>
        <c:majorTickMark val="none"/>
        <c:minorTickMark val="none"/>
        <c:tickLblPos val="nextTo"/>
        <c:crossAx val="274296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Modelos!$AY$67</c:f>
          <c:strCache>
            <c:ptCount val="1"/>
            <c:pt idx="0">
              <c:v>Modelos - PIB Serviços</c:v>
            </c:pt>
          </c:strCache>
        </c:strRef>
      </c:tx>
      <c:layout>
        <c:manualLayout>
          <c:xMode val="edge"/>
          <c:yMode val="edge"/>
          <c:x val="1.7190765167092968E-2"/>
          <c:y val="2.59605399792315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/>
              </a:solidFill>
              <a:latin typeface="Arial Black" panose="020B0A040201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0263553839209592E-2"/>
          <c:y val="0.30166147455867082"/>
          <c:w val="0.89054324021599207"/>
          <c:h val="0.43610395663158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Modelos!$BN$30</c:f>
              <c:strCache>
                <c:ptCount val="1"/>
                <c:pt idx="0">
                  <c:v>MAE</c:v>
                </c:pt>
              </c:strCache>
            </c:strRef>
          </c:tx>
          <c:spPr>
            <a:noFill/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Modelos!$BM$69:$BM$83</c:f>
              <c:strCache>
                <c:ptCount val="15"/>
                <c:pt idx="0">
                  <c:v>ARMA(1,1)</c:v>
                </c:pt>
                <c:pt idx="1">
                  <c:v>ARMA(3,2)</c:v>
                </c:pt>
                <c:pt idx="2">
                  <c:v>ARMA(3,1)</c:v>
                </c:pt>
                <c:pt idx="3">
                  <c:v>ARMA(0,1)</c:v>
                </c:pt>
                <c:pt idx="4">
                  <c:v>ARMA(2,3)</c:v>
                </c:pt>
                <c:pt idx="5">
                  <c:v>ARMA(3,0)</c:v>
                </c:pt>
                <c:pt idx="6">
                  <c:v>ARMA(2,1)</c:v>
                </c:pt>
                <c:pt idx="7">
                  <c:v>ARMA(1,0)</c:v>
                </c:pt>
                <c:pt idx="8">
                  <c:v>ARMA(2,0)</c:v>
                </c:pt>
                <c:pt idx="9">
                  <c:v>ARMA(1,3)</c:v>
                </c:pt>
                <c:pt idx="10">
                  <c:v>ARMA(2,2)</c:v>
                </c:pt>
                <c:pt idx="11">
                  <c:v>ARMA(0,3)</c:v>
                </c:pt>
                <c:pt idx="12">
                  <c:v>ARMA(1,2)</c:v>
                </c:pt>
                <c:pt idx="13">
                  <c:v>ARMA(0,2)</c:v>
                </c:pt>
                <c:pt idx="14">
                  <c:v>ARMA(3,3)</c:v>
                </c:pt>
              </c:strCache>
            </c:strRef>
          </c:cat>
          <c:val>
            <c:numRef>
              <c:f>Modelos!$BN$69:$BN$83</c:f>
              <c:numCache>
                <c:formatCode>0.000</c:formatCode>
                <c:ptCount val="15"/>
                <c:pt idx="0">
                  <c:v>1.496964076060709</c:v>
                </c:pt>
                <c:pt idx="1">
                  <c:v>1.4799882730512339</c:v>
                </c:pt>
                <c:pt idx="2">
                  <c:v>1.4793291671955471</c:v>
                </c:pt>
                <c:pt idx="3">
                  <c:v>1.4752177079692479</c:v>
                </c:pt>
                <c:pt idx="4">
                  <c:v>1.4720451594163271</c:v>
                </c:pt>
                <c:pt idx="5">
                  <c:v>1.4696924483083302</c:v>
                </c:pt>
                <c:pt idx="6">
                  <c:v>1.4664209734503968</c:v>
                </c:pt>
                <c:pt idx="7">
                  <c:v>1.4646026304671045</c:v>
                </c:pt>
                <c:pt idx="8">
                  <c:v>1.4631490301138799</c:v>
                </c:pt>
                <c:pt idx="9">
                  <c:v>1.4598275543111559</c:v>
                </c:pt>
                <c:pt idx="10">
                  <c:v>1.4547872492118825</c:v>
                </c:pt>
                <c:pt idx="11">
                  <c:v>1.4428826695822137</c:v>
                </c:pt>
                <c:pt idx="12">
                  <c:v>1.4416836232111914</c:v>
                </c:pt>
                <c:pt idx="13">
                  <c:v>1.4406704073898813</c:v>
                </c:pt>
                <c:pt idx="14">
                  <c:v>1.4381667101900346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76-4614-81DE-FBCB74626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-27"/>
        <c:axId val="274296095"/>
        <c:axId val="560668639"/>
      </c:barChart>
      <c:catAx>
        <c:axId val="274296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560668639"/>
        <c:crosses val="autoZero"/>
        <c:auto val="1"/>
        <c:lblAlgn val="ctr"/>
        <c:lblOffset val="100"/>
        <c:noMultiLvlLbl val="0"/>
      </c:catAx>
      <c:valAx>
        <c:axId val="560668639"/>
        <c:scaling>
          <c:orientation val="minMax"/>
        </c:scaling>
        <c:delete val="1"/>
        <c:axPos val="l"/>
        <c:numFmt formatCode="0.000" sourceLinked="1"/>
        <c:majorTickMark val="none"/>
        <c:minorTickMark val="none"/>
        <c:tickLblPos val="nextTo"/>
        <c:crossAx val="274296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latin typeface="Arial Black" panose="020B0A04020102020204" pitchFamily="34" charset="0"/>
              </a:rPr>
              <a:t>Brasil: PIB</a:t>
            </a:r>
            <a:r>
              <a:rPr lang="en-US" sz="1100" baseline="0">
                <a:latin typeface="Arial Black" panose="020B0A04020102020204" pitchFamily="34" charset="0"/>
              </a:rPr>
              <a:t>, oferta e demanda</a:t>
            </a:r>
          </a:p>
          <a:p>
            <a:pPr algn="l">
              <a:defRPr/>
            </a:pPr>
            <a:r>
              <a:rPr lang="en-US" sz="1000"/>
              <a:t>%</a:t>
            </a:r>
            <a:r>
              <a:rPr lang="en-US" sz="1000" baseline="0"/>
              <a:t> Acum. 4T</a:t>
            </a:r>
            <a:endParaRPr lang="en-US" sz="1000"/>
          </a:p>
        </c:rich>
      </c:tx>
      <c:layout>
        <c:manualLayout>
          <c:xMode val="edge"/>
          <c:yMode val="edge"/>
          <c:x val="2.5269459423268633E-3"/>
          <c:y val="2.74927365362752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7480409436424554E-2"/>
          <c:y val="0.18933333333333333"/>
          <c:w val="0.87839498923296844"/>
          <c:h val="0.61542432195975516"/>
        </c:manualLayout>
      </c:layout>
      <c:lineChart>
        <c:grouping val="standard"/>
        <c:varyColors val="0"/>
        <c:ser>
          <c:idx val="3"/>
          <c:order val="0"/>
          <c:tx>
            <c:strRef>
              <c:f>Saídas!$AB$3</c:f>
              <c:strCache>
                <c:ptCount val="1"/>
                <c:pt idx="0">
                  <c:v>PIB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Saídas!$A$4:$A$163</c:f>
              <c:numCache>
                <c:formatCode>mm/yyyy</c:formatCode>
                <c:ptCount val="160"/>
                <c:pt idx="0">
                  <c:v>35125</c:v>
                </c:pt>
                <c:pt idx="1">
                  <c:v>35246</c:v>
                </c:pt>
                <c:pt idx="2">
                  <c:v>35338</c:v>
                </c:pt>
                <c:pt idx="3">
                  <c:v>35430</c:v>
                </c:pt>
                <c:pt idx="4">
                  <c:v>35520</c:v>
                </c:pt>
                <c:pt idx="5">
                  <c:v>35611</c:v>
                </c:pt>
                <c:pt idx="6">
                  <c:v>35703</c:v>
                </c:pt>
                <c:pt idx="7">
                  <c:v>35795</c:v>
                </c:pt>
                <c:pt idx="8">
                  <c:v>35885</c:v>
                </c:pt>
                <c:pt idx="9">
                  <c:v>35976</c:v>
                </c:pt>
                <c:pt idx="10">
                  <c:v>36068</c:v>
                </c:pt>
                <c:pt idx="11">
                  <c:v>36160</c:v>
                </c:pt>
                <c:pt idx="12">
                  <c:v>36250</c:v>
                </c:pt>
                <c:pt idx="13">
                  <c:v>36341</c:v>
                </c:pt>
                <c:pt idx="14">
                  <c:v>36433</c:v>
                </c:pt>
                <c:pt idx="15">
                  <c:v>36525</c:v>
                </c:pt>
                <c:pt idx="16">
                  <c:v>36616</c:v>
                </c:pt>
                <c:pt idx="17">
                  <c:v>36707</c:v>
                </c:pt>
                <c:pt idx="18">
                  <c:v>36799</c:v>
                </c:pt>
                <c:pt idx="19">
                  <c:v>36891</c:v>
                </c:pt>
                <c:pt idx="20">
                  <c:v>36981</c:v>
                </c:pt>
                <c:pt idx="21">
                  <c:v>37072</c:v>
                </c:pt>
                <c:pt idx="22">
                  <c:v>37164</c:v>
                </c:pt>
                <c:pt idx="23">
                  <c:v>37256</c:v>
                </c:pt>
                <c:pt idx="24">
                  <c:v>37346</c:v>
                </c:pt>
                <c:pt idx="25">
                  <c:v>37437</c:v>
                </c:pt>
                <c:pt idx="26">
                  <c:v>37529</c:v>
                </c:pt>
                <c:pt idx="27">
                  <c:v>37621</c:v>
                </c:pt>
                <c:pt idx="28">
                  <c:v>37711</c:v>
                </c:pt>
                <c:pt idx="29">
                  <c:v>37802</c:v>
                </c:pt>
                <c:pt idx="30">
                  <c:v>37894</c:v>
                </c:pt>
                <c:pt idx="31">
                  <c:v>37986</c:v>
                </c:pt>
                <c:pt idx="32">
                  <c:v>38077</c:v>
                </c:pt>
                <c:pt idx="33">
                  <c:v>38168</c:v>
                </c:pt>
                <c:pt idx="34">
                  <c:v>38260</c:v>
                </c:pt>
                <c:pt idx="35">
                  <c:v>38352</c:v>
                </c:pt>
                <c:pt idx="36">
                  <c:v>38442</c:v>
                </c:pt>
                <c:pt idx="37">
                  <c:v>38533</c:v>
                </c:pt>
                <c:pt idx="38">
                  <c:v>38625</c:v>
                </c:pt>
                <c:pt idx="39">
                  <c:v>38717</c:v>
                </c:pt>
                <c:pt idx="40">
                  <c:v>38807</c:v>
                </c:pt>
                <c:pt idx="41">
                  <c:v>38898</c:v>
                </c:pt>
                <c:pt idx="42">
                  <c:v>38990</c:v>
                </c:pt>
                <c:pt idx="43">
                  <c:v>39082</c:v>
                </c:pt>
                <c:pt idx="44">
                  <c:v>39172</c:v>
                </c:pt>
                <c:pt idx="45">
                  <c:v>39263</c:v>
                </c:pt>
                <c:pt idx="46">
                  <c:v>39355</c:v>
                </c:pt>
                <c:pt idx="47">
                  <c:v>39447</c:v>
                </c:pt>
                <c:pt idx="48">
                  <c:v>39538</c:v>
                </c:pt>
                <c:pt idx="49">
                  <c:v>39629</c:v>
                </c:pt>
                <c:pt idx="50">
                  <c:v>39721</c:v>
                </c:pt>
                <c:pt idx="51">
                  <c:v>39813</c:v>
                </c:pt>
                <c:pt idx="52">
                  <c:v>39903</c:v>
                </c:pt>
                <c:pt idx="53">
                  <c:v>39994</c:v>
                </c:pt>
                <c:pt idx="54">
                  <c:v>40086</c:v>
                </c:pt>
                <c:pt idx="55">
                  <c:v>40178</c:v>
                </c:pt>
                <c:pt idx="56">
                  <c:v>40268</c:v>
                </c:pt>
                <c:pt idx="57">
                  <c:v>40359</c:v>
                </c:pt>
                <c:pt idx="58">
                  <c:v>40451</c:v>
                </c:pt>
                <c:pt idx="59">
                  <c:v>40543</c:v>
                </c:pt>
                <c:pt idx="60">
                  <c:v>40633</c:v>
                </c:pt>
                <c:pt idx="61">
                  <c:v>40724</c:v>
                </c:pt>
                <c:pt idx="62">
                  <c:v>40816</c:v>
                </c:pt>
                <c:pt idx="63">
                  <c:v>40908</c:v>
                </c:pt>
                <c:pt idx="64">
                  <c:v>40999</c:v>
                </c:pt>
                <c:pt idx="65">
                  <c:v>41090</c:v>
                </c:pt>
                <c:pt idx="66">
                  <c:v>41182</c:v>
                </c:pt>
                <c:pt idx="67">
                  <c:v>41274</c:v>
                </c:pt>
                <c:pt idx="68">
                  <c:v>41364</c:v>
                </c:pt>
                <c:pt idx="69">
                  <c:v>41455</c:v>
                </c:pt>
                <c:pt idx="70">
                  <c:v>41547</c:v>
                </c:pt>
                <c:pt idx="71">
                  <c:v>41639</c:v>
                </c:pt>
                <c:pt idx="72">
                  <c:v>41729</c:v>
                </c:pt>
                <c:pt idx="73">
                  <c:v>41820</c:v>
                </c:pt>
                <c:pt idx="74">
                  <c:v>41912</c:v>
                </c:pt>
                <c:pt idx="75">
                  <c:v>42004</c:v>
                </c:pt>
                <c:pt idx="76">
                  <c:v>42094</c:v>
                </c:pt>
                <c:pt idx="77">
                  <c:v>42185</c:v>
                </c:pt>
                <c:pt idx="78">
                  <c:v>42277</c:v>
                </c:pt>
                <c:pt idx="79">
                  <c:v>42369</c:v>
                </c:pt>
                <c:pt idx="80">
                  <c:v>42460</c:v>
                </c:pt>
                <c:pt idx="81">
                  <c:v>42551</c:v>
                </c:pt>
                <c:pt idx="82">
                  <c:v>42643</c:v>
                </c:pt>
                <c:pt idx="83">
                  <c:v>42735</c:v>
                </c:pt>
                <c:pt idx="84">
                  <c:v>42825</c:v>
                </c:pt>
                <c:pt idx="85">
                  <c:v>42916</c:v>
                </c:pt>
                <c:pt idx="86">
                  <c:v>43008</c:v>
                </c:pt>
                <c:pt idx="87">
                  <c:v>43100</c:v>
                </c:pt>
                <c:pt idx="88">
                  <c:v>43190</c:v>
                </c:pt>
                <c:pt idx="89">
                  <c:v>43281</c:v>
                </c:pt>
                <c:pt idx="90">
                  <c:v>43373</c:v>
                </c:pt>
                <c:pt idx="91">
                  <c:v>43465</c:v>
                </c:pt>
                <c:pt idx="92">
                  <c:v>43555</c:v>
                </c:pt>
                <c:pt idx="93">
                  <c:v>43646</c:v>
                </c:pt>
                <c:pt idx="94">
                  <c:v>43738</c:v>
                </c:pt>
                <c:pt idx="95">
                  <c:v>43830</c:v>
                </c:pt>
                <c:pt idx="96">
                  <c:v>43921</c:v>
                </c:pt>
                <c:pt idx="97">
                  <c:v>44012</c:v>
                </c:pt>
                <c:pt idx="98">
                  <c:v>44104</c:v>
                </c:pt>
                <c:pt idx="99">
                  <c:v>44196</c:v>
                </c:pt>
                <c:pt idx="100">
                  <c:v>44286</c:v>
                </c:pt>
                <c:pt idx="101">
                  <c:v>44377</c:v>
                </c:pt>
                <c:pt idx="102">
                  <c:v>44469</c:v>
                </c:pt>
                <c:pt idx="103">
                  <c:v>44561</c:v>
                </c:pt>
                <c:pt idx="104">
                  <c:v>44651</c:v>
                </c:pt>
                <c:pt idx="105">
                  <c:v>44742</c:v>
                </c:pt>
                <c:pt idx="106">
                  <c:v>44834</c:v>
                </c:pt>
                <c:pt idx="107">
                  <c:v>44926</c:v>
                </c:pt>
                <c:pt idx="108">
                  <c:v>45016</c:v>
                </c:pt>
                <c:pt idx="109">
                  <c:v>45107</c:v>
                </c:pt>
                <c:pt idx="110">
                  <c:v>45199</c:v>
                </c:pt>
                <c:pt idx="111">
                  <c:v>45291</c:v>
                </c:pt>
                <c:pt idx="112">
                  <c:v>45382</c:v>
                </c:pt>
                <c:pt idx="113">
                  <c:v>45473</c:v>
                </c:pt>
                <c:pt idx="114">
                  <c:v>45565</c:v>
                </c:pt>
                <c:pt idx="115">
                  <c:v>45657</c:v>
                </c:pt>
                <c:pt idx="116">
                  <c:v>45747</c:v>
                </c:pt>
                <c:pt idx="117">
                  <c:v>45838</c:v>
                </c:pt>
                <c:pt idx="118">
                  <c:v>45930</c:v>
                </c:pt>
                <c:pt idx="119">
                  <c:v>46022</c:v>
                </c:pt>
                <c:pt idx="120">
                  <c:v>46112</c:v>
                </c:pt>
                <c:pt idx="121">
                  <c:v>46203</c:v>
                </c:pt>
                <c:pt idx="122">
                  <c:v>46295</c:v>
                </c:pt>
                <c:pt idx="123">
                  <c:v>46387</c:v>
                </c:pt>
                <c:pt idx="124">
                  <c:v>46477</c:v>
                </c:pt>
                <c:pt idx="125">
                  <c:v>46568</c:v>
                </c:pt>
                <c:pt idx="126">
                  <c:v>46660</c:v>
                </c:pt>
                <c:pt idx="127">
                  <c:v>46752</c:v>
                </c:pt>
                <c:pt idx="128">
                  <c:v>46843</c:v>
                </c:pt>
                <c:pt idx="129">
                  <c:v>46934</c:v>
                </c:pt>
                <c:pt idx="130">
                  <c:v>47026</c:v>
                </c:pt>
                <c:pt idx="131">
                  <c:v>47118</c:v>
                </c:pt>
                <c:pt idx="132">
                  <c:v>47208</c:v>
                </c:pt>
                <c:pt idx="133">
                  <c:v>47299</c:v>
                </c:pt>
                <c:pt idx="134">
                  <c:v>47391</c:v>
                </c:pt>
                <c:pt idx="135">
                  <c:v>47483</c:v>
                </c:pt>
                <c:pt idx="136">
                  <c:v>47573</c:v>
                </c:pt>
                <c:pt idx="137">
                  <c:v>47664</c:v>
                </c:pt>
                <c:pt idx="138">
                  <c:v>47756</c:v>
                </c:pt>
                <c:pt idx="139">
                  <c:v>47848</c:v>
                </c:pt>
                <c:pt idx="140">
                  <c:v>47938</c:v>
                </c:pt>
                <c:pt idx="141">
                  <c:v>48029</c:v>
                </c:pt>
                <c:pt idx="142">
                  <c:v>48121</c:v>
                </c:pt>
                <c:pt idx="143">
                  <c:v>48213</c:v>
                </c:pt>
                <c:pt idx="144">
                  <c:v>48304</c:v>
                </c:pt>
                <c:pt idx="145">
                  <c:v>48395</c:v>
                </c:pt>
                <c:pt idx="146">
                  <c:v>48487</c:v>
                </c:pt>
                <c:pt idx="147">
                  <c:v>48579</c:v>
                </c:pt>
                <c:pt idx="148">
                  <c:v>48669</c:v>
                </c:pt>
                <c:pt idx="149">
                  <c:v>48760</c:v>
                </c:pt>
                <c:pt idx="150">
                  <c:v>48852</c:v>
                </c:pt>
                <c:pt idx="151">
                  <c:v>48944</c:v>
                </c:pt>
                <c:pt idx="152">
                  <c:v>49034</c:v>
                </c:pt>
                <c:pt idx="153">
                  <c:v>49125</c:v>
                </c:pt>
                <c:pt idx="154">
                  <c:v>49217</c:v>
                </c:pt>
                <c:pt idx="155">
                  <c:v>49309</c:v>
                </c:pt>
                <c:pt idx="156">
                  <c:v>49399</c:v>
                </c:pt>
                <c:pt idx="157">
                  <c:v>49490</c:v>
                </c:pt>
                <c:pt idx="158">
                  <c:v>49582</c:v>
                </c:pt>
                <c:pt idx="159">
                  <c:v>49674</c:v>
                </c:pt>
              </c:numCache>
            </c:numRef>
          </c:cat>
          <c:val>
            <c:numRef>
              <c:f>Saídas!$AB$4:$AB$163</c:f>
              <c:numCache>
                <c:formatCode>General</c:formatCode>
                <c:ptCount val="160"/>
                <c:pt idx="7" formatCode="0.0">
                  <c:v>3.7178941985176683</c:v>
                </c:pt>
                <c:pt idx="8" formatCode="0.0">
                  <c:v>2.7043173404618592</c:v>
                </c:pt>
                <c:pt idx="9" formatCode="0.0">
                  <c:v>1.9983276821751828</c:v>
                </c:pt>
                <c:pt idx="10" formatCode="0.0">
                  <c:v>1.6477208406547428</c:v>
                </c:pt>
                <c:pt idx="11" formatCode="0.0">
                  <c:v>0.3516551089159492</c:v>
                </c:pt>
                <c:pt idx="12" formatCode="0.0">
                  <c:v>0.3706817901558912</c:v>
                </c:pt>
                <c:pt idx="13" formatCode="0.0">
                  <c:v>-0.18785525738165276</c:v>
                </c:pt>
                <c:pt idx="14" formatCode="0.0">
                  <c:v>-0.42636220991201235</c:v>
                </c:pt>
                <c:pt idx="15" formatCode="0.0">
                  <c:v>0.47526022758175301</c:v>
                </c:pt>
                <c:pt idx="16" formatCode="0.0">
                  <c:v>0.99335835834128972</c:v>
                </c:pt>
                <c:pt idx="17" formatCode="0.0">
                  <c:v>2.1598318401338856</c:v>
                </c:pt>
                <c:pt idx="18" formatCode="0.0">
                  <c:v>3.5671778130738296</c:v>
                </c:pt>
                <c:pt idx="19" formatCode="0.0">
                  <c:v>4.2707865866346673</c:v>
                </c:pt>
                <c:pt idx="20" formatCode="0.0">
                  <c:v>4.608679141615446</c:v>
                </c:pt>
                <c:pt idx="21" formatCode="0.0">
                  <c:v>4.1463075332802912</c:v>
                </c:pt>
                <c:pt idx="22" formatCode="0.0">
                  <c:v>2.997250843687449</c:v>
                </c:pt>
                <c:pt idx="23" formatCode="0.0">
                  <c:v>1.5243350561489288</c:v>
                </c:pt>
                <c:pt idx="24" formatCode="0.0">
                  <c:v>0.72724277876081711</c:v>
                </c:pt>
                <c:pt idx="25" formatCode="0.0">
                  <c:v>0.67703730870012357</c:v>
                </c:pt>
                <c:pt idx="26" formatCode="0.0">
                  <c:v>1.4931521118136004</c:v>
                </c:pt>
                <c:pt idx="27" formatCode="0.0">
                  <c:v>3.0200879495365207</c:v>
                </c:pt>
                <c:pt idx="28" formatCode="0.0">
                  <c:v>3.3712289928651273</c:v>
                </c:pt>
                <c:pt idx="29" formatCode="0.0">
                  <c:v>3.0818654252130928</c:v>
                </c:pt>
                <c:pt idx="30" formatCode="0.0">
                  <c:v>2.2740227130146451</c:v>
                </c:pt>
                <c:pt idx="31" formatCode="0.0">
                  <c:v>1.1634782791597464</c:v>
                </c:pt>
                <c:pt idx="32" formatCode="0.0">
                  <c:v>1.2052461251863766</c:v>
                </c:pt>
                <c:pt idx="33" formatCode="0.0">
                  <c:v>2.5267792150420076</c:v>
                </c:pt>
                <c:pt idx="34" formatCode="0.0">
                  <c:v>4.0086976018641973</c:v>
                </c:pt>
                <c:pt idx="35" formatCode="0.0">
                  <c:v>5.4232016622740131</c:v>
                </c:pt>
                <c:pt idx="36" formatCode="0.0">
                  <c:v>6.1881248800857103</c:v>
                </c:pt>
                <c:pt idx="37" formatCode="0.0">
                  <c:v>5.6593421530105825</c:v>
                </c:pt>
                <c:pt idx="38" formatCode="0.0">
                  <c:v>4.531055361966918</c:v>
                </c:pt>
                <c:pt idx="39" formatCode="0.0">
                  <c:v>3.622000715553253</c:v>
                </c:pt>
                <c:pt idx="40" formatCode="0.0">
                  <c:v>3.1412534439415163</c:v>
                </c:pt>
                <c:pt idx="41" formatCode="0.0">
                  <c:v>2.7073772765604742</c:v>
                </c:pt>
                <c:pt idx="42" formatCode="0.0">
                  <c:v>3.4048419023614995</c:v>
                </c:pt>
                <c:pt idx="43" formatCode="0.0">
                  <c:v>3.9603503151684594</c:v>
                </c:pt>
                <c:pt idx="44" formatCode="0.0">
                  <c:v>4.3485072845834249</c:v>
                </c:pt>
                <c:pt idx="45" formatCode="0.0">
                  <c:v>5.3663221903596403</c:v>
                </c:pt>
                <c:pt idx="46" formatCode="0.0">
                  <c:v>5.6063751849973587</c:v>
                </c:pt>
                <c:pt idx="47" formatCode="0.0">
                  <c:v>5.9580617566149519</c:v>
                </c:pt>
                <c:pt idx="48" formatCode="0.0">
                  <c:v>6.0080056326397902</c:v>
                </c:pt>
                <c:pt idx="49" formatCode="0.0">
                  <c:v>5.9261129784498268</c:v>
                </c:pt>
                <c:pt idx="50" formatCode="0.0">
                  <c:v>6.1121891379593229</c:v>
                </c:pt>
                <c:pt idx="51" formatCode="0.0">
                  <c:v>4.7763207809571107</c:v>
                </c:pt>
                <c:pt idx="52" formatCode="0.0">
                  <c:v>3.0345782272951594</c:v>
                </c:pt>
                <c:pt idx="53" formatCode="0.0">
                  <c:v>0.98731267626690489</c:v>
                </c:pt>
                <c:pt idx="54" formatCode="0.0">
                  <c:v>-0.91123475884881122</c:v>
                </c:pt>
                <c:pt idx="55" formatCode="0.0">
                  <c:v>0.15811289887168734</c:v>
                </c:pt>
                <c:pt idx="56" formatCode="0.0">
                  <c:v>2.7833916764099298</c:v>
                </c:pt>
                <c:pt idx="57" formatCode="0.0">
                  <c:v>5.3894469872403983</c:v>
                </c:pt>
                <c:pt idx="58" formatCode="0.0">
                  <c:v>7.4826101961926961</c:v>
                </c:pt>
                <c:pt idx="59" formatCode="0.0">
                  <c:v>7.5571445406756865</c:v>
                </c:pt>
                <c:pt idx="60" formatCode="0.0">
                  <c:v>6.4616994422448615</c:v>
                </c:pt>
                <c:pt idx="61" formatCode="0.0">
                  <c:v>5.6048250270614997</c:v>
                </c:pt>
                <c:pt idx="62" formatCode="0.0">
                  <c:v>4.7685886469166938</c:v>
                </c:pt>
                <c:pt idx="63" formatCode="0.0">
                  <c:v>4.0965573777645092</c:v>
                </c:pt>
                <c:pt idx="64" formatCode="0.0">
                  <c:v>2.9286749615278884</c:v>
                </c:pt>
                <c:pt idx="65" formatCode="0.0">
                  <c:v>1.9688592452676845</c:v>
                </c:pt>
                <c:pt idx="66" formatCode="0.0">
                  <c:v>1.8312208110412787</c:v>
                </c:pt>
                <c:pt idx="67" formatCode="0.0">
                  <c:v>1.6082472449035601</c:v>
                </c:pt>
                <c:pt idx="68" formatCode="0.0">
                  <c:v>2.5170919323215246</c:v>
                </c:pt>
                <c:pt idx="69" formatCode="0.0">
                  <c:v>3.2408681168866638</c:v>
                </c:pt>
                <c:pt idx="70" formatCode="0.0">
                  <c:v>3.1009206604364792</c:v>
                </c:pt>
                <c:pt idx="71" formatCode="0.0">
                  <c:v>3.2124550167466071</c:v>
                </c:pt>
                <c:pt idx="72" formatCode="0.0">
                  <c:v>2.9969829045654262</c:v>
                </c:pt>
                <c:pt idx="73" formatCode="0.0">
                  <c:v>1.9644057263087822</c:v>
                </c:pt>
                <c:pt idx="74" formatCode="0.0">
                  <c:v>1.2081765686460466</c:v>
                </c:pt>
                <c:pt idx="75" formatCode="0.0">
                  <c:v>0.52408822072234074</c:v>
                </c:pt>
                <c:pt idx="76" formatCode="0.0">
                  <c:v>-0.65656948467667231</c:v>
                </c:pt>
                <c:pt idx="77" formatCode="0.0">
                  <c:v>-1.3010134536834861</c:v>
                </c:pt>
                <c:pt idx="78" formatCode="0.0">
                  <c:v>-2.214905998788419</c:v>
                </c:pt>
                <c:pt idx="79" formatCode="0.0">
                  <c:v>-3.5358034559468954</c:v>
                </c:pt>
                <c:pt idx="80" formatCode="0.0">
                  <c:v>-4.696777811842912</c:v>
                </c:pt>
                <c:pt idx="81" formatCode="0.0">
                  <c:v>-4.8302757373333671</c:v>
                </c:pt>
                <c:pt idx="82" formatCode="0.0">
                  <c:v>-4.4024231999361447</c:v>
                </c:pt>
                <c:pt idx="83" formatCode="0.0">
                  <c:v>-3.5053420898807697</c:v>
                </c:pt>
                <c:pt idx="84" formatCode="0.0">
                  <c:v>-1.6959690534499972</c:v>
                </c:pt>
                <c:pt idx="85" formatCode="0.0">
                  <c:v>-0.60804178045493762</c:v>
                </c:pt>
                <c:pt idx="86" formatCode="0.0">
                  <c:v>0.50277540343144356</c:v>
                </c:pt>
                <c:pt idx="87" formatCode="0.0">
                  <c:v>1.6231205936088067</c:v>
                </c:pt>
                <c:pt idx="88" formatCode="0.0">
                  <c:v>1.9143198804838057</c:v>
                </c:pt>
                <c:pt idx="89" formatCode="0.0">
                  <c:v>2.0146621292876699</c:v>
                </c:pt>
                <c:pt idx="90" formatCode="0.0">
                  <c:v>2.0236700662336071</c:v>
                </c:pt>
                <c:pt idx="91" formatCode="0.0">
                  <c:v>1.6779977056551099</c:v>
                </c:pt>
                <c:pt idx="92" formatCode="0.0">
                  <c:v>1.4670212399420679</c:v>
                </c:pt>
                <c:pt idx="93" formatCode="0.0">
                  <c:v>1.5050993626539944</c:v>
                </c:pt>
                <c:pt idx="94" formatCode="0.0">
                  <c:v>1.1728541128684489</c:v>
                </c:pt>
                <c:pt idx="95" formatCode="0.0">
                  <c:v>1.217781741139623</c:v>
                </c:pt>
                <c:pt idx="96" formatCode="0.0">
                  <c:v>0.57291715233256379</c:v>
                </c:pt>
                <c:pt idx="97" formatCode="0.0">
                  <c:v>-2.5005802242033637</c:v>
                </c:pt>
                <c:pt idx="98" formatCode="0.0">
                  <c:v>-3.5953422496938447</c:v>
                </c:pt>
                <c:pt idx="99" formatCode="0.0">
                  <c:v>-4.1841771018526375</c:v>
                </c:pt>
                <c:pt idx="100" formatCode="0.0">
                  <c:v>-3.2006341853067166</c:v>
                </c:pt>
                <c:pt idx="101" formatCode="0.0">
                  <c:v>2.273172105818877</c:v>
                </c:pt>
                <c:pt idx="102" formatCode="0.0">
                  <c:v>4.2666650237028314</c:v>
                </c:pt>
                <c:pt idx="103" formatCode="0.0">
                  <c:v>4.8612087206641341</c:v>
                </c:pt>
                <c:pt idx="104" formatCode="0.0">
                  <c:v>4.15210829003958</c:v>
                </c:pt>
                <c:pt idx="105" formatCode="0.0">
                  <c:v>1.3542294697869828</c:v>
                </c:pt>
                <c:pt idx="106" formatCode="0.0">
                  <c:v>0.56351100737950244</c:v>
                </c:pt>
                <c:pt idx="107" formatCode="0.0">
                  <c:v>0.48997648605759725</c:v>
                </c:pt>
                <c:pt idx="108" formatCode="0.0">
                  <c:v>0.83016219088329901</c:v>
                </c:pt>
                <c:pt idx="109" formatCode="0.0">
                  <c:v>1.2440654904443127</c:v>
                </c:pt>
                <c:pt idx="110" formatCode="0.0">
                  <c:v>1.568954580570181</c:v>
                </c:pt>
                <c:pt idx="111" formatCode="0.0">
                  <c:v>1.8680917044955558</c:v>
                </c:pt>
                <c:pt idx="112" formatCode="0.0">
                  <c:v>2.1033943332111837</c:v>
                </c:pt>
                <c:pt idx="113" formatCode="0.0">
                  <c:v>2.2532382897256564</c:v>
                </c:pt>
                <c:pt idx="114" formatCode="0.0">
                  <c:v>2.440165830525709</c:v>
                </c:pt>
                <c:pt idx="115" formatCode="0.0">
                  <c:v>2.6890874832461664</c:v>
                </c:pt>
                <c:pt idx="116" formatCode="0.0">
                  <c:v>2.9300316955168437</c:v>
                </c:pt>
                <c:pt idx="117" formatCode="0.0">
                  <c:v>3.1171142468855217</c:v>
                </c:pt>
                <c:pt idx="118" formatCode="0.0">
                  <c:v>3.2269052746283</c:v>
                </c:pt>
                <c:pt idx="119" formatCode="0.0">
                  <c:v>3.247107286428208</c:v>
                </c:pt>
                <c:pt idx="120" formatCode="0.0">
                  <c:v>3.2130052700888312</c:v>
                </c:pt>
                <c:pt idx="121" formatCode="0.0">
                  <c:v>3.148353989284014</c:v>
                </c:pt>
                <c:pt idx="122" formatCode="0.0">
                  <c:v>3.0687604404279201</c:v>
                </c:pt>
                <c:pt idx="123" formatCode="0.0">
                  <c:v>2.9841242642103971</c:v>
                </c:pt>
                <c:pt idx="124" formatCode="0.0">
                  <c:v>2.9004235477062768</c:v>
                </c:pt>
                <c:pt idx="125" formatCode="0.0">
                  <c:v>2.8210116820045039</c:v>
                </c:pt>
                <c:pt idx="126" formatCode="0.0">
                  <c:v>2.7475075735734489</c:v>
                </c:pt>
                <c:pt idx="127" formatCode="0.0">
                  <c:v>2.6804500595428715</c:v>
                </c:pt>
                <c:pt idx="128" formatCode="0.0">
                  <c:v>2.6197173686272057</c:v>
                </c:pt>
                <c:pt idx="129" formatCode="0.0">
                  <c:v>2.5647749011085574</c:v>
                </c:pt>
                <c:pt idx="130" formatCode="0.0">
                  <c:v>2.5148718034144757</c:v>
                </c:pt>
                <c:pt idx="131" formatCode="0.0">
                  <c:v>2.4692408008639921</c:v>
                </c:pt>
                <c:pt idx="132" formatCode="0.0">
                  <c:v>2.4271548696312539</c:v>
                </c:pt>
                <c:pt idx="133" formatCode="0.0">
                  <c:v>2.3878865691361106</c:v>
                </c:pt>
                <c:pt idx="134" formatCode="0.0">
                  <c:v>2.3507468936181608</c:v>
                </c:pt>
                <c:pt idx="135" formatCode="0.0">
                  <c:v>2.31519992045357</c:v>
                </c:pt>
                <c:pt idx="136" formatCode="0.0">
                  <c:v>2.280838978565658</c:v>
                </c:pt>
                <c:pt idx="137" formatCode="0.0">
                  <c:v>2.2472729143544701</c:v>
                </c:pt>
                <c:pt idx="138" formatCode="0.0">
                  <c:v>2.2141408097585469</c:v>
                </c:pt>
                <c:pt idx="139" formatCode="0.0">
                  <c:v>2.1812220226558043</c:v>
                </c:pt>
                <c:pt idx="140" formatCode="0.0">
                  <c:v>2.1484013004969604</c:v>
                </c:pt>
                <c:pt idx="141" formatCode="0.0">
                  <c:v>2.1155407472320142</c:v>
                </c:pt>
                <c:pt idx="142" formatCode="0.0">
                  <c:v>2.0824965795216865</c:v>
                </c:pt>
                <c:pt idx="143" formatCode="0.0">
                  <c:v>2.0492326923011284</c:v>
                </c:pt>
                <c:pt idx="144" formatCode="0.0">
                  <c:v>2.0157890740208462</c:v>
                </c:pt>
                <c:pt idx="145" formatCode="0.0">
                  <c:v>1.9821568343924234</c:v>
                </c:pt>
                <c:pt idx="146" formatCode="0.0">
                  <c:v>1.9482985789814444</c:v>
                </c:pt>
                <c:pt idx="147" formatCode="0.0">
                  <c:v>1.9142584969146448</c:v>
                </c:pt>
                <c:pt idx="148" formatCode="0.0">
                  <c:v>1.8801363221951695</c:v>
                </c:pt>
                <c:pt idx="149" formatCode="0.0">
                  <c:v>1.8459734233194913</c:v>
                </c:pt>
                <c:pt idx="150" formatCode="0.0">
                  <c:v>1.8117741468563375</c:v>
                </c:pt>
                <c:pt idx="151" formatCode="0.0">
                  <c:v>1.7776048568188152</c:v>
                </c:pt>
                <c:pt idx="152" formatCode="0.0">
                  <c:v>1.7435733995073033</c:v>
                </c:pt>
                <c:pt idx="153" formatCode="0.0">
                  <c:v>1.7097311021255113</c:v>
                </c:pt>
                <c:pt idx="154" formatCode="0.0">
                  <c:v>1.6760926708480062</c:v>
                </c:pt>
                <c:pt idx="155" formatCode="0.0">
                  <c:v>1.6427197789119052</c:v>
                </c:pt>
                <c:pt idx="156" formatCode="0.0">
                  <c:v>1.6097054159106117</c:v>
                </c:pt>
                <c:pt idx="157" formatCode="0.0">
                  <c:v>1.5770937135627605</c:v>
                </c:pt>
                <c:pt idx="158" formatCode="0.0">
                  <c:v>1.5448970150758745</c:v>
                </c:pt>
                <c:pt idx="159" formatCode="0.0">
                  <c:v>1.5131621105426429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16-4961-B79D-E9EFCCB8F678}"/>
            </c:ext>
          </c:extLst>
        </c:ser>
        <c:ser>
          <c:idx val="0"/>
          <c:order val="1"/>
          <c:tx>
            <c:strRef>
              <c:f>Saídas!$AC$3</c:f>
              <c:strCache>
                <c:ptCount val="1"/>
                <c:pt idx="0">
                  <c:v>PIB potencial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Saídas!$A$4:$A$163</c:f>
              <c:numCache>
                <c:formatCode>mm/yyyy</c:formatCode>
                <c:ptCount val="160"/>
                <c:pt idx="0">
                  <c:v>35125</c:v>
                </c:pt>
                <c:pt idx="1">
                  <c:v>35246</c:v>
                </c:pt>
                <c:pt idx="2">
                  <c:v>35338</c:v>
                </c:pt>
                <c:pt idx="3">
                  <c:v>35430</c:v>
                </c:pt>
                <c:pt idx="4">
                  <c:v>35520</c:v>
                </c:pt>
                <c:pt idx="5">
                  <c:v>35611</c:v>
                </c:pt>
                <c:pt idx="6">
                  <c:v>35703</c:v>
                </c:pt>
                <c:pt idx="7">
                  <c:v>35795</c:v>
                </c:pt>
                <c:pt idx="8">
                  <c:v>35885</c:v>
                </c:pt>
                <c:pt idx="9">
                  <c:v>35976</c:v>
                </c:pt>
                <c:pt idx="10">
                  <c:v>36068</c:v>
                </c:pt>
                <c:pt idx="11">
                  <c:v>36160</c:v>
                </c:pt>
                <c:pt idx="12">
                  <c:v>36250</c:v>
                </c:pt>
                <c:pt idx="13">
                  <c:v>36341</c:v>
                </c:pt>
                <c:pt idx="14">
                  <c:v>36433</c:v>
                </c:pt>
                <c:pt idx="15">
                  <c:v>36525</c:v>
                </c:pt>
                <c:pt idx="16">
                  <c:v>36616</c:v>
                </c:pt>
                <c:pt idx="17">
                  <c:v>36707</c:v>
                </c:pt>
                <c:pt idx="18">
                  <c:v>36799</c:v>
                </c:pt>
                <c:pt idx="19">
                  <c:v>36891</c:v>
                </c:pt>
                <c:pt idx="20">
                  <c:v>36981</c:v>
                </c:pt>
                <c:pt idx="21">
                  <c:v>37072</c:v>
                </c:pt>
                <c:pt idx="22">
                  <c:v>37164</c:v>
                </c:pt>
                <c:pt idx="23">
                  <c:v>37256</c:v>
                </c:pt>
                <c:pt idx="24">
                  <c:v>37346</c:v>
                </c:pt>
                <c:pt idx="25">
                  <c:v>37437</c:v>
                </c:pt>
                <c:pt idx="26">
                  <c:v>37529</c:v>
                </c:pt>
                <c:pt idx="27">
                  <c:v>37621</c:v>
                </c:pt>
                <c:pt idx="28">
                  <c:v>37711</c:v>
                </c:pt>
                <c:pt idx="29">
                  <c:v>37802</c:v>
                </c:pt>
                <c:pt idx="30">
                  <c:v>37894</c:v>
                </c:pt>
                <c:pt idx="31">
                  <c:v>37986</c:v>
                </c:pt>
                <c:pt idx="32">
                  <c:v>38077</c:v>
                </c:pt>
                <c:pt idx="33">
                  <c:v>38168</c:v>
                </c:pt>
                <c:pt idx="34">
                  <c:v>38260</c:v>
                </c:pt>
                <c:pt idx="35">
                  <c:v>38352</c:v>
                </c:pt>
                <c:pt idx="36">
                  <c:v>38442</c:v>
                </c:pt>
                <c:pt idx="37">
                  <c:v>38533</c:v>
                </c:pt>
                <c:pt idx="38">
                  <c:v>38625</c:v>
                </c:pt>
                <c:pt idx="39">
                  <c:v>38717</c:v>
                </c:pt>
                <c:pt idx="40">
                  <c:v>38807</c:v>
                </c:pt>
                <c:pt idx="41">
                  <c:v>38898</c:v>
                </c:pt>
                <c:pt idx="42">
                  <c:v>38990</c:v>
                </c:pt>
                <c:pt idx="43">
                  <c:v>39082</c:v>
                </c:pt>
                <c:pt idx="44">
                  <c:v>39172</c:v>
                </c:pt>
                <c:pt idx="45">
                  <c:v>39263</c:v>
                </c:pt>
                <c:pt idx="46">
                  <c:v>39355</c:v>
                </c:pt>
                <c:pt idx="47">
                  <c:v>39447</c:v>
                </c:pt>
                <c:pt idx="48">
                  <c:v>39538</c:v>
                </c:pt>
                <c:pt idx="49">
                  <c:v>39629</c:v>
                </c:pt>
                <c:pt idx="50">
                  <c:v>39721</c:v>
                </c:pt>
                <c:pt idx="51">
                  <c:v>39813</c:v>
                </c:pt>
                <c:pt idx="52">
                  <c:v>39903</c:v>
                </c:pt>
                <c:pt idx="53">
                  <c:v>39994</c:v>
                </c:pt>
                <c:pt idx="54">
                  <c:v>40086</c:v>
                </c:pt>
                <c:pt idx="55">
                  <c:v>40178</c:v>
                </c:pt>
                <c:pt idx="56">
                  <c:v>40268</c:v>
                </c:pt>
                <c:pt idx="57">
                  <c:v>40359</c:v>
                </c:pt>
                <c:pt idx="58">
                  <c:v>40451</c:v>
                </c:pt>
                <c:pt idx="59">
                  <c:v>40543</c:v>
                </c:pt>
                <c:pt idx="60">
                  <c:v>40633</c:v>
                </c:pt>
                <c:pt idx="61">
                  <c:v>40724</c:v>
                </c:pt>
                <c:pt idx="62">
                  <c:v>40816</c:v>
                </c:pt>
                <c:pt idx="63">
                  <c:v>40908</c:v>
                </c:pt>
                <c:pt idx="64">
                  <c:v>40999</c:v>
                </c:pt>
                <c:pt idx="65">
                  <c:v>41090</c:v>
                </c:pt>
                <c:pt idx="66">
                  <c:v>41182</c:v>
                </c:pt>
                <c:pt idx="67">
                  <c:v>41274</c:v>
                </c:pt>
                <c:pt idx="68">
                  <c:v>41364</c:v>
                </c:pt>
                <c:pt idx="69">
                  <c:v>41455</c:v>
                </c:pt>
                <c:pt idx="70">
                  <c:v>41547</c:v>
                </c:pt>
                <c:pt idx="71">
                  <c:v>41639</c:v>
                </c:pt>
                <c:pt idx="72">
                  <c:v>41729</c:v>
                </c:pt>
                <c:pt idx="73">
                  <c:v>41820</c:v>
                </c:pt>
                <c:pt idx="74">
                  <c:v>41912</c:v>
                </c:pt>
                <c:pt idx="75">
                  <c:v>42004</c:v>
                </c:pt>
                <c:pt idx="76">
                  <c:v>42094</c:v>
                </c:pt>
                <c:pt idx="77">
                  <c:v>42185</c:v>
                </c:pt>
                <c:pt idx="78">
                  <c:v>42277</c:v>
                </c:pt>
                <c:pt idx="79">
                  <c:v>42369</c:v>
                </c:pt>
                <c:pt idx="80">
                  <c:v>42460</c:v>
                </c:pt>
                <c:pt idx="81">
                  <c:v>42551</c:v>
                </c:pt>
                <c:pt idx="82">
                  <c:v>42643</c:v>
                </c:pt>
                <c:pt idx="83">
                  <c:v>42735</c:v>
                </c:pt>
                <c:pt idx="84">
                  <c:v>42825</c:v>
                </c:pt>
                <c:pt idx="85">
                  <c:v>42916</c:v>
                </c:pt>
                <c:pt idx="86">
                  <c:v>43008</c:v>
                </c:pt>
                <c:pt idx="87">
                  <c:v>43100</c:v>
                </c:pt>
                <c:pt idx="88">
                  <c:v>43190</c:v>
                </c:pt>
                <c:pt idx="89">
                  <c:v>43281</c:v>
                </c:pt>
                <c:pt idx="90">
                  <c:v>43373</c:v>
                </c:pt>
                <c:pt idx="91">
                  <c:v>43465</c:v>
                </c:pt>
                <c:pt idx="92">
                  <c:v>43555</c:v>
                </c:pt>
                <c:pt idx="93">
                  <c:v>43646</c:v>
                </c:pt>
                <c:pt idx="94">
                  <c:v>43738</c:v>
                </c:pt>
                <c:pt idx="95">
                  <c:v>43830</c:v>
                </c:pt>
                <c:pt idx="96">
                  <c:v>43921</c:v>
                </c:pt>
                <c:pt idx="97">
                  <c:v>44012</c:v>
                </c:pt>
                <c:pt idx="98">
                  <c:v>44104</c:v>
                </c:pt>
                <c:pt idx="99">
                  <c:v>44196</c:v>
                </c:pt>
                <c:pt idx="100">
                  <c:v>44286</c:v>
                </c:pt>
                <c:pt idx="101">
                  <c:v>44377</c:v>
                </c:pt>
                <c:pt idx="102">
                  <c:v>44469</c:v>
                </c:pt>
                <c:pt idx="103">
                  <c:v>44561</c:v>
                </c:pt>
                <c:pt idx="104">
                  <c:v>44651</c:v>
                </c:pt>
                <c:pt idx="105">
                  <c:v>44742</c:v>
                </c:pt>
                <c:pt idx="106">
                  <c:v>44834</c:v>
                </c:pt>
                <c:pt idx="107">
                  <c:v>44926</c:v>
                </c:pt>
                <c:pt idx="108">
                  <c:v>45016</c:v>
                </c:pt>
                <c:pt idx="109">
                  <c:v>45107</c:v>
                </c:pt>
                <c:pt idx="110">
                  <c:v>45199</c:v>
                </c:pt>
                <c:pt idx="111">
                  <c:v>45291</c:v>
                </c:pt>
                <c:pt idx="112">
                  <c:v>45382</c:v>
                </c:pt>
                <c:pt idx="113">
                  <c:v>45473</c:v>
                </c:pt>
                <c:pt idx="114">
                  <c:v>45565</c:v>
                </c:pt>
                <c:pt idx="115">
                  <c:v>45657</c:v>
                </c:pt>
                <c:pt idx="116">
                  <c:v>45747</c:v>
                </c:pt>
                <c:pt idx="117">
                  <c:v>45838</c:v>
                </c:pt>
                <c:pt idx="118">
                  <c:v>45930</c:v>
                </c:pt>
                <c:pt idx="119">
                  <c:v>46022</c:v>
                </c:pt>
                <c:pt idx="120">
                  <c:v>46112</c:v>
                </c:pt>
                <c:pt idx="121">
                  <c:v>46203</c:v>
                </c:pt>
                <c:pt idx="122">
                  <c:v>46295</c:v>
                </c:pt>
                <c:pt idx="123">
                  <c:v>46387</c:v>
                </c:pt>
                <c:pt idx="124">
                  <c:v>46477</c:v>
                </c:pt>
                <c:pt idx="125">
                  <c:v>46568</c:v>
                </c:pt>
                <c:pt idx="126">
                  <c:v>46660</c:v>
                </c:pt>
                <c:pt idx="127">
                  <c:v>46752</c:v>
                </c:pt>
                <c:pt idx="128">
                  <c:v>46843</c:v>
                </c:pt>
                <c:pt idx="129">
                  <c:v>46934</c:v>
                </c:pt>
                <c:pt idx="130">
                  <c:v>47026</c:v>
                </c:pt>
                <c:pt idx="131">
                  <c:v>47118</c:v>
                </c:pt>
                <c:pt idx="132">
                  <c:v>47208</c:v>
                </c:pt>
                <c:pt idx="133">
                  <c:v>47299</c:v>
                </c:pt>
                <c:pt idx="134">
                  <c:v>47391</c:v>
                </c:pt>
                <c:pt idx="135">
                  <c:v>47483</c:v>
                </c:pt>
                <c:pt idx="136">
                  <c:v>47573</c:v>
                </c:pt>
                <c:pt idx="137">
                  <c:v>47664</c:v>
                </c:pt>
                <c:pt idx="138">
                  <c:v>47756</c:v>
                </c:pt>
                <c:pt idx="139">
                  <c:v>47848</c:v>
                </c:pt>
                <c:pt idx="140">
                  <c:v>47938</c:v>
                </c:pt>
                <c:pt idx="141">
                  <c:v>48029</c:v>
                </c:pt>
                <c:pt idx="142">
                  <c:v>48121</c:v>
                </c:pt>
                <c:pt idx="143">
                  <c:v>48213</c:v>
                </c:pt>
                <c:pt idx="144">
                  <c:v>48304</c:v>
                </c:pt>
                <c:pt idx="145">
                  <c:v>48395</c:v>
                </c:pt>
                <c:pt idx="146">
                  <c:v>48487</c:v>
                </c:pt>
                <c:pt idx="147">
                  <c:v>48579</c:v>
                </c:pt>
                <c:pt idx="148">
                  <c:v>48669</c:v>
                </c:pt>
                <c:pt idx="149">
                  <c:v>48760</c:v>
                </c:pt>
                <c:pt idx="150">
                  <c:v>48852</c:v>
                </c:pt>
                <c:pt idx="151">
                  <c:v>48944</c:v>
                </c:pt>
                <c:pt idx="152">
                  <c:v>49034</c:v>
                </c:pt>
                <c:pt idx="153">
                  <c:v>49125</c:v>
                </c:pt>
                <c:pt idx="154">
                  <c:v>49217</c:v>
                </c:pt>
                <c:pt idx="155">
                  <c:v>49309</c:v>
                </c:pt>
                <c:pt idx="156">
                  <c:v>49399</c:v>
                </c:pt>
                <c:pt idx="157">
                  <c:v>49490</c:v>
                </c:pt>
                <c:pt idx="158">
                  <c:v>49582</c:v>
                </c:pt>
                <c:pt idx="159">
                  <c:v>49674</c:v>
                </c:pt>
              </c:numCache>
            </c:numRef>
          </c:cat>
          <c:val>
            <c:numRef>
              <c:f>Saídas!$AC$4:$AC$163</c:f>
              <c:numCache>
                <c:formatCode>General</c:formatCode>
                <c:ptCount val="160"/>
                <c:pt idx="7" formatCode="0.0">
                  <c:v>3.6126940110855932</c:v>
                </c:pt>
                <c:pt idx="8" formatCode="0.0">
                  <c:v>3.5193291689757711</c:v>
                </c:pt>
                <c:pt idx="9" formatCode="0.0">
                  <c:v>3.4099951827210484</c:v>
                </c:pt>
                <c:pt idx="10" formatCode="0.0">
                  <c:v>3.2978260057885178</c:v>
                </c:pt>
                <c:pt idx="11" formatCode="0.0">
                  <c:v>3.1954567937162448</c:v>
                </c:pt>
                <c:pt idx="12" formatCode="0.0">
                  <c:v>3.1025753028258718</c:v>
                </c:pt>
                <c:pt idx="13" formatCode="0.0">
                  <c:v>3.0188915083562806</c:v>
                </c:pt>
                <c:pt idx="14" formatCode="0.0">
                  <c:v>2.9484165569206411</c:v>
                </c:pt>
                <c:pt idx="15" formatCode="0.0">
                  <c:v>2.8950616952744479</c:v>
                </c:pt>
                <c:pt idx="16" formatCode="0.0">
                  <c:v>2.8584227344879531</c:v>
                </c:pt>
                <c:pt idx="17" formatCode="0.0">
                  <c:v>2.8381208513103884</c:v>
                </c:pt>
                <c:pt idx="18" formatCode="0.0">
                  <c:v>2.8312250581191245</c:v>
                </c:pt>
                <c:pt idx="19" formatCode="0.0">
                  <c:v>2.834895546019145</c:v>
                </c:pt>
                <c:pt idx="20" formatCode="0.0">
                  <c:v>2.8489121756090308</c:v>
                </c:pt>
                <c:pt idx="21" formatCode="0.0">
                  <c:v>2.8730597097976984</c:v>
                </c:pt>
                <c:pt idx="22" formatCode="0.0">
                  <c:v>2.9026512824469552</c:v>
                </c:pt>
                <c:pt idx="23" formatCode="0.0">
                  <c:v>2.9331214524666027</c:v>
                </c:pt>
                <c:pt idx="24" formatCode="0.0">
                  <c:v>2.9644408621456897</c:v>
                </c:pt>
                <c:pt idx="25" formatCode="0.0">
                  <c:v>2.9965803660106038</c:v>
                </c:pt>
                <c:pt idx="26" formatCode="0.0">
                  <c:v>3.0297758086441418</c:v>
                </c:pt>
                <c:pt idx="27" formatCode="0.0">
                  <c:v>3.064254476917494</c:v>
                </c:pt>
                <c:pt idx="28" formatCode="0.0">
                  <c:v>3.0999747100977748</c:v>
                </c:pt>
                <c:pt idx="29" formatCode="0.0">
                  <c:v>3.1368950799213202</c:v>
                </c:pt>
                <c:pt idx="30" formatCode="0.0">
                  <c:v>3.1808465329657531</c:v>
                </c:pt>
                <c:pt idx="31" formatCode="0.0">
                  <c:v>3.2374790436747736</c:v>
                </c:pt>
                <c:pt idx="32" formatCode="0.0">
                  <c:v>3.3064785215689785</c:v>
                </c:pt>
                <c:pt idx="33" formatCode="0.0">
                  <c:v>3.3875294309805959</c:v>
                </c:pt>
                <c:pt idx="34" formatCode="0.0">
                  <c:v>3.4681880318983893</c:v>
                </c:pt>
                <c:pt idx="35" formatCode="0.0">
                  <c:v>3.5363796588198548</c:v>
                </c:pt>
                <c:pt idx="36" formatCode="0.0">
                  <c:v>3.5923513968256104</c:v>
                </c:pt>
                <c:pt idx="37" formatCode="0.0">
                  <c:v>3.6363623992094141</c:v>
                </c:pt>
                <c:pt idx="38" formatCode="0.0">
                  <c:v>3.6736696550298653</c:v>
                </c:pt>
                <c:pt idx="39" formatCode="0.0">
                  <c:v>3.7093674926505837</c:v>
                </c:pt>
                <c:pt idx="40" formatCode="0.0">
                  <c:v>3.7434800159551029</c:v>
                </c:pt>
                <c:pt idx="41" formatCode="0.0">
                  <c:v>3.7760320871073949</c:v>
                </c:pt>
                <c:pt idx="42" formatCode="0.0">
                  <c:v>3.8069669399358075</c:v>
                </c:pt>
                <c:pt idx="43" formatCode="0.0">
                  <c:v>3.8362316288895304</c:v>
                </c:pt>
                <c:pt idx="44" formatCode="0.0">
                  <c:v>3.8638576304741434</c:v>
                </c:pt>
                <c:pt idx="45" formatCode="0.0">
                  <c:v>3.8898768433412112</c:v>
                </c:pt>
                <c:pt idx="46" formatCode="0.0">
                  <c:v>3.9112813938448898</c:v>
                </c:pt>
                <c:pt idx="47" formatCode="0.0">
                  <c:v>3.9251790234309247</c:v>
                </c:pt>
                <c:pt idx="48" formatCode="0.0">
                  <c:v>3.9317746215570049</c:v>
                </c:pt>
                <c:pt idx="49" formatCode="0.0">
                  <c:v>3.9312719271050511</c:v>
                </c:pt>
                <c:pt idx="50" formatCode="0.0">
                  <c:v>3.9135120837990867</c:v>
                </c:pt>
                <c:pt idx="51" formatCode="0.0">
                  <c:v>3.8687306566571156</c:v>
                </c:pt>
                <c:pt idx="52" formatCode="0.0">
                  <c:v>3.7977093855077859</c:v>
                </c:pt>
                <c:pt idx="53" formatCode="0.0">
                  <c:v>3.7012133107621192</c:v>
                </c:pt>
                <c:pt idx="54" formatCode="0.0">
                  <c:v>3.603533132355774</c:v>
                </c:pt>
                <c:pt idx="55" formatCode="0.0">
                  <c:v>3.5280039157631116</c:v>
                </c:pt>
                <c:pt idx="56" formatCode="0.0">
                  <c:v>3.4739811767679152</c:v>
                </c:pt>
                <c:pt idx="57" formatCode="0.0">
                  <c:v>3.4408662599545448</c:v>
                </c:pt>
                <c:pt idx="58" formatCode="0.0">
                  <c:v>3.4078658376194726</c:v>
                </c:pt>
                <c:pt idx="59" formatCode="0.0">
                  <c:v>3.3549078027831136</c:v>
                </c:pt>
                <c:pt idx="60" formatCode="0.0">
                  <c:v>3.2824963317940714</c:v>
                </c:pt>
                <c:pt idx="61" formatCode="0.0">
                  <c:v>3.1911207017424559</c:v>
                </c:pt>
                <c:pt idx="62" formatCode="0.0">
                  <c:v>3.0846675781997401</c:v>
                </c:pt>
                <c:pt idx="63" formatCode="0.0">
                  <c:v>2.9668507786382525</c:v>
                </c:pt>
                <c:pt idx="64" formatCode="0.0">
                  <c:v>2.837875033694881</c:v>
                </c:pt>
                <c:pt idx="65" formatCode="0.0">
                  <c:v>2.6979267299706899</c:v>
                </c:pt>
                <c:pt idx="66" formatCode="0.0">
                  <c:v>2.5569121793941996</c:v>
                </c:pt>
                <c:pt idx="67" formatCode="0.0">
                  <c:v>2.4244134942245532</c:v>
                </c:pt>
                <c:pt idx="68" formatCode="0.0">
                  <c:v>2.3001357579888415</c:v>
                </c:pt>
                <c:pt idx="69" formatCode="0.0">
                  <c:v>2.1838068696389046</c:v>
                </c:pt>
                <c:pt idx="70" formatCode="0.0">
                  <c:v>2.0657509890472436</c:v>
                </c:pt>
                <c:pt idx="71" formatCode="0.0">
                  <c:v>1.936531652997342</c:v>
                </c:pt>
                <c:pt idx="72" formatCode="0.0">
                  <c:v>1.7962380082918061</c:v>
                </c:pt>
                <c:pt idx="73" formatCode="0.0">
                  <c:v>1.6449411325014651</c:v>
                </c:pt>
                <c:pt idx="74" formatCode="0.0">
                  <c:v>1.4859506241941656</c:v>
                </c:pt>
                <c:pt idx="75" formatCode="0.0">
                  <c:v>1.322459551630395</c:v>
                </c:pt>
                <c:pt idx="76" formatCode="0.0">
                  <c:v>1.1543450887281592</c:v>
                </c:pt>
                <c:pt idx="77" formatCode="0.0">
                  <c:v>0.98147624534363764</c:v>
                </c:pt>
                <c:pt idx="78" formatCode="0.0">
                  <c:v>0.81534179197833012</c:v>
                </c:pt>
                <c:pt idx="79" formatCode="0.0">
                  <c:v>0.6672749191637628</c:v>
                </c:pt>
                <c:pt idx="80" formatCode="0.0">
                  <c:v>0.53694259034515746</c:v>
                </c:pt>
                <c:pt idx="81" formatCode="0.0">
                  <c:v>0.42406032663819815</c:v>
                </c:pt>
                <c:pt idx="82" formatCode="0.0">
                  <c:v>0.33159738478334422</c:v>
                </c:pt>
                <c:pt idx="83" formatCode="0.0">
                  <c:v>0.2625793820277611</c:v>
                </c:pt>
                <c:pt idx="84" formatCode="0.0">
                  <c:v>0.21686952320640884</c:v>
                </c:pt>
                <c:pt idx="85" formatCode="0.0">
                  <c:v>0.19436764864635414</c:v>
                </c:pt>
                <c:pt idx="86" formatCode="0.0">
                  <c:v>0.19047778823504391</c:v>
                </c:pt>
                <c:pt idx="87" formatCode="0.0">
                  <c:v>0.20063798319498449</c:v>
                </c:pt>
                <c:pt idx="88" formatCode="0.0">
                  <c:v>0.22482803656993511</c:v>
                </c:pt>
                <c:pt idx="89" formatCode="0.0">
                  <c:v>0.26303006263317386</c:v>
                </c:pt>
                <c:pt idx="90" formatCode="0.0">
                  <c:v>0.30997884810863852</c:v>
                </c:pt>
                <c:pt idx="91" formatCode="0.0">
                  <c:v>0.36040552850928886</c:v>
                </c:pt>
                <c:pt idx="92" formatCode="0.0">
                  <c:v>0.41428673753132195</c:v>
                </c:pt>
                <c:pt idx="93" formatCode="0.0">
                  <c:v>0.47159682814941206</c:v>
                </c:pt>
                <c:pt idx="94" formatCode="0.0">
                  <c:v>0.51137980608668698</c:v>
                </c:pt>
                <c:pt idx="95" formatCode="0.0">
                  <c:v>0.52449666490592683</c:v>
                </c:pt>
                <c:pt idx="96" formatCode="0.0">
                  <c:v>4.4581456107817274E-2</c:v>
                </c:pt>
                <c:pt idx="97" formatCode="0.0">
                  <c:v>-2.1432262965786708</c:v>
                </c:pt>
                <c:pt idx="98" formatCode="0.0">
                  <c:v>-3.016526757412652</c:v>
                </c:pt>
                <c:pt idx="99" formatCode="0.0">
                  <c:v>-3.142118482159395</c:v>
                </c:pt>
                <c:pt idx="100" formatCode="0.0">
                  <c:v>-2.3673478627251776</c:v>
                </c:pt>
                <c:pt idx="101" formatCode="0.0">
                  <c:v>2.1455060651691893</c:v>
                </c:pt>
                <c:pt idx="102" formatCode="0.0">
                  <c:v>4.2594575154054182</c:v>
                </c:pt>
                <c:pt idx="103" formatCode="0.0">
                  <c:v>4.9101159487542789</c:v>
                </c:pt>
                <c:pt idx="104" formatCode="0.0">
                  <c:v>5.1851112370953523</c:v>
                </c:pt>
                <c:pt idx="105" formatCode="0.0">
                  <c:v>3.1275601183168966</c:v>
                </c:pt>
                <c:pt idx="106" formatCode="0.0">
                  <c:v>2.180366853484883</c:v>
                </c:pt>
                <c:pt idx="107" formatCode="0.0">
                  <c:v>1.9403300622454545</c:v>
                </c:pt>
                <c:pt idx="108" formatCode="0.0">
                  <c:v>1.6267010217047462</c:v>
                </c:pt>
                <c:pt idx="109" formatCode="0.0">
                  <c:v>1.5668108475903164</c:v>
                </c:pt>
                <c:pt idx="110" formatCode="0.0">
                  <c:v>1.6307727516679638</c:v>
                </c:pt>
                <c:pt idx="111" formatCode="0.0">
                  <c:v>1.691939978307988</c:v>
                </c:pt>
                <c:pt idx="112" formatCode="0.0">
                  <c:v>1.7503120856630083</c:v>
                </c:pt>
                <c:pt idx="113" formatCode="0.0">
                  <c:v>1.805891567099227</c:v>
                </c:pt>
                <c:pt idx="114" formatCode="0.0">
                  <c:v>1.8583165118950307</c:v>
                </c:pt>
                <c:pt idx="115" formatCode="0.0">
                  <c:v>1.9072362769190221</c:v>
                </c:pt>
                <c:pt idx="116" formatCode="0.0">
                  <c:v>1.952674542700561</c:v>
                </c:pt>
                <c:pt idx="117" formatCode="0.0">
                  <c:v>1.9946577387851105</c:v>
                </c:pt>
                <c:pt idx="118" formatCode="0.0">
                  <c:v>2.0330543976668558</c:v>
                </c:pt>
                <c:pt idx="119" formatCode="0.0">
                  <c:v>2.0677406361805373</c:v>
                </c:pt>
                <c:pt idx="120" formatCode="0.0">
                  <c:v>2.0987577270265678</c:v>
                </c:pt>
                <c:pt idx="121" formatCode="0.0">
                  <c:v>2.1261488184727284</c:v>
                </c:pt>
                <c:pt idx="122" formatCode="0.0">
                  <c:v>2.1499450106703621</c:v>
                </c:pt>
                <c:pt idx="123" formatCode="0.0">
                  <c:v>2.1701805982722311</c:v>
                </c:pt>
                <c:pt idx="124" formatCode="0.0">
                  <c:v>2.1869055414036387</c:v>
                </c:pt>
                <c:pt idx="125" formatCode="0.0">
                  <c:v>2.2001706424551459</c:v>
                </c:pt>
                <c:pt idx="126" formatCode="0.0">
                  <c:v>2.2101201544026061</c:v>
                </c:pt>
                <c:pt idx="127" formatCode="0.0">
                  <c:v>2.2168974300277533</c:v>
                </c:pt>
                <c:pt idx="128" formatCode="0.0">
                  <c:v>2.2205525261057124</c:v>
                </c:pt>
                <c:pt idx="129" formatCode="0.0">
                  <c:v>2.221135493933013</c:v>
                </c:pt>
                <c:pt idx="130" formatCode="0.0">
                  <c:v>2.2188622016728221</c:v>
                </c:pt>
                <c:pt idx="131" formatCode="0.0">
                  <c:v>2.2139445110161526</c:v>
                </c:pt>
                <c:pt idx="132" formatCode="0.0">
                  <c:v>2.2064260527005164</c:v>
                </c:pt>
                <c:pt idx="133" formatCode="0.0">
                  <c:v>2.1963499396056907</c:v>
                </c:pt>
                <c:pt idx="134" formatCode="0.0">
                  <c:v>2.183968342003384</c:v>
                </c:pt>
                <c:pt idx="135" formatCode="0.0">
                  <c:v>2.1695275960690319</c:v>
                </c:pt>
                <c:pt idx="136" formatCode="0.0">
                  <c:v>2.1530611421709978</c:v>
                </c:pt>
                <c:pt idx="137" formatCode="0.0">
                  <c:v>2.1346017231459458</c:v>
                </c:pt>
                <c:pt idx="138" formatCode="0.0">
                  <c:v>2.1144101840569585</c:v>
                </c:pt>
                <c:pt idx="139" formatCode="0.0">
                  <c:v>2.0927409091622939</c:v>
                </c:pt>
                <c:pt idx="140" formatCode="0.0">
                  <c:v>2.0696159516466084</c:v>
                </c:pt>
                <c:pt idx="141" formatCode="0.0">
                  <c:v>2.0450567334215686</c:v>
                </c:pt>
                <c:pt idx="142" formatCode="0.0">
                  <c:v>2.0193134201320628</c:v>
                </c:pt>
                <c:pt idx="143" formatCode="0.0">
                  <c:v>1.9926299978546336</c:v>
                </c:pt>
                <c:pt idx="144" formatCode="0.0">
                  <c:v>1.9650178281213515</c:v>
                </c:pt>
                <c:pt idx="145" formatCode="0.0">
                  <c:v>1.9364878445807587</c:v>
                </c:pt>
                <c:pt idx="146" formatCode="0.0">
                  <c:v>1.9072647160475187</c:v>
                </c:pt>
                <c:pt idx="147" formatCode="0.0">
                  <c:v>1.8775678255927852</c:v>
                </c:pt>
                <c:pt idx="148" formatCode="0.0">
                  <c:v>1.847399725355281</c:v>
                </c:pt>
                <c:pt idx="149" formatCode="0.0">
                  <c:v>1.816762784318704</c:v>
                </c:pt>
                <c:pt idx="150" formatCode="0.0">
                  <c:v>1.785846542172842</c:v>
                </c:pt>
                <c:pt idx="151" formatCode="0.0">
                  <c:v>1.7548364467314892</c:v>
                </c:pt>
                <c:pt idx="152" formatCode="0.0">
                  <c:v>1.7237286245219918</c:v>
                </c:pt>
                <c:pt idx="153" formatCode="0.0">
                  <c:v>1.6925192389154464</c:v>
                </c:pt>
                <c:pt idx="154" formatCode="0.0">
                  <c:v>1.6613595138277537</c:v>
                </c:pt>
                <c:pt idx="155" formatCode="0.0">
                  <c:v>1.6303977911846346</c:v>
                </c:pt>
                <c:pt idx="156" formatCode="0.0">
                  <c:v>1.5996260924705963</c:v>
                </c:pt>
                <c:pt idx="157" formatCode="0.0">
                  <c:v>1.5690366389436994</c:v>
                </c:pt>
                <c:pt idx="158" formatCode="0.0">
                  <c:v>1.5387426770964607</c:v>
                </c:pt>
                <c:pt idx="159" formatCode="0.0">
                  <c:v>1.5088556422792498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916-4961-B79D-E9EFCCB8F678}"/>
            </c:ext>
          </c:extLst>
        </c:ser>
        <c:ser>
          <c:idx val="1"/>
          <c:order val="2"/>
          <c:tx>
            <c:v>0</c:v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9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4E5-4B69-807C-13825AB04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1360783"/>
        <c:axId val="1072624703"/>
      </c:lineChart>
      <c:dateAx>
        <c:axId val="841360783"/>
        <c:scaling>
          <c:orientation val="minMax"/>
          <c:min val="35855"/>
        </c:scaling>
        <c:delete val="0"/>
        <c:axPos val="b"/>
        <c:numFmt formatCode="yyyy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072624703"/>
        <c:crossesAt val="-1000"/>
        <c:auto val="1"/>
        <c:lblOffset val="100"/>
        <c:baseTimeUnit val="months"/>
        <c:majorUnit val="48"/>
        <c:majorTimeUnit val="months"/>
        <c:minorUnit val="12"/>
        <c:minorTimeUnit val="months"/>
      </c:dateAx>
      <c:valAx>
        <c:axId val="107262470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841360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latin typeface="Arial Black" panose="020B0A04020102020204" pitchFamily="34" charset="0"/>
              </a:rPr>
              <a:t>Brasil: PIB</a:t>
            </a:r>
            <a:r>
              <a:rPr lang="en-US" sz="1100" baseline="0">
                <a:latin typeface="Arial Black" panose="020B0A04020102020204" pitchFamily="34" charset="0"/>
              </a:rPr>
              <a:t>, oferta e demanda</a:t>
            </a:r>
          </a:p>
          <a:p>
            <a:pPr algn="l">
              <a:defRPr/>
            </a:pPr>
            <a:r>
              <a:rPr lang="en-US" sz="1000" b="0" i="0" baseline="0">
                <a:effectLst/>
              </a:rPr>
              <a:t>Fluxo trimestral, R$ mn de 1995, s.a.</a:t>
            </a:r>
            <a:endParaRPr lang="en-US" sz="1000">
              <a:effectLst/>
            </a:endParaRPr>
          </a:p>
        </c:rich>
      </c:tx>
      <c:layout>
        <c:manualLayout>
          <c:xMode val="edge"/>
          <c:yMode val="edge"/>
          <c:x val="1.2649608165295369E-2"/>
          <c:y val="2.74927365362752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5162491052254831"/>
          <c:y val="0.18933333333333333"/>
          <c:w val="0.80170842281078503"/>
          <c:h val="0.61542432195975516"/>
        </c:manualLayout>
      </c:layout>
      <c:lineChart>
        <c:grouping val="standard"/>
        <c:varyColors val="0"/>
        <c:ser>
          <c:idx val="3"/>
          <c:order val="0"/>
          <c:tx>
            <c:strRef>
              <c:f>Saídas!$G$3</c:f>
              <c:strCache>
                <c:ptCount val="1"/>
                <c:pt idx="0">
                  <c:v>PIB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Saídas!$A$4:$A$163</c:f>
              <c:numCache>
                <c:formatCode>mm/yyyy</c:formatCode>
                <c:ptCount val="160"/>
                <c:pt idx="0">
                  <c:v>35125</c:v>
                </c:pt>
                <c:pt idx="1">
                  <c:v>35246</c:v>
                </c:pt>
                <c:pt idx="2">
                  <c:v>35338</c:v>
                </c:pt>
                <c:pt idx="3">
                  <c:v>35430</c:v>
                </c:pt>
                <c:pt idx="4">
                  <c:v>35520</c:v>
                </c:pt>
                <c:pt idx="5">
                  <c:v>35611</c:v>
                </c:pt>
                <c:pt idx="6">
                  <c:v>35703</c:v>
                </c:pt>
                <c:pt idx="7">
                  <c:v>35795</c:v>
                </c:pt>
                <c:pt idx="8">
                  <c:v>35885</c:v>
                </c:pt>
                <c:pt idx="9">
                  <c:v>35976</c:v>
                </c:pt>
                <c:pt idx="10">
                  <c:v>36068</c:v>
                </c:pt>
                <c:pt idx="11">
                  <c:v>36160</c:v>
                </c:pt>
                <c:pt idx="12">
                  <c:v>36250</c:v>
                </c:pt>
                <c:pt idx="13">
                  <c:v>36341</c:v>
                </c:pt>
                <c:pt idx="14">
                  <c:v>36433</c:v>
                </c:pt>
                <c:pt idx="15">
                  <c:v>36525</c:v>
                </c:pt>
                <c:pt idx="16">
                  <c:v>36616</c:v>
                </c:pt>
                <c:pt idx="17">
                  <c:v>36707</c:v>
                </c:pt>
                <c:pt idx="18">
                  <c:v>36799</c:v>
                </c:pt>
                <c:pt idx="19">
                  <c:v>36891</c:v>
                </c:pt>
                <c:pt idx="20">
                  <c:v>36981</c:v>
                </c:pt>
                <c:pt idx="21">
                  <c:v>37072</c:v>
                </c:pt>
                <c:pt idx="22">
                  <c:v>37164</c:v>
                </c:pt>
                <c:pt idx="23">
                  <c:v>37256</c:v>
                </c:pt>
                <c:pt idx="24">
                  <c:v>37346</c:v>
                </c:pt>
                <c:pt idx="25">
                  <c:v>37437</c:v>
                </c:pt>
                <c:pt idx="26">
                  <c:v>37529</c:v>
                </c:pt>
                <c:pt idx="27">
                  <c:v>37621</c:v>
                </c:pt>
                <c:pt idx="28">
                  <c:v>37711</c:v>
                </c:pt>
                <c:pt idx="29">
                  <c:v>37802</c:v>
                </c:pt>
                <c:pt idx="30">
                  <c:v>37894</c:v>
                </c:pt>
                <c:pt idx="31">
                  <c:v>37986</c:v>
                </c:pt>
                <c:pt idx="32">
                  <c:v>38077</c:v>
                </c:pt>
                <c:pt idx="33">
                  <c:v>38168</c:v>
                </c:pt>
                <c:pt idx="34">
                  <c:v>38260</c:v>
                </c:pt>
                <c:pt idx="35">
                  <c:v>38352</c:v>
                </c:pt>
                <c:pt idx="36">
                  <c:v>38442</c:v>
                </c:pt>
                <c:pt idx="37">
                  <c:v>38533</c:v>
                </c:pt>
                <c:pt idx="38">
                  <c:v>38625</c:v>
                </c:pt>
                <c:pt idx="39">
                  <c:v>38717</c:v>
                </c:pt>
                <c:pt idx="40">
                  <c:v>38807</c:v>
                </c:pt>
                <c:pt idx="41">
                  <c:v>38898</c:v>
                </c:pt>
                <c:pt idx="42">
                  <c:v>38990</c:v>
                </c:pt>
                <c:pt idx="43">
                  <c:v>39082</c:v>
                </c:pt>
                <c:pt idx="44">
                  <c:v>39172</c:v>
                </c:pt>
                <c:pt idx="45">
                  <c:v>39263</c:v>
                </c:pt>
                <c:pt idx="46">
                  <c:v>39355</c:v>
                </c:pt>
                <c:pt idx="47">
                  <c:v>39447</c:v>
                </c:pt>
                <c:pt idx="48">
                  <c:v>39538</c:v>
                </c:pt>
                <c:pt idx="49">
                  <c:v>39629</c:v>
                </c:pt>
                <c:pt idx="50">
                  <c:v>39721</c:v>
                </c:pt>
                <c:pt idx="51">
                  <c:v>39813</c:v>
                </c:pt>
                <c:pt idx="52">
                  <c:v>39903</c:v>
                </c:pt>
                <c:pt idx="53">
                  <c:v>39994</c:v>
                </c:pt>
                <c:pt idx="54">
                  <c:v>40086</c:v>
                </c:pt>
                <c:pt idx="55">
                  <c:v>40178</c:v>
                </c:pt>
                <c:pt idx="56">
                  <c:v>40268</c:v>
                </c:pt>
                <c:pt idx="57">
                  <c:v>40359</c:v>
                </c:pt>
                <c:pt idx="58">
                  <c:v>40451</c:v>
                </c:pt>
                <c:pt idx="59">
                  <c:v>40543</c:v>
                </c:pt>
                <c:pt idx="60">
                  <c:v>40633</c:v>
                </c:pt>
                <c:pt idx="61">
                  <c:v>40724</c:v>
                </c:pt>
                <c:pt idx="62">
                  <c:v>40816</c:v>
                </c:pt>
                <c:pt idx="63">
                  <c:v>40908</c:v>
                </c:pt>
                <c:pt idx="64">
                  <c:v>40999</c:v>
                </c:pt>
                <c:pt idx="65">
                  <c:v>41090</c:v>
                </c:pt>
                <c:pt idx="66">
                  <c:v>41182</c:v>
                </c:pt>
                <c:pt idx="67">
                  <c:v>41274</c:v>
                </c:pt>
                <c:pt idx="68">
                  <c:v>41364</c:v>
                </c:pt>
                <c:pt idx="69">
                  <c:v>41455</c:v>
                </c:pt>
                <c:pt idx="70">
                  <c:v>41547</c:v>
                </c:pt>
                <c:pt idx="71">
                  <c:v>41639</c:v>
                </c:pt>
                <c:pt idx="72">
                  <c:v>41729</c:v>
                </c:pt>
                <c:pt idx="73">
                  <c:v>41820</c:v>
                </c:pt>
                <c:pt idx="74">
                  <c:v>41912</c:v>
                </c:pt>
                <c:pt idx="75">
                  <c:v>42004</c:v>
                </c:pt>
                <c:pt idx="76">
                  <c:v>42094</c:v>
                </c:pt>
                <c:pt idx="77">
                  <c:v>42185</c:v>
                </c:pt>
                <c:pt idx="78">
                  <c:v>42277</c:v>
                </c:pt>
                <c:pt idx="79">
                  <c:v>42369</c:v>
                </c:pt>
                <c:pt idx="80">
                  <c:v>42460</c:v>
                </c:pt>
                <c:pt idx="81">
                  <c:v>42551</c:v>
                </c:pt>
                <c:pt idx="82">
                  <c:v>42643</c:v>
                </c:pt>
                <c:pt idx="83">
                  <c:v>42735</c:v>
                </c:pt>
                <c:pt idx="84">
                  <c:v>42825</c:v>
                </c:pt>
                <c:pt idx="85">
                  <c:v>42916</c:v>
                </c:pt>
                <c:pt idx="86">
                  <c:v>43008</c:v>
                </c:pt>
                <c:pt idx="87">
                  <c:v>43100</c:v>
                </c:pt>
                <c:pt idx="88">
                  <c:v>43190</c:v>
                </c:pt>
                <c:pt idx="89">
                  <c:v>43281</c:v>
                </c:pt>
                <c:pt idx="90">
                  <c:v>43373</c:v>
                </c:pt>
                <c:pt idx="91">
                  <c:v>43465</c:v>
                </c:pt>
                <c:pt idx="92">
                  <c:v>43555</c:v>
                </c:pt>
                <c:pt idx="93">
                  <c:v>43646</c:v>
                </c:pt>
                <c:pt idx="94">
                  <c:v>43738</c:v>
                </c:pt>
                <c:pt idx="95">
                  <c:v>43830</c:v>
                </c:pt>
                <c:pt idx="96">
                  <c:v>43921</c:v>
                </c:pt>
                <c:pt idx="97">
                  <c:v>44012</c:v>
                </c:pt>
                <c:pt idx="98">
                  <c:v>44104</c:v>
                </c:pt>
                <c:pt idx="99">
                  <c:v>44196</c:v>
                </c:pt>
                <c:pt idx="100">
                  <c:v>44286</c:v>
                </c:pt>
                <c:pt idx="101">
                  <c:v>44377</c:v>
                </c:pt>
                <c:pt idx="102">
                  <c:v>44469</c:v>
                </c:pt>
                <c:pt idx="103">
                  <c:v>44561</c:v>
                </c:pt>
                <c:pt idx="104">
                  <c:v>44651</c:v>
                </c:pt>
                <c:pt idx="105">
                  <c:v>44742</c:v>
                </c:pt>
                <c:pt idx="106">
                  <c:v>44834</c:v>
                </c:pt>
                <c:pt idx="107">
                  <c:v>44926</c:v>
                </c:pt>
                <c:pt idx="108">
                  <c:v>45016</c:v>
                </c:pt>
                <c:pt idx="109">
                  <c:v>45107</c:v>
                </c:pt>
                <c:pt idx="110">
                  <c:v>45199</c:v>
                </c:pt>
                <c:pt idx="111">
                  <c:v>45291</c:v>
                </c:pt>
                <c:pt idx="112">
                  <c:v>45382</c:v>
                </c:pt>
                <c:pt idx="113">
                  <c:v>45473</c:v>
                </c:pt>
                <c:pt idx="114">
                  <c:v>45565</c:v>
                </c:pt>
                <c:pt idx="115">
                  <c:v>45657</c:v>
                </c:pt>
                <c:pt idx="116">
                  <c:v>45747</c:v>
                </c:pt>
                <c:pt idx="117">
                  <c:v>45838</c:v>
                </c:pt>
                <c:pt idx="118">
                  <c:v>45930</c:v>
                </c:pt>
                <c:pt idx="119">
                  <c:v>46022</c:v>
                </c:pt>
                <c:pt idx="120">
                  <c:v>46112</c:v>
                </c:pt>
                <c:pt idx="121">
                  <c:v>46203</c:v>
                </c:pt>
                <c:pt idx="122">
                  <c:v>46295</c:v>
                </c:pt>
                <c:pt idx="123">
                  <c:v>46387</c:v>
                </c:pt>
                <c:pt idx="124">
                  <c:v>46477</c:v>
                </c:pt>
                <c:pt idx="125">
                  <c:v>46568</c:v>
                </c:pt>
                <c:pt idx="126">
                  <c:v>46660</c:v>
                </c:pt>
                <c:pt idx="127">
                  <c:v>46752</c:v>
                </c:pt>
                <c:pt idx="128">
                  <c:v>46843</c:v>
                </c:pt>
                <c:pt idx="129">
                  <c:v>46934</c:v>
                </c:pt>
                <c:pt idx="130">
                  <c:v>47026</c:v>
                </c:pt>
                <c:pt idx="131">
                  <c:v>47118</c:v>
                </c:pt>
                <c:pt idx="132">
                  <c:v>47208</c:v>
                </c:pt>
                <c:pt idx="133">
                  <c:v>47299</c:v>
                </c:pt>
                <c:pt idx="134">
                  <c:v>47391</c:v>
                </c:pt>
                <c:pt idx="135">
                  <c:v>47483</c:v>
                </c:pt>
                <c:pt idx="136">
                  <c:v>47573</c:v>
                </c:pt>
                <c:pt idx="137">
                  <c:v>47664</c:v>
                </c:pt>
                <c:pt idx="138">
                  <c:v>47756</c:v>
                </c:pt>
                <c:pt idx="139">
                  <c:v>47848</c:v>
                </c:pt>
                <c:pt idx="140">
                  <c:v>47938</c:v>
                </c:pt>
                <c:pt idx="141">
                  <c:v>48029</c:v>
                </c:pt>
                <c:pt idx="142">
                  <c:v>48121</c:v>
                </c:pt>
                <c:pt idx="143">
                  <c:v>48213</c:v>
                </c:pt>
                <c:pt idx="144">
                  <c:v>48304</c:v>
                </c:pt>
                <c:pt idx="145">
                  <c:v>48395</c:v>
                </c:pt>
                <c:pt idx="146">
                  <c:v>48487</c:v>
                </c:pt>
                <c:pt idx="147">
                  <c:v>48579</c:v>
                </c:pt>
                <c:pt idx="148">
                  <c:v>48669</c:v>
                </c:pt>
                <c:pt idx="149">
                  <c:v>48760</c:v>
                </c:pt>
                <c:pt idx="150">
                  <c:v>48852</c:v>
                </c:pt>
                <c:pt idx="151">
                  <c:v>48944</c:v>
                </c:pt>
                <c:pt idx="152">
                  <c:v>49034</c:v>
                </c:pt>
                <c:pt idx="153">
                  <c:v>49125</c:v>
                </c:pt>
                <c:pt idx="154">
                  <c:v>49217</c:v>
                </c:pt>
                <c:pt idx="155">
                  <c:v>49309</c:v>
                </c:pt>
                <c:pt idx="156">
                  <c:v>49399</c:v>
                </c:pt>
                <c:pt idx="157">
                  <c:v>49490</c:v>
                </c:pt>
                <c:pt idx="158">
                  <c:v>49582</c:v>
                </c:pt>
                <c:pt idx="159">
                  <c:v>49674</c:v>
                </c:pt>
              </c:numCache>
            </c:numRef>
          </c:cat>
          <c:val>
            <c:numRef>
              <c:f>Saídas!$G$4:$G$163</c:f>
              <c:numCache>
                <c:formatCode>#,##0</c:formatCode>
                <c:ptCount val="160"/>
                <c:pt idx="0">
                  <c:v>175698.97</c:v>
                </c:pt>
                <c:pt idx="1">
                  <c:v>177270.06</c:v>
                </c:pt>
                <c:pt idx="2">
                  <c:v>184212.58</c:v>
                </c:pt>
                <c:pt idx="3">
                  <c:v>182321.92000000001</c:v>
                </c:pt>
                <c:pt idx="4">
                  <c:v>184113.71</c:v>
                </c:pt>
                <c:pt idx="5">
                  <c:v>185360.21</c:v>
                </c:pt>
                <c:pt idx="6">
                  <c:v>187662.55</c:v>
                </c:pt>
                <c:pt idx="7">
                  <c:v>189117.44</c:v>
                </c:pt>
                <c:pt idx="8">
                  <c:v>185463.29</c:v>
                </c:pt>
                <c:pt idx="9">
                  <c:v>188473</c:v>
                </c:pt>
                <c:pt idx="10">
                  <c:v>188588.87</c:v>
                </c:pt>
                <c:pt idx="11">
                  <c:v>186352.99</c:v>
                </c:pt>
                <c:pt idx="12">
                  <c:v>186959.86</c:v>
                </c:pt>
                <c:pt idx="13">
                  <c:v>187404.3</c:v>
                </c:pt>
                <c:pt idx="14">
                  <c:v>187720.73</c:v>
                </c:pt>
                <c:pt idx="15">
                  <c:v>190352.38</c:v>
                </c:pt>
                <c:pt idx="16">
                  <c:v>192351.22</c:v>
                </c:pt>
                <c:pt idx="17">
                  <c:v>195065.44</c:v>
                </c:pt>
                <c:pt idx="18">
                  <c:v>197366.95</c:v>
                </c:pt>
                <c:pt idx="19">
                  <c:v>199788.65</c:v>
                </c:pt>
                <c:pt idx="20">
                  <c:v>200533.48</c:v>
                </c:pt>
                <c:pt idx="21">
                  <c:v>199540.25</c:v>
                </c:pt>
                <c:pt idx="22">
                  <c:v>198506.38</c:v>
                </c:pt>
                <c:pt idx="23">
                  <c:v>197951.66</c:v>
                </c:pt>
                <c:pt idx="24">
                  <c:v>202521.48</c:v>
                </c:pt>
                <c:pt idx="25">
                  <c:v>203647.35</c:v>
                </c:pt>
                <c:pt idx="26">
                  <c:v>206169.13</c:v>
                </c:pt>
                <c:pt idx="27">
                  <c:v>208249.77</c:v>
                </c:pt>
                <c:pt idx="28">
                  <c:v>207373.45</c:v>
                </c:pt>
                <c:pt idx="29">
                  <c:v>205570.4</c:v>
                </c:pt>
                <c:pt idx="30">
                  <c:v>207522.17</c:v>
                </c:pt>
                <c:pt idx="31">
                  <c:v>209669.07</c:v>
                </c:pt>
                <c:pt idx="32">
                  <c:v>212626.64</c:v>
                </c:pt>
                <c:pt idx="33">
                  <c:v>218450.5</c:v>
                </c:pt>
                <c:pt idx="34">
                  <c:v>221190.29</c:v>
                </c:pt>
                <c:pt idx="35">
                  <c:v>222887.56</c:v>
                </c:pt>
                <c:pt idx="36">
                  <c:v>224554.8</c:v>
                </c:pt>
                <c:pt idx="37">
                  <c:v>227642.14</c:v>
                </c:pt>
                <c:pt idx="38">
                  <c:v>225906.82</c:v>
                </c:pt>
                <c:pt idx="39">
                  <c:v>228749.35</c:v>
                </c:pt>
                <c:pt idx="40">
                  <c:v>232650.37</c:v>
                </c:pt>
                <c:pt idx="41">
                  <c:v>233233.79</c:v>
                </c:pt>
                <c:pt idx="42">
                  <c:v>237035.14</c:v>
                </c:pt>
                <c:pt idx="43">
                  <c:v>239848.37</c:v>
                </c:pt>
                <c:pt idx="44">
                  <c:v>244617.99</c:v>
                </c:pt>
                <c:pt idx="45">
                  <c:v>248437.99</c:v>
                </c:pt>
                <c:pt idx="46">
                  <c:v>250997.14</c:v>
                </c:pt>
                <c:pt idx="47">
                  <c:v>254885.23</c:v>
                </c:pt>
                <c:pt idx="48">
                  <c:v>257775.48</c:v>
                </c:pt>
                <c:pt idx="49">
                  <c:v>263761.34999999998</c:v>
                </c:pt>
                <c:pt idx="50">
                  <c:v>267617.34999999998</c:v>
                </c:pt>
                <c:pt idx="51">
                  <c:v>257496.67</c:v>
                </c:pt>
                <c:pt idx="52">
                  <c:v>253933.31</c:v>
                </c:pt>
                <c:pt idx="53">
                  <c:v>258515.71</c:v>
                </c:pt>
                <c:pt idx="54">
                  <c:v>264580.07</c:v>
                </c:pt>
                <c:pt idx="55">
                  <c:v>271276.65000000002</c:v>
                </c:pt>
                <c:pt idx="56">
                  <c:v>277461.7</c:v>
                </c:pt>
                <c:pt idx="57">
                  <c:v>280163.53000000003</c:v>
                </c:pt>
                <c:pt idx="58">
                  <c:v>283033.40999999997</c:v>
                </c:pt>
                <c:pt idx="59">
                  <c:v>286869.08</c:v>
                </c:pt>
                <c:pt idx="60">
                  <c:v>291026.81</c:v>
                </c:pt>
                <c:pt idx="61">
                  <c:v>293840.40000000002</c:v>
                </c:pt>
                <c:pt idx="62">
                  <c:v>293222.62</c:v>
                </c:pt>
                <c:pt idx="63">
                  <c:v>295627.71000000002</c:v>
                </c:pt>
                <c:pt idx="64">
                  <c:v>291821</c:v>
                </c:pt>
                <c:pt idx="65">
                  <c:v>296834.15999999997</c:v>
                </c:pt>
                <c:pt idx="66">
                  <c:v>302009.01</c:v>
                </c:pt>
                <c:pt idx="67">
                  <c:v>301929.65000000002</c:v>
                </c:pt>
                <c:pt idx="68">
                  <c:v>303302.45</c:v>
                </c:pt>
                <c:pt idx="69">
                  <c:v>308425.78000000003</c:v>
                </c:pt>
                <c:pt idx="70">
                  <c:v>309419.96999999997</c:v>
                </c:pt>
                <c:pt idx="71">
                  <c:v>309757.15999999997</c:v>
                </c:pt>
                <c:pt idx="72">
                  <c:v>312558.28999999998</c:v>
                </c:pt>
                <c:pt idx="73">
                  <c:v>307812.09999999998</c:v>
                </c:pt>
                <c:pt idx="74">
                  <c:v>307727.24</c:v>
                </c:pt>
                <c:pt idx="75">
                  <c:v>309258.76</c:v>
                </c:pt>
                <c:pt idx="76">
                  <c:v>307220.58</c:v>
                </c:pt>
                <c:pt idx="77">
                  <c:v>299214.26</c:v>
                </c:pt>
                <c:pt idx="78">
                  <c:v>294743.87</c:v>
                </c:pt>
                <c:pt idx="79">
                  <c:v>292427.19</c:v>
                </c:pt>
                <c:pt idx="80">
                  <c:v>287768.18</c:v>
                </c:pt>
                <c:pt idx="81">
                  <c:v>289387</c:v>
                </c:pt>
                <c:pt idx="82">
                  <c:v>287566.52</c:v>
                </c:pt>
                <c:pt idx="83">
                  <c:v>287044.23</c:v>
                </c:pt>
                <c:pt idx="84">
                  <c:v>290242.46999999997</c:v>
                </c:pt>
                <c:pt idx="85">
                  <c:v>292393.43</c:v>
                </c:pt>
                <c:pt idx="86">
                  <c:v>293286.62</c:v>
                </c:pt>
                <c:pt idx="87">
                  <c:v>294537.96000000002</c:v>
                </c:pt>
                <c:pt idx="88">
                  <c:v>296118.06</c:v>
                </c:pt>
                <c:pt idx="89">
                  <c:v>296618.62</c:v>
                </c:pt>
                <c:pt idx="90">
                  <c:v>299226.71999999997</c:v>
                </c:pt>
                <c:pt idx="91">
                  <c:v>298137.38</c:v>
                </c:pt>
                <c:pt idx="92">
                  <c:v>299610.45</c:v>
                </c:pt>
                <c:pt idx="93">
                  <c:v>301355.33</c:v>
                </c:pt>
                <c:pt idx="94">
                  <c:v>301314.13</c:v>
                </c:pt>
                <c:pt idx="95">
                  <c:v>302313.7</c:v>
                </c:pt>
                <c:pt idx="96">
                  <c:v>295448.31</c:v>
                </c:pt>
                <c:pt idx="97">
                  <c:v>269288.53999999998</c:v>
                </c:pt>
                <c:pt idx="98">
                  <c:v>290207.63</c:v>
                </c:pt>
                <c:pt idx="99">
                  <c:v>299246.8</c:v>
                </c:pt>
                <c:pt idx="100">
                  <c:v>303267.08</c:v>
                </c:pt>
                <c:pt idx="101">
                  <c:v>302202.11</c:v>
                </c:pt>
                <c:pt idx="102">
                  <c:v>301918.52</c:v>
                </c:pt>
                <c:pt idx="103">
                  <c:v>302911.21715650492</c:v>
                </c:pt>
                <c:pt idx="104">
                  <c:v>303226.11846063822</c:v>
                </c:pt>
                <c:pt idx="105">
                  <c:v>303049.77218634245</c:v>
                </c:pt>
                <c:pt idx="106">
                  <c:v>304246.92047920416</c:v>
                </c:pt>
                <c:pt idx="107">
                  <c:v>305706.29618439439</c:v>
                </c:pt>
                <c:pt idx="108">
                  <c:v>307302.08080990898</c:v>
                </c:pt>
                <c:pt idx="109">
                  <c:v>308917.27749831026</c:v>
                </c:pt>
                <c:pt idx="110">
                  <c:v>310546.60255901475</c:v>
                </c:pt>
                <c:pt idx="111">
                  <c:v>312183.42150467454</c:v>
                </c:pt>
                <c:pt idx="112">
                  <c:v>314325.59578096453</c:v>
                </c:pt>
                <c:pt idx="113">
                  <c:v>316745.5450845437</c:v>
                </c:pt>
                <c:pt idx="114">
                  <c:v>319292.0615687283</c:v>
                </c:pt>
                <c:pt idx="115">
                  <c:v>321902.61270279053</c:v>
                </c:pt>
                <c:pt idx="116">
                  <c:v>324540.07879660011</c:v>
                </c:pt>
                <c:pt idx="117">
                  <c:v>327148.82660070324</c:v>
                </c:pt>
                <c:pt idx="118">
                  <c:v>329696.28944134375</c:v>
                </c:pt>
                <c:pt idx="119">
                  <c:v>332192.45628442947</c:v>
                </c:pt>
                <c:pt idx="120">
                  <c:v>334648.88539368205</c:v>
                </c:pt>
                <c:pt idx="121">
                  <c:v>337050.50030666823</c:v>
                </c:pt>
                <c:pt idx="122">
                  <c:v>339390.74621940957</c:v>
                </c:pt>
                <c:pt idx="123">
                  <c:v>341686.30861972581</c:v>
                </c:pt>
                <c:pt idx="124">
                  <c:v>343951.41629186971</c:v>
                </c:pt>
                <c:pt idx="125">
                  <c:v>346180.33727247495</c:v>
                </c:pt>
                <c:pt idx="126">
                  <c:v>348371.31686552276</c:v>
                </c:pt>
                <c:pt idx="127">
                  <c:v>350533.86701554077</c:v>
                </c:pt>
                <c:pt idx="128">
                  <c:v>352676.06967330625</c:v>
                </c:pt>
                <c:pt idx="129">
                  <c:v>354795.97420883243</c:v>
                </c:pt>
                <c:pt idx="130">
                  <c:v>356893.46167935309</c:v>
                </c:pt>
                <c:pt idx="131">
                  <c:v>358970.09868239023</c:v>
                </c:pt>
                <c:pt idx="132">
                  <c:v>361027.89477385813</c:v>
                </c:pt>
                <c:pt idx="133">
                  <c:v>363068.46556074696</c:v>
                </c:pt>
                <c:pt idx="134">
                  <c:v>365093.61660871445</c:v>
                </c:pt>
                <c:pt idx="135">
                  <c:v>367098.69207780395</c:v>
                </c:pt>
                <c:pt idx="136">
                  <c:v>369081.14003688097</c:v>
                </c:pt>
                <c:pt idx="137">
                  <c:v>371046.3012483184</c:v>
                </c:pt>
                <c:pt idx="138">
                  <c:v>372998.24548776564</c:v>
                </c:pt>
                <c:pt idx="139">
                  <c:v>374927.87141028827</c:v>
                </c:pt>
                <c:pt idx="140">
                  <c:v>376829.43686797674</c:v>
                </c:pt>
                <c:pt idx="141">
                  <c:v>378711.72044588329</c:v>
                </c:pt>
                <c:pt idx="142">
                  <c:v>380580.97218543425</c:v>
                </c:pt>
                <c:pt idx="143">
                  <c:v>382425.10867720057</c:v>
                </c:pt>
                <c:pt idx="144">
                  <c:v>384236.26406821149</c:v>
                </c:pt>
                <c:pt idx="145">
                  <c:v>386026.00860971253</c:v>
                </c:pt>
                <c:pt idx="146">
                  <c:v>387802.38524987851</c:v>
                </c:pt>
                <c:pt idx="147">
                  <c:v>389551.4997851486</c:v>
                </c:pt>
                <c:pt idx="148">
                  <c:v>391264.18837515143</c:v>
                </c:pt>
                <c:pt idx="149">
                  <c:v>392954.00644490728</c:v>
                </c:pt>
                <c:pt idx="150">
                  <c:v>394630.26732611284</c:v>
                </c:pt>
                <c:pt idx="151">
                  <c:v>396278.19555119745</c:v>
                </c:pt>
                <c:pt idx="152">
                  <c:v>397887.9733687868</c:v>
                </c:pt>
                <c:pt idx="153">
                  <c:v>399474.32714037929</c:v>
                </c:pt>
                <c:pt idx="154">
                  <c:v>401047.30268247036</c:v>
                </c:pt>
                <c:pt idx="155">
                  <c:v>402591.97165464138</c:v>
                </c:pt>
                <c:pt idx="156">
                  <c:v>404098.36375570041</c:v>
                </c:pt>
                <c:pt idx="157">
                  <c:v>405581.64365738753</c:v>
                </c:pt>
                <c:pt idx="158">
                  <c:v>407052.10387766175</c:v>
                </c:pt>
                <c:pt idx="159">
                  <c:v>408495.21277529304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4D-4BAC-A99C-5A59824169EB}"/>
            </c:ext>
          </c:extLst>
        </c:ser>
        <c:ser>
          <c:idx val="0"/>
          <c:order val="1"/>
          <c:tx>
            <c:strRef>
              <c:f>Saídas!$H$3</c:f>
              <c:strCache>
                <c:ptCount val="1"/>
                <c:pt idx="0">
                  <c:v>PIB potencial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Saídas!$A$4:$A$163</c:f>
              <c:numCache>
                <c:formatCode>mm/yyyy</c:formatCode>
                <c:ptCount val="160"/>
                <c:pt idx="0">
                  <c:v>35125</c:v>
                </c:pt>
                <c:pt idx="1">
                  <c:v>35246</c:v>
                </c:pt>
                <c:pt idx="2">
                  <c:v>35338</c:v>
                </c:pt>
                <c:pt idx="3">
                  <c:v>35430</c:v>
                </c:pt>
                <c:pt idx="4">
                  <c:v>35520</c:v>
                </c:pt>
                <c:pt idx="5">
                  <c:v>35611</c:v>
                </c:pt>
                <c:pt idx="6">
                  <c:v>35703</c:v>
                </c:pt>
                <c:pt idx="7">
                  <c:v>35795</c:v>
                </c:pt>
                <c:pt idx="8">
                  <c:v>35885</c:v>
                </c:pt>
                <c:pt idx="9">
                  <c:v>35976</c:v>
                </c:pt>
                <c:pt idx="10">
                  <c:v>36068</c:v>
                </c:pt>
                <c:pt idx="11">
                  <c:v>36160</c:v>
                </c:pt>
                <c:pt idx="12">
                  <c:v>36250</c:v>
                </c:pt>
                <c:pt idx="13">
                  <c:v>36341</c:v>
                </c:pt>
                <c:pt idx="14">
                  <c:v>36433</c:v>
                </c:pt>
                <c:pt idx="15">
                  <c:v>36525</c:v>
                </c:pt>
                <c:pt idx="16">
                  <c:v>36616</c:v>
                </c:pt>
                <c:pt idx="17">
                  <c:v>36707</c:v>
                </c:pt>
                <c:pt idx="18">
                  <c:v>36799</c:v>
                </c:pt>
                <c:pt idx="19">
                  <c:v>36891</c:v>
                </c:pt>
                <c:pt idx="20">
                  <c:v>36981</c:v>
                </c:pt>
                <c:pt idx="21">
                  <c:v>37072</c:v>
                </c:pt>
                <c:pt idx="22">
                  <c:v>37164</c:v>
                </c:pt>
                <c:pt idx="23">
                  <c:v>37256</c:v>
                </c:pt>
                <c:pt idx="24">
                  <c:v>37346</c:v>
                </c:pt>
                <c:pt idx="25">
                  <c:v>37437</c:v>
                </c:pt>
                <c:pt idx="26">
                  <c:v>37529</c:v>
                </c:pt>
                <c:pt idx="27">
                  <c:v>37621</c:v>
                </c:pt>
                <c:pt idx="28">
                  <c:v>37711</c:v>
                </c:pt>
                <c:pt idx="29">
                  <c:v>37802</c:v>
                </c:pt>
                <c:pt idx="30">
                  <c:v>37894</c:v>
                </c:pt>
                <c:pt idx="31">
                  <c:v>37986</c:v>
                </c:pt>
                <c:pt idx="32">
                  <c:v>38077</c:v>
                </c:pt>
                <c:pt idx="33">
                  <c:v>38168</c:v>
                </c:pt>
                <c:pt idx="34">
                  <c:v>38260</c:v>
                </c:pt>
                <c:pt idx="35">
                  <c:v>38352</c:v>
                </c:pt>
                <c:pt idx="36">
                  <c:v>38442</c:v>
                </c:pt>
                <c:pt idx="37">
                  <c:v>38533</c:v>
                </c:pt>
                <c:pt idx="38">
                  <c:v>38625</c:v>
                </c:pt>
                <c:pt idx="39">
                  <c:v>38717</c:v>
                </c:pt>
                <c:pt idx="40">
                  <c:v>38807</c:v>
                </c:pt>
                <c:pt idx="41">
                  <c:v>38898</c:v>
                </c:pt>
                <c:pt idx="42">
                  <c:v>38990</c:v>
                </c:pt>
                <c:pt idx="43">
                  <c:v>39082</c:v>
                </c:pt>
                <c:pt idx="44">
                  <c:v>39172</c:v>
                </c:pt>
                <c:pt idx="45">
                  <c:v>39263</c:v>
                </c:pt>
                <c:pt idx="46">
                  <c:v>39355</c:v>
                </c:pt>
                <c:pt idx="47">
                  <c:v>39447</c:v>
                </c:pt>
                <c:pt idx="48">
                  <c:v>39538</c:v>
                </c:pt>
                <c:pt idx="49">
                  <c:v>39629</c:v>
                </c:pt>
                <c:pt idx="50">
                  <c:v>39721</c:v>
                </c:pt>
                <c:pt idx="51">
                  <c:v>39813</c:v>
                </c:pt>
                <c:pt idx="52">
                  <c:v>39903</c:v>
                </c:pt>
                <c:pt idx="53">
                  <c:v>39994</c:v>
                </c:pt>
                <c:pt idx="54">
                  <c:v>40086</c:v>
                </c:pt>
                <c:pt idx="55">
                  <c:v>40178</c:v>
                </c:pt>
                <c:pt idx="56">
                  <c:v>40268</c:v>
                </c:pt>
                <c:pt idx="57">
                  <c:v>40359</c:v>
                </c:pt>
                <c:pt idx="58">
                  <c:v>40451</c:v>
                </c:pt>
                <c:pt idx="59">
                  <c:v>40543</c:v>
                </c:pt>
                <c:pt idx="60">
                  <c:v>40633</c:v>
                </c:pt>
                <c:pt idx="61">
                  <c:v>40724</c:v>
                </c:pt>
                <c:pt idx="62">
                  <c:v>40816</c:v>
                </c:pt>
                <c:pt idx="63">
                  <c:v>40908</c:v>
                </c:pt>
                <c:pt idx="64">
                  <c:v>40999</c:v>
                </c:pt>
                <c:pt idx="65">
                  <c:v>41090</c:v>
                </c:pt>
                <c:pt idx="66">
                  <c:v>41182</c:v>
                </c:pt>
                <c:pt idx="67">
                  <c:v>41274</c:v>
                </c:pt>
                <c:pt idx="68">
                  <c:v>41364</c:v>
                </c:pt>
                <c:pt idx="69">
                  <c:v>41455</c:v>
                </c:pt>
                <c:pt idx="70">
                  <c:v>41547</c:v>
                </c:pt>
                <c:pt idx="71">
                  <c:v>41639</c:v>
                </c:pt>
                <c:pt idx="72">
                  <c:v>41729</c:v>
                </c:pt>
                <c:pt idx="73">
                  <c:v>41820</c:v>
                </c:pt>
                <c:pt idx="74">
                  <c:v>41912</c:v>
                </c:pt>
                <c:pt idx="75">
                  <c:v>42004</c:v>
                </c:pt>
                <c:pt idx="76">
                  <c:v>42094</c:v>
                </c:pt>
                <c:pt idx="77">
                  <c:v>42185</c:v>
                </c:pt>
                <c:pt idx="78">
                  <c:v>42277</c:v>
                </c:pt>
                <c:pt idx="79">
                  <c:v>42369</c:v>
                </c:pt>
                <c:pt idx="80">
                  <c:v>42460</c:v>
                </c:pt>
                <c:pt idx="81">
                  <c:v>42551</c:v>
                </c:pt>
                <c:pt idx="82">
                  <c:v>42643</c:v>
                </c:pt>
                <c:pt idx="83">
                  <c:v>42735</c:v>
                </c:pt>
                <c:pt idx="84">
                  <c:v>42825</c:v>
                </c:pt>
                <c:pt idx="85">
                  <c:v>42916</c:v>
                </c:pt>
                <c:pt idx="86">
                  <c:v>43008</c:v>
                </c:pt>
                <c:pt idx="87">
                  <c:v>43100</c:v>
                </c:pt>
                <c:pt idx="88">
                  <c:v>43190</c:v>
                </c:pt>
                <c:pt idx="89">
                  <c:v>43281</c:v>
                </c:pt>
                <c:pt idx="90">
                  <c:v>43373</c:v>
                </c:pt>
                <c:pt idx="91">
                  <c:v>43465</c:v>
                </c:pt>
                <c:pt idx="92">
                  <c:v>43555</c:v>
                </c:pt>
                <c:pt idx="93">
                  <c:v>43646</c:v>
                </c:pt>
                <c:pt idx="94">
                  <c:v>43738</c:v>
                </c:pt>
                <c:pt idx="95">
                  <c:v>43830</c:v>
                </c:pt>
                <c:pt idx="96">
                  <c:v>43921</c:v>
                </c:pt>
                <c:pt idx="97">
                  <c:v>44012</c:v>
                </c:pt>
                <c:pt idx="98">
                  <c:v>44104</c:v>
                </c:pt>
                <c:pt idx="99">
                  <c:v>44196</c:v>
                </c:pt>
                <c:pt idx="100">
                  <c:v>44286</c:v>
                </c:pt>
                <c:pt idx="101">
                  <c:v>44377</c:v>
                </c:pt>
                <c:pt idx="102">
                  <c:v>44469</c:v>
                </c:pt>
                <c:pt idx="103">
                  <c:v>44561</c:v>
                </c:pt>
                <c:pt idx="104">
                  <c:v>44651</c:v>
                </c:pt>
                <c:pt idx="105">
                  <c:v>44742</c:v>
                </c:pt>
                <c:pt idx="106">
                  <c:v>44834</c:v>
                </c:pt>
                <c:pt idx="107">
                  <c:v>44926</c:v>
                </c:pt>
                <c:pt idx="108">
                  <c:v>45016</c:v>
                </c:pt>
                <c:pt idx="109">
                  <c:v>45107</c:v>
                </c:pt>
                <c:pt idx="110">
                  <c:v>45199</c:v>
                </c:pt>
                <c:pt idx="111">
                  <c:v>45291</c:v>
                </c:pt>
                <c:pt idx="112">
                  <c:v>45382</c:v>
                </c:pt>
                <c:pt idx="113">
                  <c:v>45473</c:v>
                </c:pt>
                <c:pt idx="114">
                  <c:v>45565</c:v>
                </c:pt>
                <c:pt idx="115">
                  <c:v>45657</c:v>
                </c:pt>
                <c:pt idx="116">
                  <c:v>45747</c:v>
                </c:pt>
                <c:pt idx="117">
                  <c:v>45838</c:v>
                </c:pt>
                <c:pt idx="118">
                  <c:v>45930</c:v>
                </c:pt>
                <c:pt idx="119">
                  <c:v>46022</c:v>
                </c:pt>
                <c:pt idx="120">
                  <c:v>46112</c:v>
                </c:pt>
                <c:pt idx="121">
                  <c:v>46203</c:v>
                </c:pt>
                <c:pt idx="122">
                  <c:v>46295</c:v>
                </c:pt>
                <c:pt idx="123">
                  <c:v>46387</c:v>
                </c:pt>
                <c:pt idx="124">
                  <c:v>46477</c:v>
                </c:pt>
                <c:pt idx="125">
                  <c:v>46568</c:v>
                </c:pt>
                <c:pt idx="126">
                  <c:v>46660</c:v>
                </c:pt>
                <c:pt idx="127">
                  <c:v>46752</c:v>
                </c:pt>
                <c:pt idx="128">
                  <c:v>46843</c:v>
                </c:pt>
                <c:pt idx="129">
                  <c:v>46934</c:v>
                </c:pt>
                <c:pt idx="130">
                  <c:v>47026</c:v>
                </c:pt>
                <c:pt idx="131">
                  <c:v>47118</c:v>
                </c:pt>
                <c:pt idx="132">
                  <c:v>47208</c:v>
                </c:pt>
                <c:pt idx="133">
                  <c:v>47299</c:v>
                </c:pt>
                <c:pt idx="134">
                  <c:v>47391</c:v>
                </c:pt>
                <c:pt idx="135">
                  <c:v>47483</c:v>
                </c:pt>
                <c:pt idx="136">
                  <c:v>47573</c:v>
                </c:pt>
                <c:pt idx="137">
                  <c:v>47664</c:v>
                </c:pt>
                <c:pt idx="138">
                  <c:v>47756</c:v>
                </c:pt>
                <c:pt idx="139">
                  <c:v>47848</c:v>
                </c:pt>
                <c:pt idx="140">
                  <c:v>47938</c:v>
                </c:pt>
                <c:pt idx="141">
                  <c:v>48029</c:v>
                </c:pt>
                <c:pt idx="142">
                  <c:v>48121</c:v>
                </c:pt>
                <c:pt idx="143">
                  <c:v>48213</c:v>
                </c:pt>
                <c:pt idx="144">
                  <c:v>48304</c:v>
                </c:pt>
                <c:pt idx="145">
                  <c:v>48395</c:v>
                </c:pt>
                <c:pt idx="146">
                  <c:v>48487</c:v>
                </c:pt>
                <c:pt idx="147">
                  <c:v>48579</c:v>
                </c:pt>
                <c:pt idx="148">
                  <c:v>48669</c:v>
                </c:pt>
                <c:pt idx="149">
                  <c:v>48760</c:v>
                </c:pt>
                <c:pt idx="150">
                  <c:v>48852</c:v>
                </c:pt>
                <c:pt idx="151">
                  <c:v>48944</c:v>
                </c:pt>
                <c:pt idx="152">
                  <c:v>49034</c:v>
                </c:pt>
                <c:pt idx="153">
                  <c:v>49125</c:v>
                </c:pt>
                <c:pt idx="154">
                  <c:v>49217</c:v>
                </c:pt>
                <c:pt idx="155">
                  <c:v>49309</c:v>
                </c:pt>
                <c:pt idx="156">
                  <c:v>49399</c:v>
                </c:pt>
                <c:pt idx="157">
                  <c:v>49490</c:v>
                </c:pt>
                <c:pt idx="158">
                  <c:v>49582</c:v>
                </c:pt>
                <c:pt idx="159">
                  <c:v>49674</c:v>
                </c:pt>
              </c:numCache>
            </c:numRef>
          </c:cat>
          <c:val>
            <c:numRef>
              <c:f>Saídas!$H$4:$H$163</c:f>
              <c:numCache>
                <c:formatCode>#,##0</c:formatCode>
                <c:ptCount val="160"/>
                <c:pt idx="0">
                  <c:v>169531.01318888768</c:v>
                </c:pt>
                <c:pt idx="1">
                  <c:v>171126.34774111945</c:v>
                </c:pt>
                <c:pt idx="2">
                  <c:v>172708.12366956758</c:v>
                </c:pt>
                <c:pt idx="3">
                  <c:v>174276.34097423207</c:v>
                </c:pt>
                <c:pt idx="4">
                  <c:v>175844.55827889661</c:v>
                </c:pt>
                <c:pt idx="5">
                  <c:v>177412.77558356113</c:v>
                </c:pt>
                <c:pt idx="6">
                  <c:v>178905.16380834006</c:v>
                </c:pt>
                <c:pt idx="7">
                  <c:v>180321.72295323334</c:v>
                </c:pt>
                <c:pt idx="8">
                  <c:v>181738.28209812666</c:v>
                </c:pt>
                <c:pt idx="9">
                  <c:v>183154.84124301997</c:v>
                </c:pt>
                <c:pt idx="10">
                  <c:v>184521.11608647616</c:v>
                </c:pt>
                <c:pt idx="11">
                  <c:v>185837.10662849533</c:v>
                </c:pt>
                <c:pt idx="12">
                  <c:v>187153.09717051446</c:v>
                </c:pt>
                <c:pt idx="13">
                  <c:v>188469.0877125336</c:v>
                </c:pt>
                <c:pt idx="14">
                  <c:v>189792.32680595422</c:v>
                </c:pt>
                <c:pt idx="15">
                  <c:v>191122.81445077626</c:v>
                </c:pt>
                <c:pt idx="16">
                  <c:v>192453.30209559831</c:v>
                </c:pt>
                <c:pt idx="17">
                  <c:v>193783.78974042035</c:v>
                </c:pt>
                <c:pt idx="18">
                  <c:v>195161.33609803295</c:v>
                </c:pt>
                <c:pt idx="19">
                  <c:v>196585.94116843602</c:v>
                </c:pt>
                <c:pt idx="20">
                  <c:v>198010.54623883913</c:v>
                </c:pt>
                <c:pt idx="21">
                  <c:v>199435.15130924224</c:v>
                </c:pt>
                <c:pt idx="22">
                  <c:v>200913.20141756895</c:v>
                </c:pt>
                <c:pt idx="23">
                  <c:v>202444.69656381934</c:v>
                </c:pt>
                <c:pt idx="24">
                  <c:v>203976.19171006972</c:v>
                </c:pt>
                <c:pt idx="25">
                  <c:v>205507.68685632007</c:v>
                </c:pt>
                <c:pt idx="26">
                  <c:v>207101.31146232458</c:v>
                </c:pt>
                <c:pt idx="27">
                  <c:v>208757.06552808324</c:v>
                </c:pt>
                <c:pt idx="28">
                  <c:v>210412.81959384197</c:v>
                </c:pt>
                <c:pt idx="29">
                  <c:v>212068.57365960063</c:v>
                </c:pt>
                <c:pt idx="30">
                  <c:v>213843.51156263973</c:v>
                </c:pt>
                <c:pt idx="31">
                  <c:v>215737.63330295926</c:v>
                </c:pt>
                <c:pt idx="32">
                  <c:v>217631.7550432788</c:v>
                </c:pt>
                <c:pt idx="33">
                  <c:v>219525.87678359833</c:v>
                </c:pt>
                <c:pt idx="34">
                  <c:v>221495.73696953664</c:v>
                </c:pt>
                <c:pt idx="35">
                  <c:v>223541.33560109371</c:v>
                </c:pt>
                <c:pt idx="36">
                  <c:v>225586.93423265079</c:v>
                </c:pt>
                <c:pt idx="37">
                  <c:v>227632.53286420787</c:v>
                </c:pt>
                <c:pt idx="38">
                  <c:v>229752.4363118569</c:v>
                </c:pt>
                <c:pt idx="39">
                  <c:v>231946.64457559798</c:v>
                </c:pt>
                <c:pt idx="40">
                  <c:v>234140.85283933903</c:v>
                </c:pt>
                <c:pt idx="41">
                  <c:v>236335.06110308011</c:v>
                </c:pt>
                <c:pt idx="42">
                  <c:v>238601.33980703668</c:v>
                </c:pt>
                <c:pt idx="43">
                  <c:v>240939.68895120866</c:v>
                </c:pt>
                <c:pt idx="44">
                  <c:v>243278.03809538065</c:v>
                </c:pt>
                <c:pt idx="45">
                  <c:v>245616.38723955263</c:v>
                </c:pt>
                <c:pt idx="46">
                  <c:v>247995.8766857337</c:v>
                </c:pt>
                <c:pt idx="47">
                  <c:v>250416.5064339239</c:v>
                </c:pt>
                <c:pt idx="48">
                  <c:v>252837.13618211407</c:v>
                </c:pt>
                <c:pt idx="49">
                  <c:v>255257.76593030425</c:v>
                </c:pt>
                <c:pt idx="50">
                  <c:v>257586.07728122926</c:v>
                </c:pt>
                <c:pt idx="51">
                  <c:v>259822.07023488908</c:v>
                </c:pt>
                <c:pt idx="52">
                  <c:v>262058.06318854887</c:v>
                </c:pt>
                <c:pt idx="53">
                  <c:v>264294.05614220869</c:v>
                </c:pt>
                <c:pt idx="54">
                  <c:v>266538.70582075533</c:v>
                </c:pt>
                <c:pt idx="55">
                  <c:v>268792.01222418866</c:v>
                </c:pt>
                <c:pt idx="56">
                  <c:v>271045.31862762209</c:v>
                </c:pt>
                <c:pt idx="57">
                  <c:v>273298.62503105542</c:v>
                </c:pt>
                <c:pt idx="58">
                  <c:v>275451.9826336237</c:v>
                </c:pt>
                <c:pt idx="59">
                  <c:v>277505.39143532683</c:v>
                </c:pt>
                <c:pt idx="60">
                  <c:v>279558.80023702997</c:v>
                </c:pt>
                <c:pt idx="61">
                  <c:v>281612.20903873316</c:v>
                </c:pt>
                <c:pt idx="62">
                  <c:v>283490.85700501106</c:v>
                </c:pt>
                <c:pt idx="63">
                  <c:v>285194.74413586385</c:v>
                </c:pt>
                <c:pt idx="64">
                  <c:v>286898.63126671663</c:v>
                </c:pt>
                <c:pt idx="65">
                  <c:v>288602.51839756931</c:v>
                </c:pt>
                <c:pt idx="66">
                  <c:v>290164.19520166819</c:v>
                </c:pt>
                <c:pt idx="67">
                  <c:v>291583.66167901305</c:v>
                </c:pt>
                <c:pt idx="68">
                  <c:v>293003.12815635791</c:v>
                </c:pt>
                <c:pt idx="69">
                  <c:v>294422.59463370289</c:v>
                </c:pt>
                <c:pt idx="70">
                  <c:v>295624.60820384941</c:v>
                </c:pt>
                <c:pt idx="71">
                  <c:v>296609.16886679747</c:v>
                </c:pt>
                <c:pt idx="72">
                  <c:v>297593.72952974553</c:v>
                </c:pt>
                <c:pt idx="73">
                  <c:v>298578.29019269365</c:v>
                </c:pt>
                <c:pt idx="74">
                  <c:v>299307.28522980679</c:v>
                </c:pt>
                <c:pt idx="75">
                  <c:v>299780.71464108513</c:v>
                </c:pt>
                <c:pt idx="76">
                  <c:v>300254.14405236335</c:v>
                </c:pt>
                <c:pt idx="77">
                  <c:v>300727.57346364169</c:v>
                </c:pt>
                <c:pt idx="78">
                  <c:v>301045.63718635647</c:v>
                </c:pt>
                <c:pt idx="79">
                  <c:v>301208.33522050781</c:v>
                </c:pt>
                <c:pt idx="80">
                  <c:v>301371.03325465921</c:v>
                </c:pt>
                <c:pt idx="81">
                  <c:v>301533.73128881055</c:v>
                </c:pt>
                <c:pt idx="82">
                  <c:v>301680.13370752719</c:v>
                </c:pt>
                <c:pt idx="83">
                  <c:v>301810.24051080912</c:v>
                </c:pt>
                <c:pt idx="84">
                  <c:v>301940.34731409105</c:v>
                </c:pt>
                <c:pt idx="85">
                  <c:v>302070.45411737298</c:v>
                </c:pt>
                <c:pt idx="86">
                  <c:v>302268.95981103601</c:v>
                </c:pt>
                <c:pt idx="87">
                  <c:v>302535.86439508008</c:v>
                </c:pt>
                <c:pt idx="88">
                  <c:v>302802.76897912408</c:v>
                </c:pt>
                <c:pt idx="89">
                  <c:v>303069.67356316809</c:v>
                </c:pt>
                <c:pt idx="90">
                  <c:v>303426.51828748756</c:v>
                </c:pt>
                <c:pt idx="91">
                  <c:v>303873.30315208249</c:v>
                </c:pt>
                <c:pt idx="92">
                  <c:v>304320.08801667736</c:v>
                </c:pt>
                <c:pt idx="93">
                  <c:v>304766.87288127228</c:v>
                </c:pt>
                <c:pt idx="94">
                  <c:v>305071.6397541535</c:v>
                </c:pt>
                <c:pt idx="95">
                  <c:v>305376.71139390761</c:v>
                </c:pt>
                <c:pt idx="96">
                  <c:v>300015.8852933821</c:v>
                </c:pt>
                <c:pt idx="97">
                  <c:v>279852.62450891174</c:v>
                </c:pt>
                <c:pt idx="98">
                  <c:v>296044.4243159084</c:v>
                </c:pt>
                <c:pt idx="99">
                  <c:v>305303.13349155057</c:v>
                </c:pt>
                <c:pt idx="100">
                  <c:v>305262.17931262194</c:v>
                </c:pt>
                <c:pt idx="101">
                  <c:v>309245.44427669537</c:v>
                </c:pt>
                <c:pt idx="102">
                  <c:v>311795.41901571362</c:v>
                </c:pt>
                <c:pt idx="103">
                  <c:v>312912.10352967645</c:v>
                </c:pt>
                <c:pt idx="104">
                  <c:v>314028.78804363927</c:v>
                </c:pt>
                <c:pt idx="105">
                  <c:v>315145.47255760222</c:v>
                </c:pt>
                <c:pt idx="106">
                  <c:v>316373.34479474596</c:v>
                </c:pt>
                <c:pt idx="107">
                  <c:v>317712.40475507063</c:v>
                </c:pt>
                <c:pt idx="108">
                  <c:v>319051.4647153953</c:v>
                </c:pt>
                <c:pt idx="109">
                  <c:v>320390.52467571996</c:v>
                </c:pt>
                <c:pt idx="110">
                  <c:v>321827.93280335772</c:v>
                </c:pt>
                <c:pt idx="111">
                  <c:v>323363.68909830844</c:v>
                </c:pt>
                <c:pt idx="112">
                  <c:v>324899.44539325929</c:v>
                </c:pt>
                <c:pt idx="113">
                  <c:v>326435.20168821001</c:v>
                </c:pt>
                <c:pt idx="114">
                  <c:v>328051.53053568839</c:v>
                </c:pt>
                <c:pt idx="115">
                  <c:v>329748.43193569442</c:v>
                </c:pt>
                <c:pt idx="116">
                  <c:v>331445.33333570033</c:v>
                </c:pt>
                <c:pt idx="117">
                  <c:v>333142.2347357063</c:v>
                </c:pt>
                <c:pt idx="118">
                  <c:v>334899.48016422288</c:v>
                </c:pt>
                <c:pt idx="119">
                  <c:v>336717.06962125027</c:v>
                </c:pt>
                <c:pt idx="120">
                  <c:v>338534.65907827765</c:v>
                </c:pt>
                <c:pt idx="121">
                  <c:v>340352.24853530497</c:v>
                </c:pt>
                <c:pt idx="122">
                  <c:v>342209.33482249471</c:v>
                </c:pt>
                <c:pt idx="123">
                  <c:v>344105.91793984681</c:v>
                </c:pt>
                <c:pt idx="124">
                  <c:v>346002.50105719891</c:v>
                </c:pt>
                <c:pt idx="125">
                  <c:v>347899.08417455101</c:v>
                </c:pt>
                <c:pt idx="126">
                  <c:v>349815.11455467145</c:v>
                </c:pt>
                <c:pt idx="127">
                  <c:v>351750.59219756012</c:v>
                </c:pt>
                <c:pt idx="128">
                  <c:v>353686.06984044885</c:v>
                </c:pt>
                <c:pt idx="129">
                  <c:v>355621.54748333758</c:v>
                </c:pt>
                <c:pt idx="130">
                  <c:v>357558.27969591611</c:v>
                </c:pt>
                <c:pt idx="131">
                  <c:v>359496.26647818438</c:v>
                </c:pt>
                <c:pt idx="132">
                  <c:v>361434.25326045277</c:v>
                </c:pt>
                <c:pt idx="133">
                  <c:v>363372.2400427211</c:v>
                </c:pt>
                <c:pt idx="134">
                  <c:v>365295.86445484939</c:v>
                </c:pt>
                <c:pt idx="135">
                  <c:v>367205.12649683753</c:v>
                </c:pt>
                <c:pt idx="136">
                  <c:v>369114.38853882573</c:v>
                </c:pt>
                <c:pt idx="137">
                  <c:v>371023.65058081388</c:v>
                </c:pt>
                <c:pt idx="138">
                  <c:v>372905.91955853056</c:v>
                </c:pt>
                <c:pt idx="139">
                  <c:v>374761.19547197584</c:v>
                </c:pt>
                <c:pt idx="140">
                  <c:v>376616.47138542123</c:v>
                </c:pt>
                <c:pt idx="141">
                  <c:v>378471.74729886651</c:v>
                </c:pt>
                <c:pt idx="142">
                  <c:v>380290.53944706498</c:v>
                </c:pt>
                <c:pt idx="143">
                  <c:v>382072.84783001675</c:v>
                </c:pt>
                <c:pt idx="144">
                  <c:v>383855.1562129684</c:v>
                </c:pt>
                <c:pt idx="145">
                  <c:v>385637.46459592017</c:v>
                </c:pt>
                <c:pt idx="146">
                  <c:v>387376.85146243614</c:v>
                </c:pt>
                <c:pt idx="147">
                  <c:v>389073.31681251642</c:v>
                </c:pt>
                <c:pt idx="148">
                  <c:v>390769.7821625967</c:v>
                </c:pt>
                <c:pt idx="149">
                  <c:v>392466.24751267699</c:v>
                </c:pt>
                <c:pt idx="150">
                  <c:v>394116.12182311551</c:v>
                </c:pt>
                <c:pt idx="151">
                  <c:v>395719.40509391227</c:v>
                </c:pt>
                <c:pt idx="152">
                  <c:v>397322.68836470909</c:v>
                </c:pt>
                <c:pt idx="153">
                  <c:v>398925.97163550591</c:v>
                </c:pt>
                <c:pt idx="154">
                  <c:v>400481.36176158238</c:v>
                </c:pt>
                <c:pt idx="155">
                  <c:v>401988.85874293861</c:v>
                </c:pt>
                <c:pt idx="156">
                  <c:v>403496.35572429479</c:v>
                </c:pt>
                <c:pt idx="157">
                  <c:v>405003.85270565108</c:v>
                </c:pt>
                <c:pt idx="158">
                  <c:v>406464.05862503196</c:v>
                </c:pt>
                <c:pt idx="159">
                  <c:v>407876.97348243743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4D-4BAC-A99C-5A5982416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1360783"/>
        <c:axId val="1072624703"/>
      </c:lineChart>
      <c:dateAx>
        <c:axId val="841360783"/>
        <c:scaling>
          <c:orientation val="minMax"/>
          <c:min val="35855"/>
        </c:scaling>
        <c:delete val="0"/>
        <c:axPos val="b"/>
        <c:numFmt formatCode="yyyy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072624703"/>
        <c:crosses val="autoZero"/>
        <c:auto val="1"/>
        <c:lblOffset val="100"/>
        <c:baseTimeUnit val="months"/>
        <c:majorUnit val="48"/>
        <c:majorTimeUnit val="months"/>
        <c:minorUnit val="12"/>
        <c:minorTimeUnit val="months"/>
      </c:dateAx>
      <c:valAx>
        <c:axId val="1072624703"/>
        <c:scaling>
          <c:orientation val="minMax"/>
          <c:min val="160000"/>
        </c:scaling>
        <c:delete val="0"/>
        <c:axPos val="l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841360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latin typeface="Arial Black" panose="020B0A04020102020204" pitchFamily="34" charset="0"/>
              </a:rPr>
              <a:t>Brasil: Hiato do produto</a:t>
            </a:r>
            <a:endParaRPr lang="en-US" sz="1100" baseline="0">
              <a:latin typeface="Arial Black" panose="020B0A04020102020204" pitchFamily="34" charset="0"/>
            </a:endParaRPr>
          </a:p>
          <a:p>
            <a:pPr algn="l">
              <a:defRPr/>
            </a:pPr>
            <a:r>
              <a:rPr lang="en-US" sz="1000" b="0" i="0" baseline="0">
                <a:effectLst/>
              </a:rPr>
              <a:t>% do PIB</a:t>
            </a:r>
            <a:endParaRPr lang="en-US" sz="1000">
              <a:effectLst/>
            </a:endParaRPr>
          </a:p>
        </c:rich>
      </c:tx>
      <c:layout>
        <c:manualLayout>
          <c:xMode val="edge"/>
          <c:yMode val="edge"/>
          <c:x val="9.0806903954992781E-3"/>
          <c:y val="2.74927618583759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303770647512744E-2"/>
          <c:y val="0.23515256469230006"/>
          <c:w val="0.86339172806825271"/>
          <c:h val="0.64803645678310828"/>
        </c:manualLayout>
      </c:layout>
      <c:lineChart>
        <c:grouping val="standard"/>
        <c:varyColors val="0"/>
        <c:ser>
          <c:idx val="3"/>
          <c:order val="0"/>
          <c:tx>
            <c:strRef>
              <c:f>Saídas!$I$3</c:f>
              <c:strCache>
                <c:ptCount val="1"/>
                <c:pt idx="0">
                  <c:v>Hiato do produto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Saídas!$A$4:$A$163</c:f>
              <c:numCache>
                <c:formatCode>mm/yyyy</c:formatCode>
                <c:ptCount val="160"/>
                <c:pt idx="0">
                  <c:v>35125</c:v>
                </c:pt>
                <c:pt idx="1">
                  <c:v>35246</c:v>
                </c:pt>
                <c:pt idx="2">
                  <c:v>35338</c:v>
                </c:pt>
                <c:pt idx="3">
                  <c:v>35430</c:v>
                </c:pt>
                <c:pt idx="4">
                  <c:v>35520</c:v>
                </c:pt>
                <c:pt idx="5">
                  <c:v>35611</c:v>
                </c:pt>
                <c:pt idx="6">
                  <c:v>35703</c:v>
                </c:pt>
                <c:pt idx="7">
                  <c:v>35795</c:v>
                </c:pt>
                <c:pt idx="8">
                  <c:v>35885</c:v>
                </c:pt>
                <c:pt idx="9">
                  <c:v>35976</c:v>
                </c:pt>
                <c:pt idx="10">
                  <c:v>36068</c:v>
                </c:pt>
                <c:pt idx="11">
                  <c:v>36160</c:v>
                </c:pt>
                <c:pt idx="12">
                  <c:v>36250</c:v>
                </c:pt>
                <c:pt idx="13">
                  <c:v>36341</c:v>
                </c:pt>
                <c:pt idx="14">
                  <c:v>36433</c:v>
                </c:pt>
                <c:pt idx="15">
                  <c:v>36525</c:v>
                </c:pt>
                <c:pt idx="16">
                  <c:v>36616</c:v>
                </c:pt>
                <c:pt idx="17">
                  <c:v>36707</c:v>
                </c:pt>
                <c:pt idx="18">
                  <c:v>36799</c:v>
                </c:pt>
                <c:pt idx="19">
                  <c:v>36891</c:v>
                </c:pt>
                <c:pt idx="20">
                  <c:v>36981</c:v>
                </c:pt>
                <c:pt idx="21">
                  <c:v>37072</c:v>
                </c:pt>
                <c:pt idx="22">
                  <c:v>37164</c:v>
                </c:pt>
                <c:pt idx="23">
                  <c:v>37256</c:v>
                </c:pt>
                <c:pt idx="24">
                  <c:v>37346</c:v>
                </c:pt>
                <c:pt idx="25">
                  <c:v>37437</c:v>
                </c:pt>
                <c:pt idx="26">
                  <c:v>37529</c:v>
                </c:pt>
                <c:pt idx="27">
                  <c:v>37621</c:v>
                </c:pt>
                <c:pt idx="28">
                  <c:v>37711</c:v>
                </c:pt>
                <c:pt idx="29">
                  <c:v>37802</c:v>
                </c:pt>
                <c:pt idx="30">
                  <c:v>37894</c:v>
                </c:pt>
                <c:pt idx="31">
                  <c:v>37986</c:v>
                </c:pt>
                <c:pt idx="32">
                  <c:v>38077</c:v>
                </c:pt>
                <c:pt idx="33">
                  <c:v>38168</c:v>
                </c:pt>
                <c:pt idx="34">
                  <c:v>38260</c:v>
                </c:pt>
                <c:pt idx="35">
                  <c:v>38352</c:v>
                </c:pt>
                <c:pt idx="36">
                  <c:v>38442</c:v>
                </c:pt>
                <c:pt idx="37">
                  <c:v>38533</c:v>
                </c:pt>
                <c:pt idx="38">
                  <c:v>38625</c:v>
                </c:pt>
                <c:pt idx="39">
                  <c:v>38717</c:v>
                </c:pt>
                <c:pt idx="40">
                  <c:v>38807</c:v>
                </c:pt>
                <c:pt idx="41">
                  <c:v>38898</c:v>
                </c:pt>
                <c:pt idx="42">
                  <c:v>38990</c:v>
                </c:pt>
                <c:pt idx="43">
                  <c:v>39082</c:v>
                </c:pt>
                <c:pt idx="44">
                  <c:v>39172</c:v>
                </c:pt>
                <c:pt idx="45">
                  <c:v>39263</c:v>
                </c:pt>
                <c:pt idx="46">
                  <c:v>39355</c:v>
                </c:pt>
                <c:pt idx="47">
                  <c:v>39447</c:v>
                </c:pt>
                <c:pt idx="48">
                  <c:v>39538</c:v>
                </c:pt>
                <c:pt idx="49">
                  <c:v>39629</c:v>
                </c:pt>
                <c:pt idx="50">
                  <c:v>39721</c:v>
                </c:pt>
                <c:pt idx="51">
                  <c:v>39813</c:v>
                </c:pt>
                <c:pt idx="52">
                  <c:v>39903</c:v>
                </c:pt>
                <c:pt idx="53">
                  <c:v>39994</c:v>
                </c:pt>
                <c:pt idx="54">
                  <c:v>40086</c:v>
                </c:pt>
                <c:pt idx="55">
                  <c:v>40178</c:v>
                </c:pt>
                <c:pt idx="56">
                  <c:v>40268</c:v>
                </c:pt>
                <c:pt idx="57">
                  <c:v>40359</c:v>
                </c:pt>
                <c:pt idx="58">
                  <c:v>40451</c:v>
                </c:pt>
                <c:pt idx="59">
                  <c:v>40543</c:v>
                </c:pt>
                <c:pt idx="60">
                  <c:v>40633</c:v>
                </c:pt>
                <c:pt idx="61">
                  <c:v>40724</c:v>
                </c:pt>
                <c:pt idx="62">
                  <c:v>40816</c:v>
                </c:pt>
                <c:pt idx="63">
                  <c:v>40908</c:v>
                </c:pt>
                <c:pt idx="64">
                  <c:v>40999</c:v>
                </c:pt>
                <c:pt idx="65">
                  <c:v>41090</c:v>
                </c:pt>
                <c:pt idx="66">
                  <c:v>41182</c:v>
                </c:pt>
                <c:pt idx="67">
                  <c:v>41274</c:v>
                </c:pt>
                <c:pt idx="68">
                  <c:v>41364</c:v>
                </c:pt>
                <c:pt idx="69">
                  <c:v>41455</c:v>
                </c:pt>
                <c:pt idx="70">
                  <c:v>41547</c:v>
                </c:pt>
                <c:pt idx="71">
                  <c:v>41639</c:v>
                </c:pt>
                <c:pt idx="72">
                  <c:v>41729</c:v>
                </c:pt>
                <c:pt idx="73">
                  <c:v>41820</c:v>
                </c:pt>
                <c:pt idx="74">
                  <c:v>41912</c:v>
                </c:pt>
                <c:pt idx="75">
                  <c:v>42004</c:v>
                </c:pt>
                <c:pt idx="76">
                  <c:v>42094</c:v>
                </c:pt>
                <c:pt idx="77">
                  <c:v>42185</c:v>
                </c:pt>
                <c:pt idx="78">
                  <c:v>42277</c:v>
                </c:pt>
                <c:pt idx="79">
                  <c:v>42369</c:v>
                </c:pt>
                <c:pt idx="80">
                  <c:v>42460</c:v>
                </c:pt>
                <c:pt idx="81">
                  <c:v>42551</c:v>
                </c:pt>
                <c:pt idx="82">
                  <c:v>42643</c:v>
                </c:pt>
                <c:pt idx="83">
                  <c:v>42735</c:v>
                </c:pt>
                <c:pt idx="84">
                  <c:v>42825</c:v>
                </c:pt>
                <c:pt idx="85">
                  <c:v>42916</c:v>
                </c:pt>
                <c:pt idx="86">
                  <c:v>43008</c:v>
                </c:pt>
                <c:pt idx="87">
                  <c:v>43100</c:v>
                </c:pt>
                <c:pt idx="88">
                  <c:v>43190</c:v>
                </c:pt>
                <c:pt idx="89">
                  <c:v>43281</c:v>
                </c:pt>
                <c:pt idx="90">
                  <c:v>43373</c:v>
                </c:pt>
                <c:pt idx="91">
                  <c:v>43465</c:v>
                </c:pt>
                <c:pt idx="92">
                  <c:v>43555</c:v>
                </c:pt>
                <c:pt idx="93">
                  <c:v>43646</c:v>
                </c:pt>
                <c:pt idx="94">
                  <c:v>43738</c:v>
                </c:pt>
                <c:pt idx="95">
                  <c:v>43830</c:v>
                </c:pt>
                <c:pt idx="96">
                  <c:v>43921</c:v>
                </c:pt>
                <c:pt idx="97">
                  <c:v>44012</c:v>
                </c:pt>
                <c:pt idx="98">
                  <c:v>44104</c:v>
                </c:pt>
                <c:pt idx="99">
                  <c:v>44196</c:v>
                </c:pt>
                <c:pt idx="100">
                  <c:v>44286</c:v>
                </c:pt>
                <c:pt idx="101">
                  <c:v>44377</c:v>
                </c:pt>
                <c:pt idx="102">
                  <c:v>44469</c:v>
                </c:pt>
                <c:pt idx="103">
                  <c:v>44561</c:v>
                </c:pt>
                <c:pt idx="104">
                  <c:v>44651</c:v>
                </c:pt>
                <c:pt idx="105">
                  <c:v>44742</c:v>
                </c:pt>
                <c:pt idx="106">
                  <c:v>44834</c:v>
                </c:pt>
                <c:pt idx="107">
                  <c:v>44926</c:v>
                </c:pt>
                <c:pt idx="108">
                  <c:v>45016</c:v>
                </c:pt>
                <c:pt idx="109">
                  <c:v>45107</c:v>
                </c:pt>
                <c:pt idx="110">
                  <c:v>45199</c:v>
                </c:pt>
                <c:pt idx="111">
                  <c:v>45291</c:v>
                </c:pt>
                <c:pt idx="112">
                  <c:v>45382</c:v>
                </c:pt>
                <c:pt idx="113">
                  <c:v>45473</c:v>
                </c:pt>
                <c:pt idx="114">
                  <c:v>45565</c:v>
                </c:pt>
                <c:pt idx="115">
                  <c:v>45657</c:v>
                </c:pt>
                <c:pt idx="116">
                  <c:v>45747</c:v>
                </c:pt>
                <c:pt idx="117">
                  <c:v>45838</c:v>
                </c:pt>
                <c:pt idx="118">
                  <c:v>45930</c:v>
                </c:pt>
                <c:pt idx="119">
                  <c:v>46022</c:v>
                </c:pt>
                <c:pt idx="120">
                  <c:v>46112</c:v>
                </c:pt>
                <c:pt idx="121">
                  <c:v>46203</c:v>
                </c:pt>
                <c:pt idx="122">
                  <c:v>46295</c:v>
                </c:pt>
                <c:pt idx="123">
                  <c:v>46387</c:v>
                </c:pt>
                <c:pt idx="124">
                  <c:v>46477</c:v>
                </c:pt>
                <c:pt idx="125">
                  <c:v>46568</c:v>
                </c:pt>
                <c:pt idx="126">
                  <c:v>46660</c:v>
                </c:pt>
                <c:pt idx="127">
                  <c:v>46752</c:v>
                </c:pt>
                <c:pt idx="128">
                  <c:v>46843</c:v>
                </c:pt>
                <c:pt idx="129">
                  <c:v>46934</c:v>
                </c:pt>
                <c:pt idx="130">
                  <c:v>47026</c:v>
                </c:pt>
                <c:pt idx="131">
                  <c:v>47118</c:v>
                </c:pt>
                <c:pt idx="132">
                  <c:v>47208</c:v>
                </c:pt>
                <c:pt idx="133">
                  <c:v>47299</c:v>
                </c:pt>
                <c:pt idx="134">
                  <c:v>47391</c:v>
                </c:pt>
                <c:pt idx="135">
                  <c:v>47483</c:v>
                </c:pt>
                <c:pt idx="136">
                  <c:v>47573</c:v>
                </c:pt>
                <c:pt idx="137">
                  <c:v>47664</c:v>
                </c:pt>
                <c:pt idx="138">
                  <c:v>47756</c:v>
                </c:pt>
                <c:pt idx="139">
                  <c:v>47848</c:v>
                </c:pt>
                <c:pt idx="140">
                  <c:v>47938</c:v>
                </c:pt>
                <c:pt idx="141">
                  <c:v>48029</c:v>
                </c:pt>
                <c:pt idx="142">
                  <c:v>48121</c:v>
                </c:pt>
                <c:pt idx="143">
                  <c:v>48213</c:v>
                </c:pt>
                <c:pt idx="144">
                  <c:v>48304</c:v>
                </c:pt>
                <c:pt idx="145">
                  <c:v>48395</c:v>
                </c:pt>
                <c:pt idx="146">
                  <c:v>48487</c:v>
                </c:pt>
                <c:pt idx="147">
                  <c:v>48579</c:v>
                </c:pt>
                <c:pt idx="148">
                  <c:v>48669</c:v>
                </c:pt>
                <c:pt idx="149">
                  <c:v>48760</c:v>
                </c:pt>
                <c:pt idx="150">
                  <c:v>48852</c:v>
                </c:pt>
                <c:pt idx="151">
                  <c:v>48944</c:v>
                </c:pt>
                <c:pt idx="152">
                  <c:v>49034</c:v>
                </c:pt>
                <c:pt idx="153">
                  <c:v>49125</c:v>
                </c:pt>
                <c:pt idx="154">
                  <c:v>49217</c:v>
                </c:pt>
                <c:pt idx="155">
                  <c:v>49309</c:v>
                </c:pt>
                <c:pt idx="156">
                  <c:v>49399</c:v>
                </c:pt>
                <c:pt idx="157">
                  <c:v>49490</c:v>
                </c:pt>
                <c:pt idx="158">
                  <c:v>49582</c:v>
                </c:pt>
                <c:pt idx="159">
                  <c:v>49674</c:v>
                </c:pt>
              </c:numCache>
            </c:numRef>
          </c:cat>
          <c:val>
            <c:numRef>
              <c:f>Saídas!$I$4:$I$163</c:f>
              <c:numCache>
                <c:formatCode>#,##0.0</c:formatCode>
                <c:ptCount val="160"/>
                <c:pt idx="0">
                  <c:v>3.6382468877479868</c:v>
                </c:pt>
                <c:pt idx="1">
                  <c:v>3.5901615034610534</c:v>
                </c:pt>
                <c:pt idx="2">
                  <c:v>6.6612131994689516</c:v>
                </c:pt>
                <c:pt idx="3">
                  <c:v>4.6165641192555951</c:v>
                </c:pt>
                <c:pt idx="4">
                  <c:v>4.7025348990260785</c:v>
                </c:pt>
                <c:pt idx="5">
                  <c:v>4.4796291531415955</c:v>
                </c:pt>
                <c:pt idx="6">
                  <c:v>4.8949879395553175</c:v>
                </c:pt>
                <c:pt idx="7">
                  <c:v>4.8777911516783012</c:v>
                </c:pt>
                <c:pt idx="8">
                  <c:v>2.0496550637922883</c:v>
                </c:pt>
                <c:pt idx="9">
                  <c:v>2.9036408324711438</c:v>
                </c:pt>
                <c:pt idx="10">
                  <c:v>2.2044923636910241</c:v>
                </c:pt>
                <c:pt idx="11">
                  <c:v>0.27759976511900764</c:v>
                </c:pt>
                <c:pt idx="12">
                  <c:v>-0.10325085367859366</c:v>
                </c:pt>
                <c:pt idx="13">
                  <c:v>-0.56496676747207486</c:v>
                </c:pt>
                <c:pt idx="14">
                  <c:v>-1.091507144054471</c:v>
                </c:pt>
                <c:pt idx="15">
                  <c:v>-0.40310961984848515</c:v>
                </c:pt>
                <c:pt idx="16">
                  <c:v>-5.304252745301774E-2</c:v>
                </c:pt>
                <c:pt idx="17">
                  <c:v>0.66138156411146287</c:v>
                </c:pt>
                <c:pt idx="18">
                  <c:v>1.1301490070037001</c:v>
                </c:pt>
                <c:pt idx="19">
                  <c:v>1.629164737075417</c:v>
                </c:pt>
                <c:pt idx="20">
                  <c:v>1.274141104644877</c:v>
                </c:pt>
                <c:pt idx="21">
                  <c:v>5.2698177862731121E-2</c:v>
                </c:pt>
                <c:pt idx="22">
                  <c:v>-1.1979409021345089</c:v>
                </c:pt>
                <c:pt idx="23">
                  <c:v>-2.2193896111291522</c:v>
                </c:pt>
                <c:pt idx="24">
                  <c:v>-0.7131772085133492</c:v>
                </c:pt>
                <c:pt idx="25">
                  <c:v>-0.90523954834872411</c:v>
                </c:pt>
                <c:pt idx="26">
                  <c:v>-0.45010891323793434</c:v>
                </c:pt>
                <c:pt idx="27">
                  <c:v>-0.24300759679677375</c:v>
                </c:pt>
                <c:pt idx="28">
                  <c:v>-1.4444792858670952</c:v>
                </c:pt>
                <c:pt idx="29">
                  <c:v>-3.0641851111947949</c:v>
                </c:pt>
                <c:pt idx="30">
                  <c:v>-2.9560595579670168</c:v>
                </c:pt>
                <c:pt idx="31">
                  <c:v>-2.8129368112781772</c:v>
                </c:pt>
                <c:pt idx="32">
                  <c:v>-2.2998091626304507</c:v>
                </c:pt>
                <c:pt idx="33">
                  <c:v>-0.48986333609244426</c:v>
                </c:pt>
                <c:pt idx="34">
                  <c:v>-0.13790196313288039</c:v>
                </c:pt>
                <c:pt idx="35">
                  <c:v>-0.29246295739252526</c:v>
                </c:pt>
                <c:pt idx="36">
                  <c:v>-0.45753280710235655</c:v>
                </c:pt>
                <c:pt idx="37">
                  <c:v>4.2204581530036478E-3</c:v>
                </c:pt>
                <c:pt idx="38">
                  <c:v>-1.6738087193282292</c:v>
                </c:pt>
                <c:pt idx="39">
                  <c:v>-1.3784612325167256</c:v>
                </c:pt>
                <c:pt idx="40">
                  <c:v>-0.63657530126183248</c:v>
                </c:pt>
                <c:pt idx="41">
                  <c:v>-1.3122348789913363</c:v>
                </c:pt>
                <c:pt idx="42">
                  <c:v>-0.65640863890508161</c:v>
                </c:pt>
                <c:pt idx="43">
                  <c:v>-0.45294279077020549</c:v>
                </c:pt>
                <c:pt idx="44">
                  <c:v>0.55079032826381713</c:v>
                </c:pt>
                <c:pt idx="45">
                  <c:v>1.148784408141057</c:v>
                </c:pt>
                <c:pt idx="46">
                  <c:v>1.2102069414926531</c:v>
                </c:pt>
                <c:pt idx="47">
                  <c:v>1.7845163762218785</c:v>
                </c:pt>
                <c:pt idx="48">
                  <c:v>1.9531718688384991</c:v>
                </c:pt>
                <c:pt idx="49">
                  <c:v>3.3313713448458016</c:v>
                </c:pt>
                <c:pt idx="50">
                  <c:v>3.8943380887076051</c:v>
                </c:pt>
                <c:pt idx="51">
                  <c:v>-0.89499719280460299</c:v>
                </c:pt>
                <c:pt idx="52">
                  <c:v>-3.1003637475192525</c:v>
                </c:pt>
                <c:pt idx="53">
                  <c:v>-2.1863322340853308</c:v>
                </c:pt>
                <c:pt idx="54">
                  <c:v>-0.73484104859145027</c:v>
                </c:pt>
                <c:pt idx="55">
                  <c:v>0.9243718796744016</c:v>
                </c:pt>
                <c:pt idx="56">
                  <c:v>2.3672725302417374</c:v>
                </c:pt>
                <c:pt idx="57">
                  <c:v>2.5118695595942153</c:v>
                </c:pt>
                <c:pt idx="58">
                  <c:v>2.7523589751975885</c:v>
                </c:pt>
                <c:pt idx="59">
                  <c:v>3.3742366287883074</c:v>
                </c:pt>
                <c:pt idx="60">
                  <c:v>4.1021816352218687</c:v>
                </c:pt>
                <c:pt idx="61">
                  <c:v>4.342209097754357</c:v>
                </c:pt>
                <c:pt idx="62">
                  <c:v>3.432831343416809</c:v>
                </c:pt>
                <c:pt idx="63">
                  <c:v>3.6581900889330665</c:v>
                </c:pt>
                <c:pt idx="64">
                  <c:v>1.7157170501476804</c:v>
                </c:pt>
                <c:pt idx="65">
                  <c:v>2.8522417781160936</c:v>
                </c:pt>
                <c:pt idx="66">
                  <c:v>4.0821076460172856</c:v>
                </c:pt>
                <c:pt idx="67">
                  <c:v>3.5482057744292472</c:v>
                </c:pt>
                <c:pt idx="68">
                  <c:v>3.5150893809386075</c:v>
                </c:pt>
                <c:pt idx="69">
                  <c:v>4.7561517429458133</c:v>
                </c:pt>
                <c:pt idx="70">
                  <c:v>4.6665133460871866</c:v>
                </c:pt>
                <c:pt idx="71">
                  <c:v>4.432766250428033</c:v>
                </c:pt>
                <c:pt idx="72">
                  <c:v>5.0285200880748615</c:v>
                </c:pt>
                <c:pt idx="73">
                  <c:v>3.0925924993900678</c:v>
                </c:pt>
                <c:pt idx="74">
                  <c:v>2.8131472856493867</c:v>
                </c:pt>
                <c:pt idx="75">
                  <c:v>3.1616594717450486</c:v>
                </c:pt>
                <c:pt idx="76">
                  <c:v>2.3201797829047521</c:v>
                </c:pt>
                <c:pt idx="77">
                  <c:v>-0.50321739580180269</c:v>
                </c:pt>
                <c:pt idx="78">
                  <c:v>-2.0932929788500809</c:v>
                </c:pt>
                <c:pt idx="79">
                  <c:v>-2.9153061830375138</c:v>
                </c:pt>
                <c:pt idx="80">
                  <c:v>-4.5136565076461022</c:v>
                </c:pt>
                <c:pt idx="81">
                  <c:v>-4.0283159157329385</c:v>
                </c:pt>
                <c:pt idx="82">
                  <c:v>-4.6783371294876304</c:v>
                </c:pt>
                <c:pt idx="83">
                  <c:v>-4.8924816089135685</c:v>
                </c:pt>
                <c:pt idx="84">
                  <c:v>-3.8742345692284852</c:v>
                </c:pt>
                <c:pt idx="85">
                  <c:v>-3.2035652562076966</c:v>
                </c:pt>
                <c:pt idx="86">
                  <c:v>-2.9716381783466472</c:v>
                </c:pt>
                <c:pt idx="87">
                  <c:v>-2.643621909445959</c:v>
                </c:pt>
                <c:pt idx="88">
                  <c:v>-2.2076115755681691</c:v>
                </c:pt>
                <c:pt idx="89">
                  <c:v>-2.1285711260132123</c:v>
                </c:pt>
                <c:pt idx="90">
                  <c:v>-1.3841236788369349</c:v>
                </c:pt>
                <c:pt idx="91">
                  <c:v>-1.8876035152096793</c:v>
                </c:pt>
                <c:pt idx="92">
                  <c:v>-1.5475935378998829</c:v>
                </c:pt>
                <c:pt idx="93">
                  <c:v>-1.1193942599533435</c:v>
                </c:pt>
                <c:pt idx="94">
                  <c:v>-1.2316811084706281</c:v>
                </c:pt>
                <c:pt idx="95">
                  <c:v>-1.0030271725457784</c:v>
                </c:pt>
                <c:pt idx="96">
                  <c:v>-1.5224444828698114</c:v>
                </c:pt>
                <c:pt idx="97">
                  <c:v>-3.7748741958199328</c:v>
                </c:pt>
                <c:pt idx="98">
                  <c:v>-1.9715940705169133</c:v>
                </c:pt>
                <c:pt idx="99">
                  <c:v>-1.9837115401628136</c:v>
                </c:pt>
                <c:pt idx="100">
                  <c:v>-0.65356911135026063</c:v>
                </c:pt>
                <c:pt idx="101">
                  <c:v>-2.2775870775297191</c:v>
                </c:pt>
                <c:pt idx="102">
                  <c:v>-3.1677498812822003</c:v>
                </c:pt>
                <c:pt idx="103">
                  <c:v>-3.196068883357539</c:v>
                </c:pt>
                <c:pt idx="104">
                  <c:v>-3.4400252442778778</c:v>
                </c:pt>
                <c:pt idx="105">
                  <c:v>-3.8381323625231278</c:v>
                </c:pt>
                <c:pt idx="106">
                  <c:v>-3.8329475333672924</c:v>
                </c:pt>
                <c:pt idx="107">
                  <c:v>-3.778923451204852</c:v>
                </c:pt>
                <c:pt idx="108">
                  <c:v>-3.6825983281309038</c:v>
                </c:pt>
                <c:pt idx="109">
                  <c:v>-3.5810195039388981</c:v>
                </c:pt>
                <c:pt idx="110">
                  <c:v>-3.5053918863021893</c:v>
                </c:pt>
                <c:pt idx="111">
                  <c:v>-3.4574901173381023</c:v>
                </c:pt>
                <c:pt idx="112">
                  <c:v>-3.2544991264900847</c:v>
                </c:pt>
                <c:pt idx="113">
                  <c:v>-2.9683246639929606</c:v>
                </c:pt>
                <c:pt idx="114">
                  <c:v>-2.6701503122562475</c:v>
                </c:pt>
                <c:pt idx="115">
                  <c:v>-2.3793348119495961</c:v>
                </c:pt>
                <c:pt idx="116">
                  <c:v>-2.0833766068162785</c:v>
                </c:pt>
                <c:pt idx="117">
                  <c:v>-1.7990538304931025</c:v>
                </c:pt>
                <c:pt idx="118">
                  <c:v>-1.5536574497899136</c:v>
                </c:pt>
                <c:pt idx="119">
                  <c:v>-1.3437433813231481</c:v>
                </c:pt>
                <c:pt idx="120">
                  <c:v>-1.147821524441639</c:v>
                </c:pt>
                <c:pt idx="121">
                  <c:v>-0.97009737495366011</c:v>
                </c:pt>
                <c:pt idx="122">
                  <c:v>-0.82364456964540977</c:v>
                </c:pt>
                <c:pt idx="123">
                  <c:v>-0.70315829922575901</c:v>
                </c:pt>
                <c:pt idx="124">
                  <c:v>-0.59279478011349251</c:v>
                </c:pt>
                <c:pt idx="125">
                  <c:v>-0.49403605248173887</c:v>
                </c:pt>
                <c:pt idx="126">
                  <c:v>-0.41273164854146449</c:v>
                </c:pt>
                <c:pt idx="127">
                  <c:v>-0.34590565275750551</c:v>
                </c:pt>
                <c:pt idx="128">
                  <c:v>-0.28556402224102495</c:v>
                </c:pt>
                <c:pt idx="129">
                  <c:v>-0.23214939599345286</c:v>
                </c:pt>
                <c:pt idx="130">
                  <c:v>-0.18593277077191273</c:v>
                </c:pt>
                <c:pt idx="131">
                  <c:v>-0.14636252024221585</c:v>
                </c:pt>
                <c:pt idx="132">
                  <c:v>-0.11242943437953512</c:v>
                </c:pt>
                <c:pt idx="133">
                  <c:v>-8.3598703615450631E-2</c:v>
                </c:pt>
                <c:pt idx="134">
                  <c:v>-5.5365490227154979E-2</c:v>
                </c:pt>
                <c:pt idx="135">
                  <c:v>-2.8985003572523649E-2</c:v>
                </c:pt>
                <c:pt idx="136">
                  <c:v>-9.007641798086663E-3</c:v>
                </c:pt>
                <c:pt idx="137">
                  <c:v>6.1049120370304522E-3</c:v>
                </c:pt>
                <c:pt idx="138">
                  <c:v>2.4758504596644748E-2</c:v>
                </c:pt>
                <c:pt idx="139">
                  <c:v>4.4475239252705911E-2</c:v>
                </c:pt>
                <c:pt idx="140">
                  <c:v>5.6547044204435792E-2</c:v>
                </c:pt>
                <c:pt idx="141">
                  <c:v>6.3405828500928685E-2</c:v>
                </c:pt>
                <c:pt idx="142">
                  <c:v>7.6371276233055951E-2</c:v>
                </c:pt>
                <c:pt idx="143">
                  <c:v>9.2197299332963389E-2</c:v>
                </c:pt>
                <c:pt idx="144">
                  <c:v>9.9284287074064004E-2</c:v>
                </c:pt>
                <c:pt idx="145">
                  <c:v>0.10075369990296679</c:v>
                </c:pt>
                <c:pt idx="146">
                  <c:v>0.10985008160293575</c:v>
                </c:pt>
                <c:pt idx="147">
                  <c:v>0.12290304988007428</c:v>
                </c:pt>
                <c:pt idx="148">
                  <c:v>0.12652109633928266</c:v>
                </c:pt>
                <c:pt idx="149">
                  <c:v>0.12428047897661276</c:v>
                </c:pt>
                <c:pt idx="150">
                  <c:v>0.1304553339809944</c:v>
                </c:pt>
                <c:pt idx="151">
                  <c:v>0.14120875804728428</c:v>
                </c:pt>
                <c:pt idx="152">
                  <c:v>0.14227352744549115</c:v>
                </c:pt>
                <c:pt idx="153">
                  <c:v>0.13745796058983739</c:v>
                </c:pt>
                <c:pt idx="154">
                  <c:v>0.14131517092295098</c:v>
                </c:pt>
                <c:pt idx="155">
                  <c:v>0.15003224556739969</c:v>
                </c:pt>
                <c:pt idx="156">
                  <c:v>0.14919788564755621</c:v>
                </c:pt>
                <c:pt idx="157">
                  <c:v>0.142663075394589</c:v>
                </c:pt>
                <c:pt idx="158">
                  <c:v>0.1446733702898495</c:v>
                </c:pt>
                <c:pt idx="159">
                  <c:v>0.15157494368389646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12-45BC-B565-06F4CBEBDCFA}"/>
            </c:ext>
          </c:extLst>
        </c:ser>
        <c:ser>
          <c:idx val="0"/>
          <c:order val="1"/>
          <c:tx>
            <c:v>0</c:v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9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A34B-4F72-A39D-775AD2FD4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1360783"/>
        <c:axId val="1072624703"/>
      </c:lineChart>
      <c:dateAx>
        <c:axId val="841360783"/>
        <c:scaling>
          <c:orientation val="minMax"/>
          <c:min val="35855"/>
        </c:scaling>
        <c:delete val="0"/>
        <c:axPos val="b"/>
        <c:numFmt formatCode="yyyy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072624703"/>
        <c:crossesAt val="-100"/>
        <c:auto val="1"/>
        <c:lblOffset val="100"/>
        <c:baseTimeUnit val="months"/>
        <c:majorUnit val="48"/>
        <c:majorTimeUnit val="months"/>
        <c:minorUnit val="12"/>
        <c:minorTimeUnit val="months"/>
      </c:dateAx>
      <c:valAx>
        <c:axId val="1072624703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841360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200">
                <a:latin typeface="Arial Black" panose="020B0A04020102020204" pitchFamily="34" charset="0"/>
              </a:rPr>
              <a:t>Brasil: PIB,</a:t>
            </a:r>
            <a:r>
              <a:rPr lang="en-US" sz="1200" baseline="0">
                <a:latin typeface="Arial Black" panose="020B0A04020102020204" pitchFamily="34" charset="0"/>
              </a:rPr>
              <a:t> </a:t>
            </a:r>
            <a:r>
              <a:rPr lang="en-US" sz="1200">
                <a:latin typeface="Arial Black" panose="020B0A04020102020204" pitchFamily="34" charset="0"/>
              </a:rPr>
              <a:t>valor adicionado</a:t>
            </a:r>
          </a:p>
          <a:p>
            <a:pPr algn="l">
              <a:defRPr/>
            </a:pPr>
            <a:r>
              <a:rPr lang="en-US" sz="1000" b="0" i="0" baseline="0">
                <a:effectLst/>
              </a:rPr>
              <a:t>Fluxo trimestral, R$ mn de 1995, s.a.</a:t>
            </a:r>
            <a:endParaRPr lang="en-US" sz="1000">
              <a:effectLst/>
            </a:endParaRPr>
          </a:p>
        </c:rich>
      </c:tx>
      <c:layout>
        <c:manualLayout>
          <c:xMode val="edge"/>
          <c:yMode val="edge"/>
          <c:x val="2.5479577402934164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5081377071788801"/>
          <c:y val="0.1714215378073625"/>
          <c:w val="0.81606540055348209"/>
          <c:h val="0.6334886391531519"/>
        </c:manualLayout>
      </c:layout>
      <c:areaChart>
        <c:grouping val="stacked"/>
        <c:varyColors val="0"/>
        <c:ser>
          <c:idx val="2"/>
          <c:order val="0"/>
          <c:tx>
            <c:strRef>
              <c:f>Saídas!$D$3</c:f>
              <c:strCache>
                <c:ptCount val="1"/>
                <c:pt idx="0">
                  <c:v>Serviços</c:v>
                </c:pt>
              </c:strCache>
            </c:strRef>
          </c:tx>
          <c:spPr>
            <a:solidFill>
              <a:schemeClr val="tx1">
                <a:lumMod val="65000"/>
                <a:lumOff val="35000"/>
                <a:alpha val="70000"/>
              </a:schemeClr>
            </a:solidFill>
            <a:ln>
              <a:noFill/>
            </a:ln>
            <a:effectLst/>
          </c:spPr>
          <c:cat>
            <c:numRef>
              <c:f>Saídas!$A$4:$A$163</c:f>
              <c:numCache>
                <c:formatCode>mm/yyyy</c:formatCode>
                <c:ptCount val="160"/>
                <c:pt idx="0">
                  <c:v>35125</c:v>
                </c:pt>
                <c:pt idx="1">
                  <c:v>35246</c:v>
                </c:pt>
                <c:pt idx="2">
                  <c:v>35338</c:v>
                </c:pt>
                <c:pt idx="3">
                  <c:v>35430</c:v>
                </c:pt>
                <c:pt idx="4">
                  <c:v>35520</c:v>
                </c:pt>
                <c:pt idx="5">
                  <c:v>35611</c:v>
                </c:pt>
                <c:pt idx="6">
                  <c:v>35703</c:v>
                </c:pt>
                <c:pt idx="7">
                  <c:v>35795</c:v>
                </c:pt>
                <c:pt idx="8">
                  <c:v>35885</c:v>
                </c:pt>
                <c:pt idx="9">
                  <c:v>35976</c:v>
                </c:pt>
                <c:pt idx="10">
                  <c:v>36068</c:v>
                </c:pt>
                <c:pt idx="11">
                  <c:v>36160</c:v>
                </c:pt>
                <c:pt idx="12">
                  <c:v>36250</c:v>
                </c:pt>
                <c:pt idx="13">
                  <c:v>36341</c:v>
                </c:pt>
                <c:pt idx="14">
                  <c:v>36433</c:v>
                </c:pt>
                <c:pt idx="15">
                  <c:v>36525</c:v>
                </c:pt>
                <c:pt idx="16">
                  <c:v>36616</c:v>
                </c:pt>
                <c:pt idx="17">
                  <c:v>36707</c:v>
                </c:pt>
                <c:pt idx="18">
                  <c:v>36799</c:v>
                </c:pt>
                <c:pt idx="19">
                  <c:v>36891</c:v>
                </c:pt>
                <c:pt idx="20">
                  <c:v>36981</c:v>
                </c:pt>
                <c:pt idx="21">
                  <c:v>37072</c:v>
                </c:pt>
                <c:pt idx="22">
                  <c:v>37164</c:v>
                </c:pt>
                <c:pt idx="23">
                  <c:v>37256</c:v>
                </c:pt>
                <c:pt idx="24">
                  <c:v>37346</c:v>
                </c:pt>
                <c:pt idx="25">
                  <c:v>37437</c:v>
                </c:pt>
                <c:pt idx="26">
                  <c:v>37529</c:v>
                </c:pt>
                <c:pt idx="27">
                  <c:v>37621</c:v>
                </c:pt>
                <c:pt idx="28">
                  <c:v>37711</c:v>
                </c:pt>
                <c:pt idx="29">
                  <c:v>37802</c:v>
                </c:pt>
                <c:pt idx="30">
                  <c:v>37894</c:v>
                </c:pt>
                <c:pt idx="31">
                  <c:v>37986</c:v>
                </c:pt>
                <c:pt idx="32">
                  <c:v>38077</c:v>
                </c:pt>
                <c:pt idx="33">
                  <c:v>38168</c:v>
                </c:pt>
                <c:pt idx="34">
                  <c:v>38260</c:v>
                </c:pt>
                <c:pt idx="35">
                  <c:v>38352</c:v>
                </c:pt>
                <c:pt idx="36">
                  <c:v>38442</c:v>
                </c:pt>
                <c:pt idx="37">
                  <c:v>38533</c:v>
                </c:pt>
                <c:pt idx="38">
                  <c:v>38625</c:v>
                </c:pt>
                <c:pt idx="39">
                  <c:v>38717</c:v>
                </c:pt>
                <c:pt idx="40">
                  <c:v>38807</c:v>
                </c:pt>
                <c:pt idx="41">
                  <c:v>38898</c:v>
                </c:pt>
                <c:pt idx="42">
                  <c:v>38990</c:v>
                </c:pt>
                <c:pt idx="43">
                  <c:v>39082</c:v>
                </c:pt>
                <c:pt idx="44">
                  <c:v>39172</c:v>
                </c:pt>
                <c:pt idx="45">
                  <c:v>39263</c:v>
                </c:pt>
                <c:pt idx="46">
                  <c:v>39355</c:v>
                </c:pt>
                <c:pt idx="47">
                  <c:v>39447</c:v>
                </c:pt>
                <c:pt idx="48">
                  <c:v>39538</c:v>
                </c:pt>
                <c:pt idx="49">
                  <c:v>39629</c:v>
                </c:pt>
                <c:pt idx="50">
                  <c:v>39721</c:v>
                </c:pt>
                <c:pt idx="51">
                  <c:v>39813</c:v>
                </c:pt>
                <c:pt idx="52">
                  <c:v>39903</c:v>
                </c:pt>
                <c:pt idx="53">
                  <c:v>39994</c:v>
                </c:pt>
                <c:pt idx="54">
                  <c:v>40086</c:v>
                </c:pt>
                <c:pt idx="55">
                  <c:v>40178</c:v>
                </c:pt>
                <c:pt idx="56">
                  <c:v>40268</c:v>
                </c:pt>
                <c:pt idx="57">
                  <c:v>40359</c:v>
                </c:pt>
                <c:pt idx="58">
                  <c:v>40451</c:v>
                </c:pt>
                <c:pt idx="59">
                  <c:v>40543</c:v>
                </c:pt>
                <c:pt idx="60">
                  <c:v>40633</c:v>
                </c:pt>
                <c:pt idx="61">
                  <c:v>40724</c:v>
                </c:pt>
                <c:pt idx="62">
                  <c:v>40816</c:v>
                </c:pt>
                <c:pt idx="63">
                  <c:v>40908</c:v>
                </c:pt>
                <c:pt idx="64">
                  <c:v>40999</c:v>
                </c:pt>
                <c:pt idx="65">
                  <c:v>41090</c:v>
                </c:pt>
                <c:pt idx="66">
                  <c:v>41182</c:v>
                </c:pt>
                <c:pt idx="67">
                  <c:v>41274</c:v>
                </c:pt>
                <c:pt idx="68">
                  <c:v>41364</c:v>
                </c:pt>
                <c:pt idx="69">
                  <c:v>41455</c:v>
                </c:pt>
                <c:pt idx="70">
                  <c:v>41547</c:v>
                </c:pt>
                <c:pt idx="71">
                  <c:v>41639</c:v>
                </c:pt>
                <c:pt idx="72">
                  <c:v>41729</c:v>
                </c:pt>
                <c:pt idx="73">
                  <c:v>41820</c:v>
                </c:pt>
                <c:pt idx="74">
                  <c:v>41912</c:v>
                </c:pt>
                <c:pt idx="75">
                  <c:v>42004</c:v>
                </c:pt>
                <c:pt idx="76">
                  <c:v>42094</c:v>
                </c:pt>
                <c:pt idx="77">
                  <c:v>42185</c:v>
                </c:pt>
                <c:pt idx="78">
                  <c:v>42277</c:v>
                </c:pt>
                <c:pt idx="79">
                  <c:v>42369</c:v>
                </c:pt>
                <c:pt idx="80">
                  <c:v>42460</c:v>
                </c:pt>
                <c:pt idx="81">
                  <c:v>42551</c:v>
                </c:pt>
                <c:pt idx="82">
                  <c:v>42643</c:v>
                </c:pt>
                <c:pt idx="83">
                  <c:v>42735</c:v>
                </c:pt>
                <c:pt idx="84">
                  <c:v>42825</c:v>
                </c:pt>
                <c:pt idx="85">
                  <c:v>42916</c:v>
                </c:pt>
                <c:pt idx="86">
                  <c:v>43008</c:v>
                </c:pt>
                <c:pt idx="87">
                  <c:v>43100</c:v>
                </c:pt>
                <c:pt idx="88">
                  <c:v>43190</c:v>
                </c:pt>
                <c:pt idx="89">
                  <c:v>43281</c:v>
                </c:pt>
                <c:pt idx="90">
                  <c:v>43373</c:v>
                </c:pt>
                <c:pt idx="91">
                  <c:v>43465</c:v>
                </c:pt>
                <c:pt idx="92">
                  <c:v>43555</c:v>
                </c:pt>
                <c:pt idx="93">
                  <c:v>43646</c:v>
                </c:pt>
                <c:pt idx="94">
                  <c:v>43738</c:v>
                </c:pt>
                <c:pt idx="95">
                  <c:v>43830</c:v>
                </c:pt>
                <c:pt idx="96">
                  <c:v>43921</c:v>
                </c:pt>
                <c:pt idx="97">
                  <c:v>44012</c:v>
                </c:pt>
                <c:pt idx="98">
                  <c:v>44104</c:v>
                </c:pt>
                <c:pt idx="99">
                  <c:v>44196</c:v>
                </c:pt>
                <c:pt idx="100">
                  <c:v>44286</c:v>
                </c:pt>
                <c:pt idx="101">
                  <c:v>44377</c:v>
                </c:pt>
                <c:pt idx="102">
                  <c:v>44469</c:v>
                </c:pt>
                <c:pt idx="103">
                  <c:v>44561</c:v>
                </c:pt>
                <c:pt idx="104">
                  <c:v>44651</c:v>
                </c:pt>
                <c:pt idx="105">
                  <c:v>44742</c:v>
                </c:pt>
                <c:pt idx="106">
                  <c:v>44834</c:v>
                </c:pt>
                <c:pt idx="107">
                  <c:v>44926</c:v>
                </c:pt>
                <c:pt idx="108">
                  <c:v>45016</c:v>
                </c:pt>
                <c:pt idx="109">
                  <c:v>45107</c:v>
                </c:pt>
                <c:pt idx="110">
                  <c:v>45199</c:v>
                </c:pt>
                <c:pt idx="111">
                  <c:v>45291</c:v>
                </c:pt>
                <c:pt idx="112">
                  <c:v>45382</c:v>
                </c:pt>
                <c:pt idx="113">
                  <c:v>45473</c:v>
                </c:pt>
                <c:pt idx="114">
                  <c:v>45565</c:v>
                </c:pt>
                <c:pt idx="115">
                  <c:v>45657</c:v>
                </c:pt>
                <c:pt idx="116">
                  <c:v>45747</c:v>
                </c:pt>
                <c:pt idx="117">
                  <c:v>45838</c:v>
                </c:pt>
                <c:pt idx="118">
                  <c:v>45930</c:v>
                </c:pt>
                <c:pt idx="119">
                  <c:v>46022</c:v>
                </c:pt>
                <c:pt idx="120">
                  <c:v>46112</c:v>
                </c:pt>
                <c:pt idx="121">
                  <c:v>46203</c:v>
                </c:pt>
                <c:pt idx="122">
                  <c:v>46295</c:v>
                </c:pt>
                <c:pt idx="123">
                  <c:v>46387</c:v>
                </c:pt>
                <c:pt idx="124">
                  <c:v>46477</c:v>
                </c:pt>
                <c:pt idx="125">
                  <c:v>46568</c:v>
                </c:pt>
                <c:pt idx="126">
                  <c:v>46660</c:v>
                </c:pt>
                <c:pt idx="127">
                  <c:v>46752</c:v>
                </c:pt>
                <c:pt idx="128">
                  <c:v>46843</c:v>
                </c:pt>
                <c:pt idx="129">
                  <c:v>46934</c:v>
                </c:pt>
                <c:pt idx="130">
                  <c:v>47026</c:v>
                </c:pt>
                <c:pt idx="131">
                  <c:v>47118</c:v>
                </c:pt>
                <c:pt idx="132">
                  <c:v>47208</c:v>
                </c:pt>
                <c:pt idx="133">
                  <c:v>47299</c:v>
                </c:pt>
                <c:pt idx="134">
                  <c:v>47391</c:v>
                </c:pt>
                <c:pt idx="135">
                  <c:v>47483</c:v>
                </c:pt>
                <c:pt idx="136">
                  <c:v>47573</c:v>
                </c:pt>
                <c:pt idx="137">
                  <c:v>47664</c:v>
                </c:pt>
                <c:pt idx="138">
                  <c:v>47756</c:v>
                </c:pt>
                <c:pt idx="139">
                  <c:v>47848</c:v>
                </c:pt>
                <c:pt idx="140">
                  <c:v>47938</c:v>
                </c:pt>
                <c:pt idx="141">
                  <c:v>48029</c:v>
                </c:pt>
                <c:pt idx="142">
                  <c:v>48121</c:v>
                </c:pt>
                <c:pt idx="143">
                  <c:v>48213</c:v>
                </c:pt>
                <c:pt idx="144">
                  <c:v>48304</c:v>
                </c:pt>
                <c:pt idx="145">
                  <c:v>48395</c:v>
                </c:pt>
                <c:pt idx="146">
                  <c:v>48487</c:v>
                </c:pt>
                <c:pt idx="147">
                  <c:v>48579</c:v>
                </c:pt>
                <c:pt idx="148">
                  <c:v>48669</c:v>
                </c:pt>
                <c:pt idx="149">
                  <c:v>48760</c:v>
                </c:pt>
                <c:pt idx="150">
                  <c:v>48852</c:v>
                </c:pt>
                <c:pt idx="151">
                  <c:v>48944</c:v>
                </c:pt>
                <c:pt idx="152">
                  <c:v>49034</c:v>
                </c:pt>
                <c:pt idx="153">
                  <c:v>49125</c:v>
                </c:pt>
                <c:pt idx="154">
                  <c:v>49217</c:v>
                </c:pt>
                <c:pt idx="155">
                  <c:v>49309</c:v>
                </c:pt>
                <c:pt idx="156">
                  <c:v>49399</c:v>
                </c:pt>
                <c:pt idx="157">
                  <c:v>49490</c:v>
                </c:pt>
                <c:pt idx="158">
                  <c:v>49582</c:v>
                </c:pt>
                <c:pt idx="159">
                  <c:v>49674</c:v>
                </c:pt>
              </c:numCache>
            </c:numRef>
          </c:cat>
          <c:val>
            <c:numRef>
              <c:f>Saídas!$D$4:$D$163</c:f>
              <c:numCache>
                <c:formatCode>#,##0</c:formatCode>
                <c:ptCount val="160"/>
                <c:pt idx="0">
                  <c:v>103507.88</c:v>
                </c:pt>
                <c:pt idx="1">
                  <c:v>104800.29</c:v>
                </c:pt>
                <c:pt idx="2">
                  <c:v>106330.66</c:v>
                </c:pt>
                <c:pt idx="3">
                  <c:v>104152.97</c:v>
                </c:pt>
                <c:pt idx="4">
                  <c:v>106679.85</c:v>
                </c:pt>
                <c:pt idx="5">
                  <c:v>107138.66</c:v>
                </c:pt>
                <c:pt idx="6">
                  <c:v>107741.2</c:v>
                </c:pt>
                <c:pt idx="7">
                  <c:v>109008.63</c:v>
                </c:pt>
                <c:pt idx="8">
                  <c:v>108135.86</c:v>
                </c:pt>
                <c:pt idx="9">
                  <c:v>109077.64</c:v>
                </c:pt>
                <c:pt idx="10">
                  <c:v>109777.93</c:v>
                </c:pt>
                <c:pt idx="11">
                  <c:v>109751.23</c:v>
                </c:pt>
                <c:pt idx="12">
                  <c:v>111045.26</c:v>
                </c:pt>
                <c:pt idx="13">
                  <c:v>110837.03</c:v>
                </c:pt>
                <c:pt idx="14">
                  <c:v>110860.6</c:v>
                </c:pt>
                <c:pt idx="15">
                  <c:v>112012.78</c:v>
                </c:pt>
                <c:pt idx="16">
                  <c:v>113095.71</c:v>
                </c:pt>
                <c:pt idx="17">
                  <c:v>114443.96</c:v>
                </c:pt>
                <c:pt idx="18">
                  <c:v>115991.09</c:v>
                </c:pt>
                <c:pt idx="19">
                  <c:v>117380.78</c:v>
                </c:pt>
                <c:pt idx="20">
                  <c:v>116869.71</c:v>
                </c:pt>
                <c:pt idx="21">
                  <c:v>117982</c:v>
                </c:pt>
                <c:pt idx="22">
                  <c:v>118137.65</c:v>
                </c:pt>
                <c:pt idx="23">
                  <c:v>118386.89</c:v>
                </c:pt>
                <c:pt idx="24">
                  <c:v>120478.68</c:v>
                </c:pt>
                <c:pt idx="25">
                  <c:v>120741</c:v>
                </c:pt>
                <c:pt idx="26">
                  <c:v>122070.44</c:v>
                </c:pt>
                <c:pt idx="27">
                  <c:v>122807.74</c:v>
                </c:pt>
                <c:pt idx="28">
                  <c:v>122582.75</c:v>
                </c:pt>
                <c:pt idx="29">
                  <c:v>121621.79</c:v>
                </c:pt>
                <c:pt idx="30">
                  <c:v>122781.83</c:v>
                </c:pt>
                <c:pt idx="31">
                  <c:v>124017.62</c:v>
                </c:pt>
                <c:pt idx="32">
                  <c:v>125022.39</c:v>
                </c:pt>
                <c:pt idx="33">
                  <c:v>128201.8</c:v>
                </c:pt>
                <c:pt idx="34">
                  <c:v>129333.2</c:v>
                </c:pt>
                <c:pt idx="35">
                  <c:v>131497.70000000001</c:v>
                </c:pt>
                <c:pt idx="36">
                  <c:v>132045.60999999999</c:v>
                </c:pt>
                <c:pt idx="37">
                  <c:v>133392.82999999999</c:v>
                </c:pt>
                <c:pt idx="38">
                  <c:v>134075.19</c:v>
                </c:pt>
                <c:pt idx="39">
                  <c:v>135157.99</c:v>
                </c:pt>
                <c:pt idx="40">
                  <c:v>137727.43</c:v>
                </c:pt>
                <c:pt idx="41">
                  <c:v>138405.76000000001</c:v>
                </c:pt>
                <c:pt idx="42">
                  <c:v>140296.07999999999</c:v>
                </c:pt>
                <c:pt idx="43">
                  <c:v>141392.49</c:v>
                </c:pt>
                <c:pt idx="44">
                  <c:v>145363.65</c:v>
                </c:pt>
                <c:pt idx="45">
                  <c:v>146624.56</c:v>
                </c:pt>
                <c:pt idx="46">
                  <c:v>147880.13</c:v>
                </c:pt>
                <c:pt idx="47">
                  <c:v>150118.31</c:v>
                </c:pt>
                <c:pt idx="48">
                  <c:v>151391.98000000001</c:v>
                </c:pt>
                <c:pt idx="49">
                  <c:v>155119.25</c:v>
                </c:pt>
                <c:pt idx="50">
                  <c:v>156773.97</c:v>
                </c:pt>
                <c:pt idx="51">
                  <c:v>153392.12</c:v>
                </c:pt>
                <c:pt idx="52">
                  <c:v>154610.03</c:v>
                </c:pt>
                <c:pt idx="53">
                  <c:v>156174.85</c:v>
                </c:pt>
                <c:pt idx="54">
                  <c:v>158989.62</c:v>
                </c:pt>
                <c:pt idx="55">
                  <c:v>161267.78</c:v>
                </c:pt>
                <c:pt idx="56">
                  <c:v>164217.44</c:v>
                </c:pt>
                <c:pt idx="57">
                  <c:v>165577.57999999999</c:v>
                </c:pt>
                <c:pt idx="58">
                  <c:v>168086.09</c:v>
                </c:pt>
                <c:pt idx="59">
                  <c:v>169830.97</c:v>
                </c:pt>
                <c:pt idx="60">
                  <c:v>171900.2</c:v>
                </c:pt>
                <c:pt idx="61">
                  <c:v>172821.23</c:v>
                </c:pt>
                <c:pt idx="62">
                  <c:v>172809.52</c:v>
                </c:pt>
                <c:pt idx="63">
                  <c:v>173724.08</c:v>
                </c:pt>
                <c:pt idx="64">
                  <c:v>173517.53</c:v>
                </c:pt>
                <c:pt idx="65">
                  <c:v>177043.18</c:v>
                </c:pt>
                <c:pt idx="66">
                  <c:v>178860.76</c:v>
                </c:pt>
                <c:pt idx="67">
                  <c:v>179768.2</c:v>
                </c:pt>
                <c:pt idx="68">
                  <c:v>180404.88</c:v>
                </c:pt>
                <c:pt idx="69">
                  <c:v>182548.77</c:v>
                </c:pt>
                <c:pt idx="70">
                  <c:v>183450.93</c:v>
                </c:pt>
                <c:pt idx="71">
                  <c:v>184059.55</c:v>
                </c:pt>
                <c:pt idx="72">
                  <c:v>185473.02</c:v>
                </c:pt>
                <c:pt idx="73">
                  <c:v>183776.69</c:v>
                </c:pt>
                <c:pt idx="74">
                  <c:v>184151.58</c:v>
                </c:pt>
                <c:pt idx="75">
                  <c:v>184398.77</c:v>
                </c:pt>
                <c:pt idx="76">
                  <c:v>183209.32</c:v>
                </c:pt>
                <c:pt idx="77">
                  <c:v>179759.62</c:v>
                </c:pt>
                <c:pt idx="78">
                  <c:v>177814.89</c:v>
                </c:pt>
                <c:pt idx="79">
                  <c:v>177000.63</c:v>
                </c:pt>
                <c:pt idx="80">
                  <c:v>175219.36</c:v>
                </c:pt>
                <c:pt idx="81">
                  <c:v>175982.97</c:v>
                </c:pt>
                <c:pt idx="82">
                  <c:v>174851.06</c:v>
                </c:pt>
                <c:pt idx="83">
                  <c:v>173945.44</c:v>
                </c:pt>
                <c:pt idx="84">
                  <c:v>174797.95</c:v>
                </c:pt>
                <c:pt idx="85">
                  <c:v>176584.88</c:v>
                </c:pt>
                <c:pt idx="86">
                  <c:v>177724.91</c:v>
                </c:pt>
                <c:pt idx="87">
                  <c:v>178119.73</c:v>
                </c:pt>
                <c:pt idx="88">
                  <c:v>179499.06</c:v>
                </c:pt>
                <c:pt idx="89">
                  <c:v>180244.34</c:v>
                </c:pt>
                <c:pt idx="90">
                  <c:v>181366.65</c:v>
                </c:pt>
                <c:pt idx="91">
                  <c:v>180539.62</c:v>
                </c:pt>
                <c:pt idx="92">
                  <c:v>183080.7</c:v>
                </c:pt>
                <c:pt idx="93">
                  <c:v>183057.1</c:v>
                </c:pt>
                <c:pt idx="94">
                  <c:v>183131.42</c:v>
                </c:pt>
                <c:pt idx="95">
                  <c:v>183312.98</c:v>
                </c:pt>
                <c:pt idx="96">
                  <c:v>180381.02</c:v>
                </c:pt>
                <c:pt idx="97">
                  <c:v>164194.57999999999</c:v>
                </c:pt>
                <c:pt idx="98">
                  <c:v>174374.2</c:v>
                </c:pt>
                <c:pt idx="99">
                  <c:v>179664.83</c:v>
                </c:pt>
                <c:pt idx="100">
                  <c:v>181353.5</c:v>
                </c:pt>
                <c:pt idx="101">
                  <c:v>182397.09</c:v>
                </c:pt>
                <c:pt idx="102">
                  <c:v>184461.69</c:v>
                </c:pt>
                <c:pt idx="103">
                  <c:v>183380.55456478131</c:v>
                </c:pt>
                <c:pt idx="104">
                  <c:v>183462.50950299163</c:v>
                </c:pt>
                <c:pt idx="105">
                  <c:v>183603.76100116444</c:v>
                </c:pt>
                <c:pt idx="106">
                  <c:v>184363.85529263702</c:v>
                </c:pt>
                <c:pt idx="107">
                  <c:v>185343.09168530928</c:v>
                </c:pt>
                <c:pt idx="108">
                  <c:v>186427.07349555689</c:v>
                </c:pt>
                <c:pt idx="109">
                  <c:v>187512.63243101508</c:v>
                </c:pt>
                <c:pt idx="110">
                  <c:v>188604.74039398163</c:v>
                </c:pt>
                <c:pt idx="111">
                  <c:v>189703.19809301404</c:v>
                </c:pt>
                <c:pt idx="112">
                  <c:v>191004.92420366441</c:v>
                </c:pt>
                <c:pt idx="113">
                  <c:v>192475.44470696108</c:v>
                </c:pt>
                <c:pt idx="114">
                  <c:v>194022.87576117279</c:v>
                </c:pt>
                <c:pt idx="115">
                  <c:v>195609.21848408235</c:v>
                </c:pt>
                <c:pt idx="116">
                  <c:v>197211.91650835931</c:v>
                </c:pt>
                <c:pt idx="117">
                  <c:v>198797.16340927163</c:v>
                </c:pt>
                <c:pt idx="118">
                  <c:v>200345.16953196508</c:v>
                </c:pt>
                <c:pt idx="119">
                  <c:v>201862.00482970368</c:v>
                </c:pt>
                <c:pt idx="120">
                  <c:v>203354.6928644109</c:v>
                </c:pt>
                <c:pt idx="121">
                  <c:v>204814.07218502142</c:v>
                </c:pt>
                <c:pt idx="122">
                  <c:v>206236.15966113197</c:v>
                </c:pt>
                <c:pt idx="123">
                  <c:v>207631.0944935556</c:v>
                </c:pt>
                <c:pt idx="124">
                  <c:v>209007.52302829214</c:v>
                </c:pt>
                <c:pt idx="125">
                  <c:v>210361.96214706227</c:v>
                </c:pt>
                <c:pt idx="126">
                  <c:v>211693.34558105245</c:v>
                </c:pt>
                <c:pt idx="127">
                  <c:v>213007.45341393366</c:v>
                </c:pt>
                <c:pt idx="128">
                  <c:v>214309.19677103686</c:v>
                </c:pt>
                <c:pt idx="129">
                  <c:v>215597.39032117123</c:v>
                </c:pt>
                <c:pt idx="130">
                  <c:v>216871.96178688196</c:v>
                </c:pt>
                <c:pt idx="131">
                  <c:v>218133.86313595323</c:v>
                </c:pt>
                <c:pt idx="132">
                  <c:v>219384.31550684865</c:v>
                </c:pt>
                <c:pt idx="133">
                  <c:v>220624.30064873165</c:v>
                </c:pt>
                <c:pt idx="134">
                  <c:v>221854.91574215709</c:v>
                </c:pt>
                <c:pt idx="135">
                  <c:v>223073.33159227113</c:v>
                </c:pt>
                <c:pt idx="136">
                  <c:v>224277.99747772157</c:v>
                </c:pt>
                <c:pt idx="137">
                  <c:v>225472.15879731119</c:v>
                </c:pt>
                <c:pt idx="138">
                  <c:v>226658.28861463987</c:v>
                </c:pt>
                <c:pt idx="139">
                  <c:v>227830.85635337944</c:v>
                </c:pt>
                <c:pt idx="140">
                  <c:v>228986.37270645174</c:v>
                </c:pt>
                <c:pt idx="141">
                  <c:v>230130.17212003298</c:v>
                </c:pt>
                <c:pt idx="142">
                  <c:v>231266.0525307371</c:v>
                </c:pt>
                <c:pt idx="143">
                  <c:v>232386.67126353827</c:v>
                </c:pt>
                <c:pt idx="144">
                  <c:v>233487.24850835852</c:v>
                </c:pt>
                <c:pt idx="145">
                  <c:v>234574.81511152993</c:v>
                </c:pt>
                <c:pt idx="146">
                  <c:v>235654.25849783467</c:v>
                </c:pt>
                <c:pt idx="147">
                  <c:v>236717.13563452702</c:v>
                </c:pt>
                <c:pt idx="148">
                  <c:v>237757.87796893727</c:v>
                </c:pt>
                <c:pt idx="149">
                  <c:v>238784.72266966797</c:v>
                </c:pt>
                <c:pt idx="150">
                  <c:v>239803.32913015917</c:v>
                </c:pt>
                <c:pt idx="151">
                  <c:v>240804.71880363871</c:v>
                </c:pt>
                <c:pt idx="152">
                  <c:v>241782.92577806421</c:v>
                </c:pt>
                <c:pt idx="153">
                  <c:v>242746.89876012568</c:v>
                </c:pt>
                <c:pt idx="154">
                  <c:v>243702.74224924669</c:v>
                </c:pt>
                <c:pt idx="155">
                  <c:v>244641.384803049</c:v>
                </c:pt>
                <c:pt idx="156">
                  <c:v>245556.7678101786</c:v>
                </c:pt>
                <c:pt idx="157">
                  <c:v>246458.10632348247</c:v>
                </c:pt>
                <c:pt idx="158">
                  <c:v>247351.65475443398</c:v>
                </c:pt>
                <c:pt idx="159">
                  <c:v>248228.58272119676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1E-41BD-807F-379A6570B4A6}"/>
            </c:ext>
          </c:extLst>
        </c:ser>
        <c:ser>
          <c:idx val="1"/>
          <c:order val="1"/>
          <c:tx>
            <c:strRef>
              <c:f>Saídas!$C$3</c:f>
              <c:strCache>
                <c:ptCount val="1"/>
                <c:pt idx="0">
                  <c:v>Indústria</c:v>
                </c:pt>
              </c:strCache>
            </c:strRef>
          </c:tx>
          <c:spPr>
            <a:solidFill>
              <a:srgbClr val="FF0000">
                <a:alpha val="70000"/>
              </a:srgbClr>
            </a:solidFill>
            <a:ln>
              <a:noFill/>
            </a:ln>
            <a:effectLst/>
          </c:spPr>
          <c:cat>
            <c:numRef>
              <c:f>Saídas!$A$4:$A$163</c:f>
              <c:numCache>
                <c:formatCode>mm/yyyy</c:formatCode>
                <c:ptCount val="160"/>
                <c:pt idx="0">
                  <c:v>35125</c:v>
                </c:pt>
                <c:pt idx="1">
                  <c:v>35246</c:v>
                </c:pt>
                <c:pt idx="2">
                  <c:v>35338</c:v>
                </c:pt>
                <c:pt idx="3">
                  <c:v>35430</c:v>
                </c:pt>
                <c:pt idx="4">
                  <c:v>35520</c:v>
                </c:pt>
                <c:pt idx="5">
                  <c:v>35611</c:v>
                </c:pt>
                <c:pt idx="6">
                  <c:v>35703</c:v>
                </c:pt>
                <c:pt idx="7">
                  <c:v>35795</c:v>
                </c:pt>
                <c:pt idx="8">
                  <c:v>35885</c:v>
                </c:pt>
                <c:pt idx="9">
                  <c:v>35976</c:v>
                </c:pt>
                <c:pt idx="10">
                  <c:v>36068</c:v>
                </c:pt>
                <c:pt idx="11">
                  <c:v>36160</c:v>
                </c:pt>
                <c:pt idx="12">
                  <c:v>36250</c:v>
                </c:pt>
                <c:pt idx="13">
                  <c:v>36341</c:v>
                </c:pt>
                <c:pt idx="14">
                  <c:v>36433</c:v>
                </c:pt>
                <c:pt idx="15">
                  <c:v>36525</c:v>
                </c:pt>
                <c:pt idx="16">
                  <c:v>36616</c:v>
                </c:pt>
                <c:pt idx="17">
                  <c:v>36707</c:v>
                </c:pt>
                <c:pt idx="18">
                  <c:v>36799</c:v>
                </c:pt>
                <c:pt idx="19">
                  <c:v>36891</c:v>
                </c:pt>
                <c:pt idx="20">
                  <c:v>36981</c:v>
                </c:pt>
                <c:pt idx="21">
                  <c:v>37072</c:v>
                </c:pt>
                <c:pt idx="22">
                  <c:v>37164</c:v>
                </c:pt>
                <c:pt idx="23">
                  <c:v>37256</c:v>
                </c:pt>
                <c:pt idx="24">
                  <c:v>37346</c:v>
                </c:pt>
                <c:pt idx="25">
                  <c:v>37437</c:v>
                </c:pt>
                <c:pt idx="26">
                  <c:v>37529</c:v>
                </c:pt>
                <c:pt idx="27">
                  <c:v>37621</c:v>
                </c:pt>
                <c:pt idx="28">
                  <c:v>37711</c:v>
                </c:pt>
                <c:pt idx="29">
                  <c:v>37802</c:v>
                </c:pt>
                <c:pt idx="30">
                  <c:v>37894</c:v>
                </c:pt>
                <c:pt idx="31">
                  <c:v>37986</c:v>
                </c:pt>
                <c:pt idx="32">
                  <c:v>38077</c:v>
                </c:pt>
                <c:pt idx="33">
                  <c:v>38168</c:v>
                </c:pt>
                <c:pt idx="34">
                  <c:v>38260</c:v>
                </c:pt>
                <c:pt idx="35">
                  <c:v>38352</c:v>
                </c:pt>
                <c:pt idx="36">
                  <c:v>38442</c:v>
                </c:pt>
                <c:pt idx="37">
                  <c:v>38533</c:v>
                </c:pt>
                <c:pt idx="38">
                  <c:v>38625</c:v>
                </c:pt>
                <c:pt idx="39">
                  <c:v>38717</c:v>
                </c:pt>
                <c:pt idx="40">
                  <c:v>38807</c:v>
                </c:pt>
                <c:pt idx="41">
                  <c:v>38898</c:v>
                </c:pt>
                <c:pt idx="42">
                  <c:v>38990</c:v>
                </c:pt>
                <c:pt idx="43">
                  <c:v>39082</c:v>
                </c:pt>
                <c:pt idx="44">
                  <c:v>39172</c:v>
                </c:pt>
                <c:pt idx="45">
                  <c:v>39263</c:v>
                </c:pt>
                <c:pt idx="46">
                  <c:v>39355</c:v>
                </c:pt>
                <c:pt idx="47">
                  <c:v>39447</c:v>
                </c:pt>
                <c:pt idx="48">
                  <c:v>39538</c:v>
                </c:pt>
                <c:pt idx="49">
                  <c:v>39629</c:v>
                </c:pt>
                <c:pt idx="50">
                  <c:v>39721</c:v>
                </c:pt>
                <c:pt idx="51">
                  <c:v>39813</c:v>
                </c:pt>
                <c:pt idx="52">
                  <c:v>39903</c:v>
                </c:pt>
                <c:pt idx="53">
                  <c:v>39994</c:v>
                </c:pt>
                <c:pt idx="54">
                  <c:v>40086</c:v>
                </c:pt>
                <c:pt idx="55">
                  <c:v>40178</c:v>
                </c:pt>
                <c:pt idx="56">
                  <c:v>40268</c:v>
                </c:pt>
                <c:pt idx="57">
                  <c:v>40359</c:v>
                </c:pt>
                <c:pt idx="58">
                  <c:v>40451</c:v>
                </c:pt>
                <c:pt idx="59">
                  <c:v>40543</c:v>
                </c:pt>
                <c:pt idx="60">
                  <c:v>40633</c:v>
                </c:pt>
                <c:pt idx="61">
                  <c:v>40724</c:v>
                </c:pt>
                <c:pt idx="62">
                  <c:v>40816</c:v>
                </c:pt>
                <c:pt idx="63">
                  <c:v>40908</c:v>
                </c:pt>
                <c:pt idx="64">
                  <c:v>40999</c:v>
                </c:pt>
                <c:pt idx="65">
                  <c:v>41090</c:v>
                </c:pt>
                <c:pt idx="66">
                  <c:v>41182</c:v>
                </c:pt>
                <c:pt idx="67">
                  <c:v>41274</c:v>
                </c:pt>
                <c:pt idx="68">
                  <c:v>41364</c:v>
                </c:pt>
                <c:pt idx="69">
                  <c:v>41455</c:v>
                </c:pt>
                <c:pt idx="70">
                  <c:v>41547</c:v>
                </c:pt>
                <c:pt idx="71">
                  <c:v>41639</c:v>
                </c:pt>
                <c:pt idx="72">
                  <c:v>41729</c:v>
                </c:pt>
                <c:pt idx="73">
                  <c:v>41820</c:v>
                </c:pt>
                <c:pt idx="74">
                  <c:v>41912</c:v>
                </c:pt>
                <c:pt idx="75">
                  <c:v>42004</c:v>
                </c:pt>
                <c:pt idx="76">
                  <c:v>42094</c:v>
                </c:pt>
                <c:pt idx="77">
                  <c:v>42185</c:v>
                </c:pt>
                <c:pt idx="78">
                  <c:v>42277</c:v>
                </c:pt>
                <c:pt idx="79">
                  <c:v>42369</c:v>
                </c:pt>
                <c:pt idx="80">
                  <c:v>42460</c:v>
                </c:pt>
                <c:pt idx="81">
                  <c:v>42551</c:v>
                </c:pt>
                <c:pt idx="82">
                  <c:v>42643</c:v>
                </c:pt>
                <c:pt idx="83">
                  <c:v>42735</c:v>
                </c:pt>
                <c:pt idx="84">
                  <c:v>42825</c:v>
                </c:pt>
                <c:pt idx="85">
                  <c:v>42916</c:v>
                </c:pt>
                <c:pt idx="86">
                  <c:v>43008</c:v>
                </c:pt>
                <c:pt idx="87">
                  <c:v>43100</c:v>
                </c:pt>
                <c:pt idx="88">
                  <c:v>43190</c:v>
                </c:pt>
                <c:pt idx="89">
                  <c:v>43281</c:v>
                </c:pt>
                <c:pt idx="90">
                  <c:v>43373</c:v>
                </c:pt>
                <c:pt idx="91">
                  <c:v>43465</c:v>
                </c:pt>
                <c:pt idx="92">
                  <c:v>43555</c:v>
                </c:pt>
                <c:pt idx="93">
                  <c:v>43646</c:v>
                </c:pt>
                <c:pt idx="94">
                  <c:v>43738</c:v>
                </c:pt>
                <c:pt idx="95">
                  <c:v>43830</c:v>
                </c:pt>
                <c:pt idx="96">
                  <c:v>43921</c:v>
                </c:pt>
                <c:pt idx="97">
                  <c:v>44012</c:v>
                </c:pt>
                <c:pt idx="98">
                  <c:v>44104</c:v>
                </c:pt>
                <c:pt idx="99">
                  <c:v>44196</c:v>
                </c:pt>
                <c:pt idx="100">
                  <c:v>44286</c:v>
                </c:pt>
                <c:pt idx="101">
                  <c:v>44377</c:v>
                </c:pt>
                <c:pt idx="102">
                  <c:v>44469</c:v>
                </c:pt>
                <c:pt idx="103">
                  <c:v>44561</c:v>
                </c:pt>
                <c:pt idx="104">
                  <c:v>44651</c:v>
                </c:pt>
                <c:pt idx="105">
                  <c:v>44742</c:v>
                </c:pt>
                <c:pt idx="106">
                  <c:v>44834</c:v>
                </c:pt>
                <c:pt idx="107">
                  <c:v>44926</c:v>
                </c:pt>
                <c:pt idx="108">
                  <c:v>45016</c:v>
                </c:pt>
                <c:pt idx="109">
                  <c:v>45107</c:v>
                </c:pt>
                <c:pt idx="110">
                  <c:v>45199</c:v>
                </c:pt>
                <c:pt idx="111">
                  <c:v>45291</c:v>
                </c:pt>
                <c:pt idx="112">
                  <c:v>45382</c:v>
                </c:pt>
                <c:pt idx="113">
                  <c:v>45473</c:v>
                </c:pt>
                <c:pt idx="114">
                  <c:v>45565</c:v>
                </c:pt>
                <c:pt idx="115">
                  <c:v>45657</c:v>
                </c:pt>
                <c:pt idx="116">
                  <c:v>45747</c:v>
                </c:pt>
                <c:pt idx="117">
                  <c:v>45838</c:v>
                </c:pt>
                <c:pt idx="118">
                  <c:v>45930</c:v>
                </c:pt>
                <c:pt idx="119">
                  <c:v>46022</c:v>
                </c:pt>
                <c:pt idx="120">
                  <c:v>46112</c:v>
                </c:pt>
                <c:pt idx="121">
                  <c:v>46203</c:v>
                </c:pt>
                <c:pt idx="122">
                  <c:v>46295</c:v>
                </c:pt>
                <c:pt idx="123">
                  <c:v>46387</c:v>
                </c:pt>
                <c:pt idx="124">
                  <c:v>46477</c:v>
                </c:pt>
                <c:pt idx="125">
                  <c:v>46568</c:v>
                </c:pt>
                <c:pt idx="126">
                  <c:v>46660</c:v>
                </c:pt>
                <c:pt idx="127">
                  <c:v>46752</c:v>
                </c:pt>
                <c:pt idx="128">
                  <c:v>46843</c:v>
                </c:pt>
                <c:pt idx="129">
                  <c:v>46934</c:v>
                </c:pt>
                <c:pt idx="130">
                  <c:v>47026</c:v>
                </c:pt>
                <c:pt idx="131">
                  <c:v>47118</c:v>
                </c:pt>
                <c:pt idx="132">
                  <c:v>47208</c:v>
                </c:pt>
                <c:pt idx="133">
                  <c:v>47299</c:v>
                </c:pt>
                <c:pt idx="134">
                  <c:v>47391</c:v>
                </c:pt>
                <c:pt idx="135">
                  <c:v>47483</c:v>
                </c:pt>
                <c:pt idx="136">
                  <c:v>47573</c:v>
                </c:pt>
                <c:pt idx="137">
                  <c:v>47664</c:v>
                </c:pt>
                <c:pt idx="138">
                  <c:v>47756</c:v>
                </c:pt>
                <c:pt idx="139">
                  <c:v>47848</c:v>
                </c:pt>
                <c:pt idx="140">
                  <c:v>47938</c:v>
                </c:pt>
                <c:pt idx="141">
                  <c:v>48029</c:v>
                </c:pt>
                <c:pt idx="142">
                  <c:v>48121</c:v>
                </c:pt>
                <c:pt idx="143">
                  <c:v>48213</c:v>
                </c:pt>
                <c:pt idx="144">
                  <c:v>48304</c:v>
                </c:pt>
                <c:pt idx="145">
                  <c:v>48395</c:v>
                </c:pt>
                <c:pt idx="146">
                  <c:v>48487</c:v>
                </c:pt>
                <c:pt idx="147">
                  <c:v>48579</c:v>
                </c:pt>
                <c:pt idx="148">
                  <c:v>48669</c:v>
                </c:pt>
                <c:pt idx="149">
                  <c:v>48760</c:v>
                </c:pt>
                <c:pt idx="150">
                  <c:v>48852</c:v>
                </c:pt>
                <c:pt idx="151">
                  <c:v>48944</c:v>
                </c:pt>
                <c:pt idx="152">
                  <c:v>49034</c:v>
                </c:pt>
                <c:pt idx="153">
                  <c:v>49125</c:v>
                </c:pt>
                <c:pt idx="154">
                  <c:v>49217</c:v>
                </c:pt>
                <c:pt idx="155">
                  <c:v>49309</c:v>
                </c:pt>
                <c:pt idx="156">
                  <c:v>49399</c:v>
                </c:pt>
                <c:pt idx="157">
                  <c:v>49490</c:v>
                </c:pt>
                <c:pt idx="158">
                  <c:v>49582</c:v>
                </c:pt>
                <c:pt idx="159">
                  <c:v>49674</c:v>
                </c:pt>
              </c:numCache>
            </c:numRef>
          </c:cat>
          <c:val>
            <c:numRef>
              <c:f>Saídas!$C$4:$C$163</c:f>
              <c:numCache>
                <c:formatCode>#,##0</c:formatCode>
                <c:ptCount val="160"/>
                <c:pt idx="0">
                  <c:v>41667.01</c:v>
                </c:pt>
                <c:pt idx="1">
                  <c:v>40181.870000000003</c:v>
                </c:pt>
                <c:pt idx="2">
                  <c:v>43756.3</c:v>
                </c:pt>
                <c:pt idx="3">
                  <c:v>41096.019999999997</c:v>
                </c:pt>
                <c:pt idx="4">
                  <c:v>43229.93</c:v>
                </c:pt>
                <c:pt idx="5">
                  <c:v>43076.68</c:v>
                </c:pt>
                <c:pt idx="6">
                  <c:v>43921.86</c:v>
                </c:pt>
                <c:pt idx="7">
                  <c:v>43768.07</c:v>
                </c:pt>
                <c:pt idx="8">
                  <c:v>42753.82</c:v>
                </c:pt>
                <c:pt idx="9">
                  <c:v>43382.19</c:v>
                </c:pt>
                <c:pt idx="10">
                  <c:v>42780.11</c:v>
                </c:pt>
                <c:pt idx="11">
                  <c:v>41447.15</c:v>
                </c:pt>
                <c:pt idx="12">
                  <c:v>41278.68</c:v>
                </c:pt>
                <c:pt idx="13">
                  <c:v>41179.9</c:v>
                </c:pt>
                <c:pt idx="14">
                  <c:v>41320.769999999997</c:v>
                </c:pt>
                <c:pt idx="15">
                  <c:v>42120.160000000003</c:v>
                </c:pt>
                <c:pt idx="16">
                  <c:v>42672.12</c:v>
                </c:pt>
                <c:pt idx="17">
                  <c:v>43167.37</c:v>
                </c:pt>
                <c:pt idx="18">
                  <c:v>43314.73</c:v>
                </c:pt>
                <c:pt idx="19">
                  <c:v>44011.64</c:v>
                </c:pt>
                <c:pt idx="20">
                  <c:v>44294.83</c:v>
                </c:pt>
                <c:pt idx="21">
                  <c:v>43488.34</c:v>
                </c:pt>
                <c:pt idx="22">
                  <c:v>42107.47</c:v>
                </c:pt>
                <c:pt idx="23">
                  <c:v>42107.13</c:v>
                </c:pt>
                <c:pt idx="24">
                  <c:v>43845.87</c:v>
                </c:pt>
                <c:pt idx="25">
                  <c:v>44183.88</c:v>
                </c:pt>
                <c:pt idx="26">
                  <c:v>44573.82</c:v>
                </c:pt>
                <c:pt idx="27">
                  <c:v>45921.06</c:v>
                </c:pt>
                <c:pt idx="28">
                  <c:v>43535.8</c:v>
                </c:pt>
                <c:pt idx="29">
                  <c:v>43866.95</c:v>
                </c:pt>
                <c:pt idx="30">
                  <c:v>45380.33</c:v>
                </c:pt>
                <c:pt idx="31">
                  <c:v>45917.599999999999</c:v>
                </c:pt>
                <c:pt idx="32">
                  <c:v>46669.93</c:v>
                </c:pt>
                <c:pt idx="33">
                  <c:v>47796.61</c:v>
                </c:pt>
                <c:pt idx="34">
                  <c:v>49532.03</c:v>
                </c:pt>
                <c:pt idx="35">
                  <c:v>49454.96</c:v>
                </c:pt>
                <c:pt idx="36">
                  <c:v>48995.89</c:v>
                </c:pt>
                <c:pt idx="37">
                  <c:v>49895.22</c:v>
                </c:pt>
                <c:pt idx="38">
                  <c:v>48922.29</c:v>
                </c:pt>
                <c:pt idx="39">
                  <c:v>49553.15</c:v>
                </c:pt>
                <c:pt idx="40">
                  <c:v>50043.199999999997</c:v>
                </c:pt>
                <c:pt idx="41">
                  <c:v>49429.27</c:v>
                </c:pt>
                <c:pt idx="42">
                  <c:v>50239.37</c:v>
                </c:pt>
                <c:pt idx="43">
                  <c:v>51676.45</c:v>
                </c:pt>
                <c:pt idx="44">
                  <c:v>51934</c:v>
                </c:pt>
                <c:pt idx="45">
                  <c:v>53708.99</c:v>
                </c:pt>
                <c:pt idx="46">
                  <c:v>53882.93</c:v>
                </c:pt>
                <c:pt idx="47">
                  <c:v>54347.62</c:v>
                </c:pt>
                <c:pt idx="48">
                  <c:v>55766.17</c:v>
                </c:pt>
                <c:pt idx="49">
                  <c:v>56092.17</c:v>
                </c:pt>
                <c:pt idx="50">
                  <c:v>57665.57</c:v>
                </c:pt>
                <c:pt idx="51">
                  <c:v>53139.34</c:v>
                </c:pt>
                <c:pt idx="52">
                  <c:v>49608.28</c:v>
                </c:pt>
                <c:pt idx="53">
                  <c:v>52106.14</c:v>
                </c:pt>
                <c:pt idx="54">
                  <c:v>54118.400000000001</c:v>
                </c:pt>
                <c:pt idx="55">
                  <c:v>56358.52</c:v>
                </c:pt>
                <c:pt idx="56">
                  <c:v>56986.48</c:v>
                </c:pt>
                <c:pt idx="57">
                  <c:v>58510.38</c:v>
                </c:pt>
                <c:pt idx="58">
                  <c:v>58729.03</c:v>
                </c:pt>
                <c:pt idx="59">
                  <c:v>59636.49</c:v>
                </c:pt>
                <c:pt idx="60">
                  <c:v>59694.76</c:v>
                </c:pt>
                <c:pt idx="61">
                  <c:v>61811.47</c:v>
                </c:pt>
                <c:pt idx="62">
                  <c:v>61070.98</c:v>
                </c:pt>
                <c:pt idx="63">
                  <c:v>60902.07</c:v>
                </c:pt>
                <c:pt idx="64">
                  <c:v>60994.31</c:v>
                </c:pt>
                <c:pt idx="65">
                  <c:v>59836.82</c:v>
                </c:pt>
                <c:pt idx="66">
                  <c:v>60729.35</c:v>
                </c:pt>
                <c:pt idx="67">
                  <c:v>60196.639999999999</c:v>
                </c:pt>
                <c:pt idx="68">
                  <c:v>60339.26</c:v>
                </c:pt>
                <c:pt idx="69">
                  <c:v>62210.35</c:v>
                </c:pt>
                <c:pt idx="70">
                  <c:v>62475.21</c:v>
                </c:pt>
                <c:pt idx="71">
                  <c:v>61960.97</c:v>
                </c:pt>
                <c:pt idx="72">
                  <c:v>61923.62</c:v>
                </c:pt>
                <c:pt idx="73">
                  <c:v>60552.15</c:v>
                </c:pt>
                <c:pt idx="74">
                  <c:v>60154.36</c:v>
                </c:pt>
                <c:pt idx="75">
                  <c:v>60616.12</c:v>
                </c:pt>
                <c:pt idx="76">
                  <c:v>59498.89</c:v>
                </c:pt>
                <c:pt idx="77">
                  <c:v>57564.49</c:v>
                </c:pt>
                <c:pt idx="78">
                  <c:v>56559.15</c:v>
                </c:pt>
                <c:pt idx="79">
                  <c:v>55562.68</c:v>
                </c:pt>
                <c:pt idx="80">
                  <c:v>55405.279999999999</c:v>
                </c:pt>
                <c:pt idx="81">
                  <c:v>55135.519999999997</c:v>
                </c:pt>
                <c:pt idx="82">
                  <c:v>54555</c:v>
                </c:pt>
                <c:pt idx="83">
                  <c:v>53596.25</c:v>
                </c:pt>
                <c:pt idx="84">
                  <c:v>53916.7</c:v>
                </c:pt>
                <c:pt idx="85">
                  <c:v>54347.69</c:v>
                </c:pt>
                <c:pt idx="86">
                  <c:v>54350.12</c:v>
                </c:pt>
                <c:pt idx="87">
                  <c:v>54946.87</c:v>
                </c:pt>
                <c:pt idx="88">
                  <c:v>55093.09</c:v>
                </c:pt>
                <c:pt idx="89">
                  <c:v>54498.51</c:v>
                </c:pt>
                <c:pt idx="90">
                  <c:v>54950.1</c:v>
                </c:pt>
                <c:pt idx="91">
                  <c:v>54570</c:v>
                </c:pt>
                <c:pt idx="92">
                  <c:v>53901.41</c:v>
                </c:pt>
                <c:pt idx="93">
                  <c:v>54731.38</c:v>
                </c:pt>
                <c:pt idx="94">
                  <c:v>54566.69</c:v>
                </c:pt>
                <c:pt idx="95">
                  <c:v>54442.49</c:v>
                </c:pt>
                <c:pt idx="96">
                  <c:v>53415.59</c:v>
                </c:pt>
                <c:pt idx="97">
                  <c:v>47610.97</c:v>
                </c:pt>
                <c:pt idx="98">
                  <c:v>54329</c:v>
                </c:pt>
                <c:pt idx="99">
                  <c:v>54893.25</c:v>
                </c:pt>
                <c:pt idx="100">
                  <c:v>55381.71</c:v>
                </c:pt>
                <c:pt idx="101">
                  <c:v>55077.67</c:v>
                </c:pt>
                <c:pt idx="102">
                  <c:v>55063.29</c:v>
                </c:pt>
                <c:pt idx="103">
                  <c:v>54277.748303834145</c:v>
                </c:pt>
                <c:pt idx="104">
                  <c:v>54314.916915699119</c:v>
                </c:pt>
                <c:pt idx="105">
                  <c:v>54098.639669989701</c:v>
                </c:pt>
                <c:pt idx="106">
                  <c:v>54159.690357932297</c:v>
                </c:pt>
                <c:pt idx="107">
                  <c:v>54249.549334092946</c:v>
                </c:pt>
                <c:pt idx="108">
                  <c:v>54357.352105111975</c:v>
                </c:pt>
                <c:pt idx="109">
                  <c:v>54462.979988125444</c:v>
                </c:pt>
                <c:pt idx="110">
                  <c:v>54574.078810849962</c:v>
                </c:pt>
                <c:pt idx="111">
                  <c:v>54683.776223827168</c:v>
                </c:pt>
                <c:pt idx="112">
                  <c:v>55059.011328216999</c:v>
                </c:pt>
                <c:pt idx="113">
                  <c:v>55482.903044029808</c:v>
                </c:pt>
                <c:pt idx="114">
                  <c:v>55928.964967818902</c:v>
                </c:pt>
                <c:pt idx="115">
                  <c:v>56386.243555348832</c:v>
                </c:pt>
                <c:pt idx="116">
                  <c:v>56848.23671621774</c:v>
                </c:pt>
                <c:pt idx="117">
                  <c:v>57305.199422489568</c:v>
                </c:pt>
                <c:pt idx="118">
                  <c:v>57751.427115314102</c:v>
                </c:pt>
                <c:pt idx="119">
                  <c:v>58188.669517254377</c:v>
                </c:pt>
                <c:pt idx="120">
                  <c:v>58618.951237765446</c:v>
                </c:pt>
                <c:pt idx="121">
                  <c:v>59039.63140023069</c:v>
                </c:pt>
                <c:pt idx="122">
                  <c:v>59449.561828900674</c:v>
                </c:pt>
                <c:pt idx="123">
                  <c:v>59851.665246185585</c:v>
                </c:pt>
                <c:pt idx="124">
                  <c:v>60248.434044699556</c:v>
                </c:pt>
                <c:pt idx="125">
                  <c:v>60638.864182009667</c:v>
                </c:pt>
                <c:pt idx="126">
                  <c:v>61022.648295848026</c:v>
                </c:pt>
                <c:pt idx="127">
                  <c:v>61401.452551072129</c:v>
                </c:pt>
                <c:pt idx="128">
                  <c:v>61776.69262691831</c:v>
                </c:pt>
                <c:pt idx="129">
                  <c:v>62148.026840240251</c:v>
                </c:pt>
                <c:pt idx="130">
                  <c:v>62515.434356364596</c:v>
                </c:pt>
                <c:pt idx="131">
                  <c:v>62879.18958918532</c:v>
                </c:pt>
                <c:pt idx="132">
                  <c:v>63239.644543640396</c:v>
                </c:pt>
                <c:pt idx="133">
                  <c:v>63597.082218393523</c:v>
                </c:pt>
                <c:pt idx="134">
                  <c:v>63951.818886320158</c:v>
                </c:pt>
                <c:pt idx="135">
                  <c:v>64303.039004720755</c:v>
                </c:pt>
                <c:pt idx="136">
                  <c:v>64650.29556321141</c:v>
                </c:pt>
                <c:pt idx="137">
                  <c:v>64994.524079293515</c:v>
                </c:pt>
                <c:pt idx="138">
                  <c:v>65336.437437398359</c:v>
                </c:pt>
                <c:pt idx="139">
                  <c:v>65674.441395566086</c:v>
                </c:pt>
                <c:pt idx="140">
                  <c:v>66007.530127382794</c:v>
                </c:pt>
                <c:pt idx="141">
                  <c:v>66337.241338400723</c:v>
                </c:pt>
                <c:pt idx="142">
                  <c:v>66664.669820473646</c:v>
                </c:pt>
                <c:pt idx="143">
                  <c:v>66987.698976717395</c:v>
                </c:pt>
                <c:pt idx="144">
                  <c:v>67304.950980783658</c:v>
                </c:pt>
                <c:pt idx="145">
                  <c:v>67618.45254192852</c:v>
                </c:pt>
                <c:pt idx="146">
                  <c:v>67929.612507476588</c:v>
                </c:pt>
                <c:pt idx="147">
                  <c:v>68235.997091819794</c:v>
                </c:pt>
                <c:pt idx="148">
                  <c:v>68536.00110595164</c:v>
                </c:pt>
                <c:pt idx="149">
                  <c:v>68831.998993155663</c:v>
                </c:pt>
                <c:pt idx="150">
                  <c:v>69125.622128166462</c:v>
                </c:pt>
                <c:pt idx="151">
                  <c:v>69414.282358293727</c:v>
                </c:pt>
                <c:pt idx="152">
                  <c:v>69696.259951859887</c:v>
                </c:pt>
                <c:pt idx="153">
                  <c:v>69974.134459863795</c:v>
                </c:pt>
                <c:pt idx="154">
                  <c:v>70249.665563132105</c:v>
                </c:pt>
                <c:pt idx="155">
                  <c:v>70520.238330920241</c:v>
                </c:pt>
                <c:pt idx="156">
                  <c:v>70784.106310080111</c:v>
                </c:pt>
                <c:pt idx="157">
                  <c:v>71043.925828458814</c:v>
                </c:pt>
                <c:pt idx="158">
                  <c:v>71301.499780476981</c:v>
                </c:pt>
                <c:pt idx="159">
                  <c:v>71554.282723415861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1E-41BD-807F-379A6570B4A6}"/>
            </c:ext>
          </c:extLst>
        </c:ser>
        <c:ser>
          <c:idx val="0"/>
          <c:order val="2"/>
          <c:tx>
            <c:strRef>
              <c:f>Saídas!$B$3</c:f>
              <c:strCache>
                <c:ptCount val="1"/>
                <c:pt idx="0">
                  <c:v>Agropecuária</c:v>
                </c:pt>
              </c:strCache>
            </c:strRef>
          </c:tx>
          <c:spPr>
            <a:solidFill>
              <a:srgbClr val="0070C0">
                <a:alpha val="70000"/>
              </a:srgbClr>
            </a:solidFill>
            <a:ln>
              <a:noFill/>
            </a:ln>
            <a:effectLst/>
          </c:spPr>
          <c:cat>
            <c:numRef>
              <c:f>Saídas!$A$4:$A$163</c:f>
              <c:numCache>
                <c:formatCode>mm/yyyy</c:formatCode>
                <c:ptCount val="160"/>
                <c:pt idx="0">
                  <c:v>35125</c:v>
                </c:pt>
                <c:pt idx="1">
                  <c:v>35246</c:v>
                </c:pt>
                <c:pt idx="2">
                  <c:v>35338</c:v>
                </c:pt>
                <c:pt idx="3">
                  <c:v>35430</c:v>
                </c:pt>
                <c:pt idx="4">
                  <c:v>35520</c:v>
                </c:pt>
                <c:pt idx="5">
                  <c:v>35611</c:v>
                </c:pt>
                <c:pt idx="6">
                  <c:v>35703</c:v>
                </c:pt>
                <c:pt idx="7">
                  <c:v>35795</c:v>
                </c:pt>
                <c:pt idx="8">
                  <c:v>35885</c:v>
                </c:pt>
                <c:pt idx="9">
                  <c:v>35976</c:v>
                </c:pt>
                <c:pt idx="10">
                  <c:v>36068</c:v>
                </c:pt>
                <c:pt idx="11">
                  <c:v>36160</c:v>
                </c:pt>
                <c:pt idx="12">
                  <c:v>36250</c:v>
                </c:pt>
                <c:pt idx="13">
                  <c:v>36341</c:v>
                </c:pt>
                <c:pt idx="14">
                  <c:v>36433</c:v>
                </c:pt>
                <c:pt idx="15">
                  <c:v>36525</c:v>
                </c:pt>
                <c:pt idx="16">
                  <c:v>36616</c:v>
                </c:pt>
                <c:pt idx="17">
                  <c:v>36707</c:v>
                </c:pt>
                <c:pt idx="18">
                  <c:v>36799</c:v>
                </c:pt>
                <c:pt idx="19">
                  <c:v>36891</c:v>
                </c:pt>
                <c:pt idx="20">
                  <c:v>36981</c:v>
                </c:pt>
                <c:pt idx="21">
                  <c:v>37072</c:v>
                </c:pt>
                <c:pt idx="22">
                  <c:v>37164</c:v>
                </c:pt>
                <c:pt idx="23">
                  <c:v>37256</c:v>
                </c:pt>
                <c:pt idx="24">
                  <c:v>37346</c:v>
                </c:pt>
                <c:pt idx="25">
                  <c:v>37437</c:v>
                </c:pt>
                <c:pt idx="26">
                  <c:v>37529</c:v>
                </c:pt>
                <c:pt idx="27">
                  <c:v>37621</c:v>
                </c:pt>
                <c:pt idx="28">
                  <c:v>37711</c:v>
                </c:pt>
                <c:pt idx="29">
                  <c:v>37802</c:v>
                </c:pt>
                <c:pt idx="30">
                  <c:v>37894</c:v>
                </c:pt>
                <c:pt idx="31">
                  <c:v>37986</c:v>
                </c:pt>
                <c:pt idx="32">
                  <c:v>38077</c:v>
                </c:pt>
                <c:pt idx="33">
                  <c:v>38168</c:v>
                </c:pt>
                <c:pt idx="34">
                  <c:v>38260</c:v>
                </c:pt>
                <c:pt idx="35">
                  <c:v>38352</c:v>
                </c:pt>
                <c:pt idx="36">
                  <c:v>38442</c:v>
                </c:pt>
                <c:pt idx="37">
                  <c:v>38533</c:v>
                </c:pt>
                <c:pt idx="38">
                  <c:v>38625</c:v>
                </c:pt>
                <c:pt idx="39">
                  <c:v>38717</c:v>
                </c:pt>
                <c:pt idx="40">
                  <c:v>38807</c:v>
                </c:pt>
                <c:pt idx="41">
                  <c:v>38898</c:v>
                </c:pt>
                <c:pt idx="42">
                  <c:v>38990</c:v>
                </c:pt>
                <c:pt idx="43">
                  <c:v>39082</c:v>
                </c:pt>
                <c:pt idx="44">
                  <c:v>39172</c:v>
                </c:pt>
                <c:pt idx="45">
                  <c:v>39263</c:v>
                </c:pt>
                <c:pt idx="46">
                  <c:v>39355</c:v>
                </c:pt>
                <c:pt idx="47">
                  <c:v>39447</c:v>
                </c:pt>
                <c:pt idx="48">
                  <c:v>39538</c:v>
                </c:pt>
                <c:pt idx="49">
                  <c:v>39629</c:v>
                </c:pt>
                <c:pt idx="50">
                  <c:v>39721</c:v>
                </c:pt>
                <c:pt idx="51">
                  <c:v>39813</c:v>
                </c:pt>
                <c:pt idx="52">
                  <c:v>39903</c:v>
                </c:pt>
                <c:pt idx="53">
                  <c:v>39994</c:v>
                </c:pt>
                <c:pt idx="54">
                  <c:v>40086</c:v>
                </c:pt>
                <c:pt idx="55">
                  <c:v>40178</c:v>
                </c:pt>
                <c:pt idx="56">
                  <c:v>40268</c:v>
                </c:pt>
                <c:pt idx="57">
                  <c:v>40359</c:v>
                </c:pt>
                <c:pt idx="58">
                  <c:v>40451</c:v>
                </c:pt>
                <c:pt idx="59">
                  <c:v>40543</c:v>
                </c:pt>
                <c:pt idx="60">
                  <c:v>40633</c:v>
                </c:pt>
                <c:pt idx="61">
                  <c:v>40724</c:v>
                </c:pt>
                <c:pt idx="62">
                  <c:v>40816</c:v>
                </c:pt>
                <c:pt idx="63">
                  <c:v>40908</c:v>
                </c:pt>
                <c:pt idx="64">
                  <c:v>40999</c:v>
                </c:pt>
                <c:pt idx="65">
                  <c:v>41090</c:v>
                </c:pt>
                <c:pt idx="66">
                  <c:v>41182</c:v>
                </c:pt>
                <c:pt idx="67">
                  <c:v>41274</c:v>
                </c:pt>
                <c:pt idx="68">
                  <c:v>41364</c:v>
                </c:pt>
                <c:pt idx="69">
                  <c:v>41455</c:v>
                </c:pt>
                <c:pt idx="70">
                  <c:v>41547</c:v>
                </c:pt>
                <c:pt idx="71">
                  <c:v>41639</c:v>
                </c:pt>
                <c:pt idx="72">
                  <c:v>41729</c:v>
                </c:pt>
                <c:pt idx="73">
                  <c:v>41820</c:v>
                </c:pt>
                <c:pt idx="74">
                  <c:v>41912</c:v>
                </c:pt>
                <c:pt idx="75">
                  <c:v>42004</c:v>
                </c:pt>
                <c:pt idx="76">
                  <c:v>42094</c:v>
                </c:pt>
                <c:pt idx="77">
                  <c:v>42185</c:v>
                </c:pt>
                <c:pt idx="78">
                  <c:v>42277</c:v>
                </c:pt>
                <c:pt idx="79">
                  <c:v>42369</c:v>
                </c:pt>
                <c:pt idx="80">
                  <c:v>42460</c:v>
                </c:pt>
                <c:pt idx="81">
                  <c:v>42551</c:v>
                </c:pt>
                <c:pt idx="82">
                  <c:v>42643</c:v>
                </c:pt>
                <c:pt idx="83">
                  <c:v>42735</c:v>
                </c:pt>
                <c:pt idx="84">
                  <c:v>42825</c:v>
                </c:pt>
                <c:pt idx="85">
                  <c:v>42916</c:v>
                </c:pt>
                <c:pt idx="86">
                  <c:v>43008</c:v>
                </c:pt>
                <c:pt idx="87">
                  <c:v>43100</c:v>
                </c:pt>
                <c:pt idx="88">
                  <c:v>43190</c:v>
                </c:pt>
                <c:pt idx="89">
                  <c:v>43281</c:v>
                </c:pt>
                <c:pt idx="90">
                  <c:v>43373</c:v>
                </c:pt>
                <c:pt idx="91">
                  <c:v>43465</c:v>
                </c:pt>
                <c:pt idx="92">
                  <c:v>43555</c:v>
                </c:pt>
                <c:pt idx="93">
                  <c:v>43646</c:v>
                </c:pt>
                <c:pt idx="94">
                  <c:v>43738</c:v>
                </c:pt>
                <c:pt idx="95">
                  <c:v>43830</c:v>
                </c:pt>
                <c:pt idx="96">
                  <c:v>43921</c:v>
                </c:pt>
                <c:pt idx="97">
                  <c:v>44012</c:v>
                </c:pt>
                <c:pt idx="98">
                  <c:v>44104</c:v>
                </c:pt>
                <c:pt idx="99">
                  <c:v>44196</c:v>
                </c:pt>
                <c:pt idx="100">
                  <c:v>44286</c:v>
                </c:pt>
                <c:pt idx="101">
                  <c:v>44377</c:v>
                </c:pt>
                <c:pt idx="102">
                  <c:v>44469</c:v>
                </c:pt>
                <c:pt idx="103">
                  <c:v>44561</c:v>
                </c:pt>
                <c:pt idx="104">
                  <c:v>44651</c:v>
                </c:pt>
                <c:pt idx="105">
                  <c:v>44742</c:v>
                </c:pt>
                <c:pt idx="106">
                  <c:v>44834</c:v>
                </c:pt>
                <c:pt idx="107">
                  <c:v>44926</c:v>
                </c:pt>
                <c:pt idx="108">
                  <c:v>45016</c:v>
                </c:pt>
                <c:pt idx="109">
                  <c:v>45107</c:v>
                </c:pt>
                <c:pt idx="110">
                  <c:v>45199</c:v>
                </c:pt>
                <c:pt idx="111">
                  <c:v>45291</c:v>
                </c:pt>
                <c:pt idx="112">
                  <c:v>45382</c:v>
                </c:pt>
                <c:pt idx="113">
                  <c:v>45473</c:v>
                </c:pt>
                <c:pt idx="114">
                  <c:v>45565</c:v>
                </c:pt>
                <c:pt idx="115">
                  <c:v>45657</c:v>
                </c:pt>
                <c:pt idx="116">
                  <c:v>45747</c:v>
                </c:pt>
                <c:pt idx="117">
                  <c:v>45838</c:v>
                </c:pt>
                <c:pt idx="118">
                  <c:v>45930</c:v>
                </c:pt>
                <c:pt idx="119">
                  <c:v>46022</c:v>
                </c:pt>
                <c:pt idx="120">
                  <c:v>46112</c:v>
                </c:pt>
                <c:pt idx="121">
                  <c:v>46203</c:v>
                </c:pt>
                <c:pt idx="122">
                  <c:v>46295</c:v>
                </c:pt>
                <c:pt idx="123">
                  <c:v>46387</c:v>
                </c:pt>
                <c:pt idx="124">
                  <c:v>46477</c:v>
                </c:pt>
                <c:pt idx="125">
                  <c:v>46568</c:v>
                </c:pt>
                <c:pt idx="126">
                  <c:v>46660</c:v>
                </c:pt>
                <c:pt idx="127">
                  <c:v>46752</c:v>
                </c:pt>
                <c:pt idx="128">
                  <c:v>46843</c:v>
                </c:pt>
                <c:pt idx="129">
                  <c:v>46934</c:v>
                </c:pt>
                <c:pt idx="130">
                  <c:v>47026</c:v>
                </c:pt>
                <c:pt idx="131">
                  <c:v>47118</c:v>
                </c:pt>
                <c:pt idx="132">
                  <c:v>47208</c:v>
                </c:pt>
                <c:pt idx="133">
                  <c:v>47299</c:v>
                </c:pt>
                <c:pt idx="134">
                  <c:v>47391</c:v>
                </c:pt>
                <c:pt idx="135">
                  <c:v>47483</c:v>
                </c:pt>
                <c:pt idx="136">
                  <c:v>47573</c:v>
                </c:pt>
                <c:pt idx="137">
                  <c:v>47664</c:v>
                </c:pt>
                <c:pt idx="138">
                  <c:v>47756</c:v>
                </c:pt>
                <c:pt idx="139">
                  <c:v>47848</c:v>
                </c:pt>
                <c:pt idx="140">
                  <c:v>47938</c:v>
                </c:pt>
                <c:pt idx="141">
                  <c:v>48029</c:v>
                </c:pt>
                <c:pt idx="142">
                  <c:v>48121</c:v>
                </c:pt>
                <c:pt idx="143">
                  <c:v>48213</c:v>
                </c:pt>
                <c:pt idx="144">
                  <c:v>48304</c:v>
                </c:pt>
                <c:pt idx="145">
                  <c:v>48395</c:v>
                </c:pt>
                <c:pt idx="146">
                  <c:v>48487</c:v>
                </c:pt>
                <c:pt idx="147">
                  <c:v>48579</c:v>
                </c:pt>
                <c:pt idx="148">
                  <c:v>48669</c:v>
                </c:pt>
                <c:pt idx="149">
                  <c:v>48760</c:v>
                </c:pt>
                <c:pt idx="150">
                  <c:v>48852</c:v>
                </c:pt>
                <c:pt idx="151">
                  <c:v>48944</c:v>
                </c:pt>
                <c:pt idx="152">
                  <c:v>49034</c:v>
                </c:pt>
                <c:pt idx="153">
                  <c:v>49125</c:v>
                </c:pt>
                <c:pt idx="154">
                  <c:v>49217</c:v>
                </c:pt>
                <c:pt idx="155">
                  <c:v>49309</c:v>
                </c:pt>
                <c:pt idx="156">
                  <c:v>49399</c:v>
                </c:pt>
                <c:pt idx="157">
                  <c:v>49490</c:v>
                </c:pt>
                <c:pt idx="158">
                  <c:v>49582</c:v>
                </c:pt>
                <c:pt idx="159">
                  <c:v>49674</c:v>
                </c:pt>
              </c:numCache>
            </c:numRef>
          </c:cat>
          <c:val>
            <c:numRef>
              <c:f>Saídas!$B$4:$B$163</c:f>
              <c:numCache>
                <c:formatCode>#,##0</c:formatCode>
                <c:ptCount val="160"/>
                <c:pt idx="0">
                  <c:v>8434.1200000000008</c:v>
                </c:pt>
                <c:pt idx="1">
                  <c:v>8542.84</c:v>
                </c:pt>
                <c:pt idx="2">
                  <c:v>9005.68</c:v>
                </c:pt>
                <c:pt idx="3">
                  <c:v>11103.54</c:v>
                </c:pt>
                <c:pt idx="4">
                  <c:v>9020.16</c:v>
                </c:pt>
                <c:pt idx="5">
                  <c:v>8877.92</c:v>
                </c:pt>
                <c:pt idx="6">
                  <c:v>9170.32</c:v>
                </c:pt>
                <c:pt idx="7">
                  <c:v>9942.0499999999993</c:v>
                </c:pt>
                <c:pt idx="8">
                  <c:v>8866.11</c:v>
                </c:pt>
                <c:pt idx="9">
                  <c:v>9968.36</c:v>
                </c:pt>
                <c:pt idx="10">
                  <c:v>9710.09</c:v>
                </c:pt>
                <c:pt idx="11">
                  <c:v>9499.43</c:v>
                </c:pt>
                <c:pt idx="12">
                  <c:v>9911.52</c:v>
                </c:pt>
                <c:pt idx="13">
                  <c:v>10078.9</c:v>
                </c:pt>
                <c:pt idx="14">
                  <c:v>10129.540000000001</c:v>
                </c:pt>
                <c:pt idx="15">
                  <c:v>10517.49</c:v>
                </c:pt>
                <c:pt idx="16">
                  <c:v>10457.73</c:v>
                </c:pt>
                <c:pt idx="17">
                  <c:v>10416.780000000001</c:v>
                </c:pt>
                <c:pt idx="18">
                  <c:v>10320.94</c:v>
                </c:pt>
                <c:pt idx="19">
                  <c:v>10383.31</c:v>
                </c:pt>
                <c:pt idx="20">
                  <c:v>10708.01</c:v>
                </c:pt>
                <c:pt idx="21">
                  <c:v>10729.08</c:v>
                </c:pt>
                <c:pt idx="22">
                  <c:v>10971.61</c:v>
                </c:pt>
                <c:pt idx="23">
                  <c:v>11542.24</c:v>
                </c:pt>
                <c:pt idx="24">
                  <c:v>11208.26</c:v>
                </c:pt>
                <c:pt idx="25">
                  <c:v>11474.24</c:v>
                </c:pt>
                <c:pt idx="26">
                  <c:v>12279.7</c:v>
                </c:pt>
                <c:pt idx="27">
                  <c:v>12628.74</c:v>
                </c:pt>
                <c:pt idx="28">
                  <c:v>12920.89</c:v>
                </c:pt>
                <c:pt idx="29">
                  <c:v>12915.69</c:v>
                </c:pt>
                <c:pt idx="30">
                  <c:v>12543.53</c:v>
                </c:pt>
                <c:pt idx="31">
                  <c:v>12759.96</c:v>
                </c:pt>
                <c:pt idx="32">
                  <c:v>12911.37</c:v>
                </c:pt>
                <c:pt idx="33">
                  <c:v>13134.44</c:v>
                </c:pt>
                <c:pt idx="34">
                  <c:v>13133.36</c:v>
                </c:pt>
                <c:pt idx="35">
                  <c:v>12978.88</c:v>
                </c:pt>
                <c:pt idx="36">
                  <c:v>13306.82</c:v>
                </c:pt>
                <c:pt idx="37">
                  <c:v>13481.53</c:v>
                </c:pt>
                <c:pt idx="38">
                  <c:v>12846.1</c:v>
                </c:pt>
                <c:pt idx="39">
                  <c:v>12959.69</c:v>
                </c:pt>
                <c:pt idx="40">
                  <c:v>13399.33</c:v>
                </c:pt>
                <c:pt idx="41">
                  <c:v>13554.34</c:v>
                </c:pt>
                <c:pt idx="42">
                  <c:v>14139.41</c:v>
                </c:pt>
                <c:pt idx="43">
                  <c:v>14211.68</c:v>
                </c:pt>
                <c:pt idx="44">
                  <c:v>13983.98</c:v>
                </c:pt>
                <c:pt idx="45">
                  <c:v>13696.45</c:v>
                </c:pt>
                <c:pt idx="46">
                  <c:v>14729.12</c:v>
                </c:pt>
                <c:pt idx="47">
                  <c:v>14733.28</c:v>
                </c:pt>
                <c:pt idx="48">
                  <c:v>14713.57</c:v>
                </c:pt>
                <c:pt idx="49">
                  <c:v>15192.19</c:v>
                </c:pt>
                <c:pt idx="50">
                  <c:v>15482.16</c:v>
                </c:pt>
                <c:pt idx="51">
                  <c:v>14868.77</c:v>
                </c:pt>
                <c:pt idx="52">
                  <c:v>14466.75</c:v>
                </c:pt>
                <c:pt idx="53">
                  <c:v>14306.87</c:v>
                </c:pt>
                <c:pt idx="54">
                  <c:v>14440.55</c:v>
                </c:pt>
                <c:pt idx="55">
                  <c:v>15061.39</c:v>
                </c:pt>
                <c:pt idx="56">
                  <c:v>15350.96</c:v>
                </c:pt>
                <c:pt idx="57">
                  <c:v>15715.46</c:v>
                </c:pt>
                <c:pt idx="58">
                  <c:v>15360.19</c:v>
                </c:pt>
                <c:pt idx="59">
                  <c:v>15627.94</c:v>
                </c:pt>
                <c:pt idx="60">
                  <c:v>15995.73</c:v>
                </c:pt>
                <c:pt idx="61">
                  <c:v>15840.37</c:v>
                </c:pt>
                <c:pt idx="62">
                  <c:v>16650.740000000002</c:v>
                </c:pt>
                <c:pt idx="63">
                  <c:v>17463.72</c:v>
                </c:pt>
                <c:pt idx="64">
                  <c:v>14046.52</c:v>
                </c:pt>
                <c:pt idx="65">
                  <c:v>15792.66</c:v>
                </c:pt>
                <c:pt idx="66">
                  <c:v>17576</c:v>
                </c:pt>
                <c:pt idx="67">
                  <c:v>16652.55</c:v>
                </c:pt>
                <c:pt idx="68">
                  <c:v>16803.64</c:v>
                </c:pt>
                <c:pt idx="69">
                  <c:v>17371.669999999998</c:v>
                </c:pt>
                <c:pt idx="70">
                  <c:v>17320.37</c:v>
                </c:pt>
                <c:pt idx="71">
                  <c:v>17532.93</c:v>
                </c:pt>
                <c:pt idx="72">
                  <c:v>17675.080000000002</c:v>
                </c:pt>
                <c:pt idx="73">
                  <c:v>17372.689999999999</c:v>
                </c:pt>
                <c:pt idx="74">
                  <c:v>17750.169999999998</c:v>
                </c:pt>
                <c:pt idx="75">
                  <c:v>18216.009999999998</c:v>
                </c:pt>
                <c:pt idx="76">
                  <c:v>18648.16</c:v>
                </c:pt>
                <c:pt idx="77">
                  <c:v>18100.25</c:v>
                </c:pt>
                <c:pt idx="78">
                  <c:v>17964.38</c:v>
                </c:pt>
                <c:pt idx="79">
                  <c:v>18356.8</c:v>
                </c:pt>
                <c:pt idx="80">
                  <c:v>17049.73</c:v>
                </c:pt>
                <c:pt idx="81">
                  <c:v>17061.669999999998</c:v>
                </c:pt>
                <c:pt idx="82">
                  <c:v>17348.52</c:v>
                </c:pt>
                <c:pt idx="83">
                  <c:v>18185.23</c:v>
                </c:pt>
                <c:pt idx="84">
                  <c:v>20370.71</c:v>
                </c:pt>
                <c:pt idx="85">
                  <c:v>19724.849999999999</c:v>
                </c:pt>
                <c:pt idx="86">
                  <c:v>19288.830000000002</c:v>
                </c:pt>
                <c:pt idx="87">
                  <c:v>19365.86</c:v>
                </c:pt>
                <c:pt idx="88">
                  <c:v>19699.16</c:v>
                </c:pt>
                <c:pt idx="89">
                  <c:v>19836.060000000001</c:v>
                </c:pt>
                <c:pt idx="90">
                  <c:v>20296.060000000001</c:v>
                </c:pt>
                <c:pt idx="91">
                  <c:v>20545.349999999999</c:v>
                </c:pt>
                <c:pt idx="92">
                  <c:v>19671.37</c:v>
                </c:pt>
                <c:pt idx="93">
                  <c:v>20021.61</c:v>
                </c:pt>
                <c:pt idx="94">
                  <c:v>20578.62</c:v>
                </c:pt>
                <c:pt idx="95">
                  <c:v>20439.099999999999</c:v>
                </c:pt>
                <c:pt idx="96">
                  <c:v>20600.27</c:v>
                </c:pt>
                <c:pt idx="97">
                  <c:v>20973.72</c:v>
                </c:pt>
                <c:pt idx="98">
                  <c:v>21093.5</c:v>
                </c:pt>
                <c:pt idx="99">
                  <c:v>20867.919999999998</c:v>
                </c:pt>
                <c:pt idx="100">
                  <c:v>21666.57</c:v>
                </c:pt>
                <c:pt idx="101">
                  <c:v>21048.51</c:v>
                </c:pt>
                <c:pt idx="102">
                  <c:v>19373</c:v>
                </c:pt>
                <c:pt idx="103">
                  <c:v>20409.501603852637</c:v>
                </c:pt>
                <c:pt idx="104">
                  <c:v>20760.260084981779</c:v>
                </c:pt>
                <c:pt idx="105">
                  <c:v>20765.609718756496</c:v>
                </c:pt>
                <c:pt idx="106">
                  <c:v>20997.914103913947</c:v>
                </c:pt>
                <c:pt idx="107">
                  <c:v>21186.690697686561</c:v>
                </c:pt>
                <c:pt idx="108">
                  <c:v>21361.411916596826</c:v>
                </c:pt>
                <c:pt idx="109">
                  <c:v>21550.184995601212</c:v>
                </c:pt>
                <c:pt idx="110">
                  <c:v>21737.741816167571</c:v>
                </c:pt>
                <c:pt idx="111">
                  <c:v>21926.240984909651</c:v>
                </c:pt>
                <c:pt idx="112">
                  <c:v>22076.696858534273</c:v>
                </c:pt>
                <c:pt idx="113">
                  <c:v>22246.662295346381</c:v>
                </c:pt>
                <c:pt idx="114">
                  <c:v>22425.517193646741</c:v>
                </c:pt>
                <c:pt idx="115">
                  <c:v>22608.869573452794</c:v>
                </c:pt>
                <c:pt idx="116">
                  <c:v>22794.112328765252</c:v>
                </c:pt>
                <c:pt idx="117">
                  <c:v>22977.338051469949</c:v>
                </c:pt>
                <c:pt idx="118">
                  <c:v>23156.259417232319</c:v>
                </c:pt>
                <c:pt idx="119">
                  <c:v>23331.578002300808</c:v>
                </c:pt>
                <c:pt idx="120">
                  <c:v>23504.105602748714</c:v>
                </c:pt>
                <c:pt idx="121">
                  <c:v>23672.783321383748</c:v>
                </c:pt>
                <c:pt idx="122">
                  <c:v>23837.15078074273</c:v>
                </c:pt>
                <c:pt idx="123">
                  <c:v>23998.379888113755</c:v>
                </c:pt>
                <c:pt idx="124">
                  <c:v>24157.470003907911</c:v>
                </c:pt>
                <c:pt idx="125">
                  <c:v>24314.018542973557</c:v>
                </c:pt>
                <c:pt idx="126">
                  <c:v>24467.902264020115</c:v>
                </c:pt>
                <c:pt idx="127">
                  <c:v>24619.789239640751</c:v>
                </c:pt>
                <c:pt idx="128">
                  <c:v>24770.247106641793</c:v>
                </c:pt>
                <c:pt idx="129">
                  <c:v>24919.138862286331</c:v>
                </c:pt>
                <c:pt idx="130">
                  <c:v>25066.456152614563</c:v>
                </c:pt>
                <c:pt idx="131">
                  <c:v>25212.309007796019</c:v>
                </c:pt>
                <c:pt idx="132">
                  <c:v>25356.838569237367</c:v>
                </c:pt>
                <c:pt idx="133">
                  <c:v>25500.158309294162</c:v>
                </c:pt>
                <c:pt idx="134">
                  <c:v>25642.395042092328</c:v>
                </c:pt>
                <c:pt idx="135">
                  <c:v>25783.221764140184</c:v>
                </c:pt>
                <c:pt idx="136">
                  <c:v>25922.459240240798</c:v>
                </c:pt>
                <c:pt idx="137">
                  <c:v>26060.482579495951</c:v>
                </c:pt>
                <c:pt idx="138">
                  <c:v>26197.577623098659</c:v>
                </c:pt>
                <c:pt idx="139">
                  <c:v>26333.105136968665</c:v>
                </c:pt>
                <c:pt idx="140">
                  <c:v>26466.661820641672</c:v>
                </c:pt>
                <c:pt idx="141">
                  <c:v>26598.864239117949</c:v>
                </c:pt>
                <c:pt idx="142">
                  <c:v>26730.151364825368</c:v>
                </c:pt>
                <c:pt idx="143">
                  <c:v>26859.674518017306</c:v>
                </c:pt>
                <c:pt idx="144">
                  <c:v>26986.881239543451</c:v>
                </c:pt>
                <c:pt idx="145">
                  <c:v>27112.584167422312</c:v>
                </c:pt>
                <c:pt idx="146">
                  <c:v>27237.348199107641</c:v>
                </c:pt>
                <c:pt idx="147">
                  <c:v>27360.19747350438</c:v>
                </c:pt>
                <c:pt idx="148">
                  <c:v>27480.488367157566</c:v>
                </c:pt>
                <c:pt idx="149">
                  <c:v>27599.172947009822</c:v>
                </c:pt>
                <c:pt idx="150">
                  <c:v>27716.905336057713</c:v>
                </c:pt>
                <c:pt idx="151">
                  <c:v>27832.647777520124</c:v>
                </c:pt>
                <c:pt idx="152">
                  <c:v>27945.710720422416</c:v>
                </c:pt>
                <c:pt idx="153">
                  <c:v>28057.128472574692</c:v>
                </c:pt>
                <c:pt idx="154">
                  <c:v>28167.606603133401</c:v>
                </c:pt>
                <c:pt idx="155">
                  <c:v>28276.096618274154</c:v>
                </c:pt>
                <c:pt idx="156">
                  <c:v>28381.898252667128</c:v>
                </c:pt>
                <c:pt idx="157">
                  <c:v>28486.076598896118</c:v>
                </c:pt>
                <c:pt idx="158">
                  <c:v>28589.354553225199</c:v>
                </c:pt>
                <c:pt idx="159">
                  <c:v>28690.711484046256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1E-41BD-807F-379A6570B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0568223"/>
        <c:axId val="1650565727"/>
      </c:areaChart>
      <c:lineChart>
        <c:grouping val="standard"/>
        <c:varyColors val="0"/>
        <c:ser>
          <c:idx val="3"/>
          <c:order val="3"/>
          <c:tx>
            <c:strRef>
              <c:f>Saídas!$E$3</c:f>
              <c:strCache>
                <c:ptCount val="1"/>
                <c:pt idx="0">
                  <c:v>PIBVA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Saídas!$E$4:$E$163</c:f>
              <c:numCache>
                <c:formatCode>#,##0</c:formatCode>
                <c:ptCount val="160"/>
                <c:pt idx="0">
                  <c:v>152563.74</c:v>
                </c:pt>
                <c:pt idx="1">
                  <c:v>153572.20000000001</c:v>
                </c:pt>
                <c:pt idx="2">
                  <c:v>159426.10999999999</c:v>
                </c:pt>
                <c:pt idx="3">
                  <c:v>155610.46</c:v>
                </c:pt>
                <c:pt idx="4">
                  <c:v>158328.79999999999</c:v>
                </c:pt>
                <c:pt idx="5">
                  <c:v>159404.88</c:v>
                </c:pt>
                <c:pt idx="6">
                  <c:v>160981.85999999999</c:v>
                </c:pt>
                <c:pt idx="7">
                  <c:v>162473.25</c:v>
                </c:pt>
                <c:pt idx="8">
                  <c:v>159729.69</c:v>
                </c:pt>
                <c:pt idx="9">
                  <c:v>162387.97</c:v>
                </c:pt>
                <c:pt idx="10">
                  <c:v>162414.82999999999</c:v>
                </c:pt>
                <c:pt idx="11">
                  <c:v>160727.32999999999</c:v>
                </c:pt>
                <c:pt idx="12">
                  <c:v>162242.57</c:v>
                </c:pt>
                <c:pt idx="13">
                  <c:v>162424.59</c:v>
                </c:pt>
                <c:pt idx="14">
                  <c:v>162439.49</c:v>
                </c:pt>
                <c:pt idx="15">
                  <c:v>164422.18</c:v>
                </c:pt>
                <c:pt idx="16">
                  <c:v>165958.82</c:v>
                </c:pt>
                <c:pt idx="17">
                  <c:v>167941.72</c:v>
                </c:pt>
                <c:pt idx="18">
                  <c:v>169991.6</c:v>
                </c:pt>
                <c:pt idx="19">
                  <c:v>172236.28</c:v>
                </c:pt>
                <c:pt idx="20">
                  <c:v>172164.19</c:v>
                </c:pt>
                <c:pt idx="21">
                  <c:v>172052.33</c:v>
                </c:pt>
                <c:pt idx="22">
                  <c:v>171505.46</c:v>
                </c:pt>
                <c:pt idx="23">
                  <c:v>171701.43</c:v>
                </c:pt>
                <c:pt idx="24">
                  <c:v>175511.69</c:v>
                </c:pt>
                <c:pt idx="25">
                  <c:v>176661.5</c:v>
                </c:pt>
                <c:pt idx="26">
                  <c:v>178765.28</c:v>
                </c:pt>
                <c:pt idx="27">
                  <c:v>180931.45</c:v>
                </c:pt>
                <c:pt idx="28">
                  <c:v>179747.66</c:v>
                </c:pt>
                <c:pt idx="29">
                  <c:v>178422.43</c:v>
                </c:pt>
                <c:pt idx="30">
                  <c:v>180508.69</c:v>
                </c:pt>
                <c:pt idx="31">
                  <c:v>182070.03</c:v>
                </c:pt>
                <c:pt idx="32">
                  <c:v>184703.47</c:v>
                </c:pt>
                <c:pt idx="33">
                  <c:v>189408.89</c:v>
                </c:pt>
                <c:pt idx="34">
                  <c:v>191803.61</c:v>
                </c:pt>
                <c:pt idx="35">
                  <c:v>193254.31</c:v>
                </c:pt>
                <c:pt idx="36">
                  <c:v>194687.99</c:v>
                </c:pt>
                <c:pt idx="37">
                  <c:v>197469.68</c:v>
                </c:pt>
                <c:pt idx="38">
                  <c:v>195420.63</c:v>
                </c:pt>
                <c:pt idx="39">
                  <c:v>197489.22</c:v>
                </c:pt>
                <c:pt idx="40">
                  <c:v>201264.12</c:v>
                </c:pt>
                <c:pt idx="41">
                  <c:v>200960.3</c:v>
                </c:pt>
                <c:pt idx="42">
                  <c:v>204403.16</c:v>
                </c:pt>
                <c:pt idx="43">
                  <c:v>207360.53</c:v>
                </c:pt>
                <c:pt idx="44">
                  <c:v>211377.43</c:v>
                </c:pt>
                <c:pt idx="45">
                  <c:v>213768.87</c:v>
                </c:pt>
                <c:pt idx="46">
                  <c:v>216268.72</c:v>
                </c:pt>
                <c:pt idx="47">
                  <c:v>219050.67</c:v>
                </c:pt>
                <c:pt idx="48">
                  <c:v>221452.88</c:v>
                </c:pt>
                <c:pt idx="49">
                  <c:v>226458.22</c:v>
                </c:pt>
                <c:pt idx="50">
                  <c:v>229259.6</c:v>
                </c:pt>
                <c:pt idx="51">
                  <c:v>220894.32</c:v>
                </c:pt>
                <c:pt idx="52">
                  <c:v>218818.58</c:v>
                </c:pt>
                <c:pt idx="53">
                  <c:v>221852.6</c:v>
                </c:pt>
                <c:pt idx="54">
                  <c:v>226828.03</c:v>
                </c:pt>
                <c:pt idx="55">
                  <c:v>232234.6</c:v>
                </c:pt>
                <c:pt idx="56">
                  <c:v>237101.56</c:v>
                </c:pt>
                <c:pt idx="57">
                  <c:v>239593.89</c:v>
                </c:pt>
                <c:pt idx="58">
                  <c:v>241407.91</c:v>
                </c:pt>
                <c:pt idx="59">
                  <c:v>244652.21</c:v>
                </c:pt>
                <c:pt idx="60">
                  <c:v>248237.67</c:v>
                </c:pt>
                <c:pt idx="61">
                  <c:v>249996.74</c:v>
                </c:pt>
                <c:pt idx="62">
                  <c:v>249734.01</c:v>
                </c:pt>
                <c:pt idx="63">
                  <c:v>251801.89</c:v>
                </c:pt>
                <c:pt idx="64">
                  <c:v>248211.21</c:v>
                </c:pt>
                <c:pt idx="65">
                  <c:v>252017.14</c:v>
                </c:pt>
                <c:pt idx="66">
                  <c:v>256559.5</c:v>
                </c:pt>
                <c:pt idx="67">
                  <c:v>256022.66</c:v>
                </c:pt>
                <c:pt idx="68">
                  <c:v>257215.62</c:v>
                </c:pt>
                <c:pt idx="69">
                  <c:v>261837.19</c:v>
                </c:pt>
                <c:pt idx="70">
                  <c:v>262311.94</c:v>
                </c:pt>
                <c:pt idx="71">
                  <c:v>262815.23</c:v>
                </c:pt>
                <c:pt idx="72">
                  <c:v>265269.26</c:v>
                </c:pt>
                <c:pt idx="73">
                  <c:v>260835.41</c:v>
                </c:pt>
                <c:pt idx="74">
                  <c:v>260957.11</c:v>
                </c:pt>
                <c:pt idx="75">
                  <c:v>262094.65</c:v>
                </c:pt>
                <c:pt idx="76">
                  <c:v>260805.74</c:v>
                </c:pt>
                <c:pt idx="77">
                  <c:v>254433.95</c:v>
                </c:pt>
                <c:pt idx="78">
                  <c:v>251158.18</c:v>
                </c:pt>
                <c:pt idx="79">
                  <c:v>249752.2</c:v>
                </c:pt>
                <c:pt idx="80">
                  <c:v>245680.91</c:v>
                </c:pt>
                <c:pt idx="81">
                  <c:v>247466.76</c:v>
                </c:pt>
                <c:pt idx="82">
                  <c:v>245770.45</c:v>
                </c:pt>
                <c:pt idx="83">
                  <c:v>245302.31</c:v>
                </c:pt>
                <c:pt idx="84">
                  <c:v>248468.36</c:v>
                </c:pt>
                <c:pt idx="85">
                  <c:v>249556.63</c:v>
                </c:pt>
                <c:pt idx="86">
                  <c:v>250141.54</c:v>
                </c:pt>
                <c:pt idx="87">
                  <c:v>251315.68</c:v>
                </c:pt>
                <c:pt idx="88">
                  <c:v>252557.95</c:v>
                </c:pt>
                <c:pt idx="89">
                  <c:v>253584.84</c:v>
                </c:pt>
                <c:pt idx="90">
                  <c:v>255276.95</c:v>
                </c:pt>
                <c:pt idx="91">
                  <c:v>254727.69</c:v>
                </c:pt>
                <c:pt idx="92">
                  <c:v>255699.06</c:v>
                </c:pt>
                <c:pt idx="93">
                  <c:v>256250.57</c:v>
                </c:pt>
                <c:pt idx="94">
                  <c:v>256449.8</c:v>
                </c:pt>
                <c:pt idx="95">
                  <c:v>257676.99</c:v>
                </c:pt>
                <c:pt idx="96">
                  <c:v>252174.13</c:v>
                </c:pt>
                <c:pt idx="97">
                  <c:v>230226.19</c:v>
                </c:pt>
                <c:pt idx="98">
                  <c:v>247563.98</c:v>
                </c:pt>
                <c:pt idx="99">
                  <c:v>254703.09</c:v>
                </c:pt>
                <c:pt idx="100">
                  <c:v>258094.34</c:v>
                </c:pt>
                <c:pt idx="101">
                  <c:v>257110.45</c:v>
                </c:pt>
                <c:pt idx="102">
                  <c:v>256721.61</c:v>
                </c:pt>
                <c:pt idx="103">
                  <c:v>258067.80447246809</c:v>
                </c:pt>
                <c:pt idx="104">
                  <c:v>258537.68650367251</c:v>
                </c:pt>
                <c:pt idx="105">
                  <c:v>258468.01038991063</c:v>
                </c:pt>
                <c:pt idx="106">
                  <c:v>259521.45975448325</c:v>
                </c:pt>
                <c:pt idx="107">
                  <c:v>260779.33171708879</c:v>
                </c:pt>
                <c:pt idx="108">
                  <c:v>262145.8375172657</c:v>
                </c:pt>
                <c:pt idx="109">
                  <c:v>263525.79741474171</c:v>
                </c:pt>
                <c:pt idx="110">
                  <c:v>264916.56102099916</c:v>
                </c:pt>
                <c:pt idx="111">
                  <c:v>266313.21530175087</c:v>
                </c:pt>
                <c:pt idx="112">
                  <c:v>268140.6323904157</c:v>
                </c:pt>
                <c:pt idx="113">
                  <c:v>270205.01004633732</c:v>
                </c:pt>
                <c:pt idx="114">
                  <c:v>272377.35792263848</c:v>
                </c:pt>
                <c:pt idx="115">
                  <c:v>274604.33161288401</c:v>
                </c:pt>
                <c:pt idx="116">
                  <c:v>276854.26555334235</c:v>
                </c:pt>
                <c:pt idx="117">
                  <c:v>279079.70088323118</c:v>
                </c:pt>
                <c:pt idx="118">
                  <c:v>281252.85606451152</c:v>
                </c:pt>
                <c:pt idx="119">
                  <c:v>283382.25234925892</c:v>
                </c:pt>
                <c:pt idx="120">
                  <c:v>285477.74970492511</c:v>
                </c:pt>
                <c:pt idx="121">
                  <c:v>287526.48690663587</c:v>
                </c:pt>
                <c:pt idx="122">
                  <c:v>289522.87227077538</c:v>
                </c:pt>
                <c:pt idx="123">
                  <c:v>291481.13962785492</c:v>
                </c:pt>
                <c:pt idx="124">
                  <c:v>293413.42707689956</c:v>
                </c:pt>
                <c:pt idx="125">
                  <c:v>295314.84487204545</c:v>
                </c:pt>
                <c:pt idx="126">
                  <c:v>297183.89614092058</c:v>
                </c:pt>
                <c:pt idx="127">
                  <c:v>299028.6952046465</c:v>
                </c:pt>
                <c:pt idx="128">
                  <c:v>300856.13650459691</c:v>
                </c:pt>
                <c:pt idx="129">
                  <c:v>302664.55602369778</c:v>
                </c:pt>
                <c:pt idx="130">
                  <c:v>304453.85229586106</c:v>
                </c:pt>
                <c:pt idx="131">
                  <c:v>306225.36173293454</c:v>
                </c:pt>
                <c:pt idx="132">
                  <c:v>307980.79861972638</c:v>
                </c:pt>
                <c:pt idx="133">
                  <c:v>309721.5411764193</c:v>
                </c:pt>
                <c:pt idx="134">
                  <c:v>311449.12967056956</c:v>
                </c:pt>
                <c:pt idx="135">
                  <c:v>313159.59236113203</c:v>
                </c:pt>
                <c:pt idx="136">
                  <c:v>314850.75228117377</c:v>
                </c:pt>
                <c:pt idx="137">
                  <c:v>316527.16545610066</c:v>
                </c:pt>
                <c:pt idx="138">
                  <c:v>318192.30367513688</c:v>
                </c:pt>
                <c:pt idx="139">
                  <c:v>319838.4028859142</c:v>
                </c:pt>
                <c:pt idx="140">
                  <c:v>321460.56465447618</c:v>
                </c:pt>
                <c:pt idx="141">
                  <c:v>323066.27769755165</c:v>
                </c:pt>
                <c:pt idx="142">
                  <c:v>324660.87371603609</c:v>
                </c:pt>
                <c:pt idx="143">
                  <c:v>326234.044758273</c:v>
                </c:pt>
                <c:pt idx="144">
                  <c:v>327779.08072868566</c:v>
                </c:pt>
                <c:pt idx="145">
                  <c:v>329305.85182088078</c:v>
                </c:pt>
                <c:pt idx="146">
                  <c:v>330821.21920441894</c:v>
                </c:pt>
                <c:pt idx="147">
                  <c:v>332313.33019985125</c:v>
                </c:pt>
                <c:pt idx="148">
                  <c:v>333774.36744204652</c:v>
                </c:pt>
                <c:pt idx="149">
                  <c:v>335215.89460983349</c:v>
                </c:pt>
                <c:pt idx="150">
                  <c:v>336645.85659438337</c:v>
                </c:pt>
                <c:pt idx="151">
                  <c:v>338051.6489394526</c:v>
                </c:pt>
                <c:pt idx="152">
                  <c:v>339424.89645034657</c:v>
                </c:pt>
                <c:pt idx="153">
                  <c:v>340778.1616925642</c:v>
                </c:pt>
                <c:pt idx="154">
                  <c:v>342120.01441551227</c:v>
                </c:pt>
                <c:pt idx="155">
                  <c:v>343437.71975224349</c:v>
                </c:pt>
                <c:pt idx="156">
                  <c:v>344722.77237292595</c:v>
                </c:pt>
                <c:pt idx="157">
                  <c:v>345988.10875083751</c:v>
                </c:pt>
                <c:pt idx="158">
                  <c:v>347242.50908813626</c:v>
                </c:pt>
                <c:pt idx="159">
                  <c:v>348473.57692865899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1E-41BD-807F-379A6570B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0568223"/>
        <c:axId val="1650565727"/>
      </c:lineChart>
      <c:dateAx>
        <c:axId val="1650568223"/>
        <c:scaling>
          <c:orientation val="minMax"/>
          <c:max val="46722"/>
          <c:min val="36586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650565727"/>
        <c:crosses val="autoZero"/>
        <c:auto val="1"/>
        <c:lblOffset val="100"/>
        <c:baseTimeUnit val="months"/>
        <c:majorUnit val="36"/>
        <c:majorTimeUnit val="months"/>
      </c:dateAx>
      <c:valAx>
        <c:axId val="1650565727"/>
        <c:scaling>
          <c:orientation val="minMax"/>
          <c:max val="350000"/>
        </c:scaling>
        <c:delete val="0"/>
        <c:axPos val="l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650568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200">
                <a:latin typeface="Arial Black" panose="020B0A04020102020204" pitchFamily="34" charset="0"/>
              </a:rPr>
              <a:t>Brasil: PIB,</a:t>
            </a:r>
            <a:r>
              <a:rPr lang="en-US" sz="1200" baseline="0">
                <a:latin typeface="Arial Black" panose="020B0A04020102020204" pitchFamily="34" charset="0"/>
              </a:rPr>
              <a:t> </a:t>
            </a:r>
            <a:r>
              <a:rPr lang="en-US" sz="1200">
                <a:latin typeface="Arial Black" panose="020B0A04020102020204" pitchFamily="34" charset="0"/>
              </a:rPr>
              <a:t>valor adicionado</a:t>
            </a:r>
          </a:p>
          <a:p>
            <a:pPr algn="l">
              <a:defRPr/>
            </a:pPr>
            <a:r>
              <a:rPr lang="en-US" sz="1000" b="0" i="0" baseline="0">
                <a:effectLst/>
              </a:rPr>
              <a:t>% Acum. 4T, contribuicoes ao crescimento</a:t>
            </a:r>
            <a:endParaRPr lang="en-US" sz="1000">
              <a:effectLst/>
            </a:endParaRPr>
          </a:p>
        </c:rich>
      </c:tx>
      <c:layout>
        <c:manualLayout>
          <c:xMode val="edge"/>
          <c:yMode val="edge"/>
          <c:x val="1.2537378393223974E-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0898405494443553E-2"/>
          <c:y val="0.1669805653253065"/>
          <c:w val="0.89598076577692654"/>
          <c:h val="0.63792961163520789"/>
        </c:manualLayout>
      </c:layout>
      <c:areaChart>
        <c:grouping val="stacked"/>
        <c:varyColors val="0"/>
        <c:ser>
          <c:idx val="2"/>
          <c:order val="0"/>
          <c:tx>
            <c:strRef>
              <c:f>Saídas!$Z$3</c:f>
              <c:strCache>
                <c:ptCount val="1"/>
                <c:pt idx="0">
                  <c:v>Serviços</c:v>
                </c:pt>
              </c:strCache>
            </c:strRef>
          </c:tx>
          <c:spPr>
            <a:solidFill>
              <a:schemeClr val="tx1">
                <a:lumMod val="65000"/>
                <a:lumOff val="35000"/>
                <a:alpha val="70000"/>
              </a:schemeClr>
            </a:solidFill>
            <a:ln w="25400">
              <a:noFill/>
            </a:ln>
            <a:effectLst/>
          </c:spPr>
          <c:cat>
            <c:numRef>
              <c:f>Saídas!$A$4:$A$163</c:f>
              <c:numCache>
                <c:formatCode>mm/yyyy</c:formatCode>
                <c:ptCount val="160"/>
                <c:pt idx="0">
                  <c:v>35125</c:v>
                </c:pt>
                <c:pt idx="1">
                  <c:v>35246</c:v>
                </c:pt>
                <c:pt idx="2">
                  <c:v>35338</c:v>
                </c:pt>
                <c:pt idx="3">
                  <c:v>35430</c:v>
                </c:pt>
                <c:pt idx="4">
                  <c:v>35520</c:v>
                </c:pt>
                <c:pt idx="5">
                  <c:v>35611</c:v>
                </c:pt>
                <c:pt idx="6">
                  <c:v>35703</c:v>
                </c:pt>
                <c:pt idx="7">
                  <c:v>35795</c:v>
                </c:pt>
                <c:pt idx="8">
                  <c:v>35885</c:v>
                </c:pt>
                <c:pt idx="9">
                  <c:v>35976</c:v>
                </c:pt>
                <c:pt idx="10">
                  <c:v>36068</c:v>
                </c:pt>
                <c:pt idx="11">
                  <c:v>36160</c:v>
                </c:pt>
                <c:pt idx="12">
                  <c:v>36250</c:v>
                </c:pt>
                <c:pt idx="13">
                  <c:v>36341</c:v>
                </c:pt>
                <c:pt idx="14">
                  <c:v>36433</c:v>
                </c:pt>
                <c:pt idx="15">
                  <c:v>36525</c:v>
                </c:pt>
                <c:pt idx="16">
                  <c:v>36616</c:v>
                </c:pt>
                <c:pt idx="17">
                  <c:v>36707</c:v>
                </c:pt>
                <c:pt idx="18">
                  <c:v>36799</c:v>
                </c:pt>
                <c:pt idx="19">
                  <c:v>36891</c:v>
                </c:pt>
                <c:pt idx="20">
                  <c:v>36981</c:v>
                </c:pt>
                <c:pt idx="21">
                  <c:v>37072</c:v>
                </c:pt>
                <c:pt idx="22">
                  <c:v>37164</c:v>
                </c:pt>
                <c:pt idx="23">
                  <c:v>37256</c:v>
                </c:pt>
                <c:pt idx="24">
                  <c:v>37346</c:v>
                </c:pt>
                <c:pt idx="25">
                  <c:v>37437</c:v>
                </c:pt>
                <c:pt idx="26">
                  <c:v>37529</c:v>
                </c:pt>
                <c:pt idx="27">
                  <c:v>37621</c:v>
                </c:pt>
                <c:pt idx="28">
                  <c:v>37711</c:v>
                </c:pt>
                <c:pt idx="29">
                  <c:v>37802</c:v>
                </c:pt>
                <c:pt idx="30">
                  <c:v>37894</c:v>
                </c:pt>
                <c:pt idx="31">
                  <c:v>37986</c:v>
                </c:pt>
                <c:pt idx="32">
                  <c:v>38077</c:v>
                </c:pt>
                <c:pt idx="33">
                  <c:v>38168</c:v>
                </c:pt>
                <c:pt idx="34">
                  <c:v>38260</c:v>
                </c:pt>
                <c:pt idx="35">
                  <c:v>38352</c:v>
                </c:pt>
                <c:pt idx="36">
                  <c:v>38442</c:v>
                </c:pt>
                <c:pt idx="37">
                  <c:v>38533</c:v>
                </c:pt>
                <c:pt idx="38">
                  <c:v>38625</c:v>
                </c:pt>
                <c:pt idx="39">
                  <c:v>38717</c:v>
                </c:pt>
                <c:pt idx="40">
                  <c:v>38807</c:v>
                </c:pt>
                <c:pt idx="41">
                  <c:v>38898</c:v>
                </c:pt>
                <c:pt idx="42">
                  <c:v>38990</c:v>
                </c:pt>
                <c:pt idx="43">
                  <c:v>39082</c:v>
                </c:pt>
                <c:pt idx="44">
                  <c:v>39172</c:v>
                </c:pt>
                <c:pt idx="45">
                  <c:v>39263</c:v>
                </c:pt>
                <c:pt idx="46">
                  <c:v>39355</c:v>
                </c:pt>
                <c:pt idx="47">
                  <c:v>39447</c:v>
                </c:pt>
                <c:pt idx="48">
                  <c:v>39538</c:v>
                </c:pt>
                <c:pt idx="49">
                  <c:v>39629</c:v>
                </c:pt>
                <c:pt idx="50">
                  <c:v>39721</c:v>
                </c:pt>
                <c:pt idx="51">
                  <c:v>39813</c:v>
                </c:pt>
                <c:pt idx="52">
                  <c:v>39903</c:v>
                </c:pt>
                <c:pt idx="53">
                  <c:v>39994</c:v>
                </c:pt>
                <c:pt idx="54">
                  <c:v>40086</c:v>
                </c:pt>
                <c:pt idx="55">
                  <c:v>40178</c:v>
                </c:pt>
                <c:pt idx="56">
                  <c:v>40268</c:v>
                </c:pt>
                <c:pt idx="57">
                  <c:v>40359</c:v>
                </c:pt>
                <c:pt idx="58">
                  <c:v>40451</c:v>
                </c:pt>
                <c:pt idx="59">
                  <c:v>40543</c:v>
                </c:pt>
                <c:pt idx="60">
                  <c:v>40633</c:v>
                </c:pt>
                <c:pt idx="61">
                  <c:v>40724</c:v>
                </c:pt>
                <c:pt idx="62">
                  <c:v>40816</c:v>
                </c:pt>
                <c:pt idx="63">
                  <c:v>40908</c:v>
                </c:pt>
                <c:pt idx="64">
                  <c:v>40999</c:v>
                </c:pt>
                <c:pt idx="65">
                  <c:v>41090</c:v>
                </c:pt>
                <c:pt idx="66">
                  <c:v>41182</c:v>
                </c:pt>
                <c:pt idx="67">
                  <c:v>41274</c:v>
                </c:pt>
                <c:pt idx="68">
                  <c:v>41364</c:v>
                </c:pt>
                <c:pt idx="69">
                  <c:v>41455</c:v>
                </c:pt>
                <c:pt idx="70">
                  <c:v>41547</c:v>
                </c:pt>
                <c:pt idx="71">
                  <c:v>41639</c:v>
                </c:pt>
                <c:pt idx="72">
                  <c:v>41729</c:v>
                </c:pt>
                <c:pt idx="73">
                  <c:v>41820</c:v>
                </c:pt>
                <c:pt idx="74">
                  <c:v>41912</c:v>
                </c:pt>
                <c:pt idx="75">
                  <c:v>42004</c:v>
                </c:pt>
                <c:pt idx="76">
                  <c:v>42094</c:v>
                </c:pt>
                <c:pt idx="77">
                  <c:v>42185</c:v>
                </c:pt>
                <c:pt idx="78">
                  <c:v>42277</c:v>
                </c:pt>
                <c:pt idx="79">
                  <c:v>42369</c:v>
                </c:pt>
                <c:pt idx="80">
                  <c:v>42460</c:v>
                </c:pt>
                <c:pt idx="81">
                  <c:v>42551</c:v>
                </c:pt>
                <c:pt idx="82">
                  <c:v>42643</c:v>
                </c:pt>
                <c:pt idx="83">
                  <c:v>42735</c:v>
                </c:pt>
                <c:pt idx="84">
                  <c:v>42825</c:v>
                </c:pt>
                <c:pt idx="85">
                  <c:v>42916</c:v>
                </c:pt>
                <c:pt idx="86">
                  <c:v>43008</c:v>
                </c:pt>
                <c:pt idx="87">
                  <c:v>43100</c:v>
                </c:pt>
                <c:pt idx="88">
                  <c:v>43190</c:v>
                </c:pt>
                <c:pt idx="89">
                  <c:v>43281</c:v>
                </c:pt>
                <c:pt idx="90">
                  <c:v>43373</c:v>
                </c:pt>
                <c:pt idx="91">
                  <c:v>43465</c:v>
                </c:pt>
                <c:pt idx="92">
                  <c:v>43555</c:v>
                </c:pt>
                <c:pt idx="93">
                  <c:v>43646</c:v>
                </c:pt>
                <c:pt idx="94">
                  <c:v>43738</c:v>
                </c:pt>
                <c:pt idx="95">
                  <c:v>43830</c:v>
                </c:pt>
                <c:pt idx="96">
                  <c:v>43921</c:v>
                </c:pt>
                <c:pt idx="97">
                  <c:v>44012</c:v>
                </c:pt>
                <c:pt idx="98">
                  <c:v>44104</c:v>
                </c:pt>
                <c:pt idx="99">
                  <c:v>44196</c:v>
                </c:pt>
                <c:pt idx="100">
                  <c:v>44286</c:v>
                </c:pt>
                <c:pt idx="101">
                  <c:v>44377</c:v>
                </c:pt>
                <c:pt idx="102">
                  <c:v>44469</c:v>
                </c:pt>
                <c:pt idx="103">
                  <c:v>44561</c:v>
                </c:pt>
                <c:pt idx="104">
                  <c:v>44651</c:v>
                </c:pt>
                <c:pt idx="105">
                  <c:v>44742</c:v>
                </c:pt>
                <c:pt idx="106">
                  <c:v>44834</c:v>
                </c:pt>
                <c:pt idx="107">
                  <c:v>44926</c:v>
                </c:pt>
                <c:pt idx="108">
                  <c:v>45016</c:v>
                </c:pt>
                <c:pt idx="109">
                  <c:v>45107</c:v>
                </c:pt>
                <c:pt idx="110">
                  <c:v>45199</c:v>
                </c:pt>
                <c:pt idx="111">
                  <c:v>45291</c:v>
                </c:pt>
                <c:pt idx="112">
                  <c:v>45382</c:v>
                </c:pt>
                <c:pt idx="113">
                  <c:v>45473</c:v>
                </c:pt>
                <c:pt idx="114">
                  <c:v>45565</c:v>
                </c:pt>
                <c:pt idx="115">
                  <c:v>45657</c:v>
                </c:pt>
                <c:pt idx="116">
                  <c:v>45747</c:v>
                </c:pt>
                <c:pt idx="117">
                  <c:v>45838</c:v>
                </c:pt>
                <c:pt idx="118">
                  <c:v>45930</c:v>
                </c:pt>
                <c:pt idx="119">
                  <c:v>46022</c:v>
                </c:pt>
                <c:pt idx="120">
                  <c:v>46112</c:v>
                </c:pt>
                <c:pt idx="121">
                  <c:v>46203</c:v>
                </c:pt>
                <c:pt idx="122">
                  <c:v>46295</c:v>
                </c:pt>
                <c:pt idx="123">
                  <c:v>46387</c:v>
                </c:pt>
                <c:pt idx="124">
                  <c:v>46477</c:v>
                </c:pt>
                <c:pt idx="125">
                  <c:v>46568</c:v>
                </c:pt>
                <c:pt idx="126">
                  <c:v>46660</c:v>
                </c:pt>
                <c:pt idx="127">
                  <c:v>46752</c:v>
                </c:pt>
                <c:pt idx="128">
                  <c:v>46843</c:v>
                </c:pt>
                <c:pt idx="129">
                  <c:v>46934</c:v>
                </c:pt>
                <c:pt idx="130">
                  <c:v>47026</c:v>
                </c:pt>
                <c:pt idx="131">
                  <c:v>47118</c:v>
                </c:pt>
                <c:pt idx="132">
                  <c:v>47208</c:v>
                </c:pt>
                <c:pt idx="133">
                  <c:v>47299</c:v>
                </c:pt>
                <c:pt idx="134">
                  <c:v>47391</c:v>
                </c:pt>
                <c:pt idx="135">
                  <c:v>47483</c:v>
                </c:pt>
                <c:pt idx="136">
                  <c:v>47573</c:v>
                </c:pt>
                <c:pt idx="137">
                  <c:v>47664</c:v>
                </c:pt>
                <c:pt idx="138">
                  <c:v>47756</c:v>
                </c:pt>
                <c:pt idx="139">
                  <c:v>47848</c:v>
                </c:pt>
                <c:pt idx="140">
                  <c:v>47938</c:v>
                </c:pt>
                <c:pt idx="141">
                  <c:v>48029</c:v>
                </c:pt>
                <c:pt idx="142">
                  <c:v>48121</c:v>
                </c:pt>
                <c:pt idx="143">
                  <c:v>48213</c:v>
                </c:pt>
                <c:pt idx="144">
                  <c:v>48304</c:v>
                </c:pt>
                <c:pt idx="145">
                  <c:v>48395</c:v>
                </c:pt>
                <c:pt idx="146">
                  <c:v>48487</c:v>
                </c:pt>
                <c:pt idx="147">
                  <c:v>48579</c:v>
                </c:pt>
                <c:pt idx="148">
                  <c:v>48669</c:v>
                </c:pt>
                <c:pt idx="149">
                  <c:v>48760</c:v>
                </c:pt>
                <c:pt idx="150">
                  <c:v>48852</c:v>
                </c:pt>
                <c:pt idx="151">
                  <c:v>48944</c:v>
                </c:pt>
                <c:pt idx="152">
                  <c:v>49034</c:v>
                </c:pt>
                <c:pt idx="153">
                  <c:v>49125</c:v>
                </c:pt>
                <c:pt idx="154">
                  <c:v>49217</c:v>
                </c:pt>
                <c:pt idx="155">
                  <c:v>49309</c:v>
                </c:pt>
                <c:pt idx="156">
                  <c:v>49399</c:v>
                </c:pt>
                <c:pt idx="157">
                  <c:v>49490</c:v>
                </c:pt>
                <c:pt idx="158">
                  <c:v>49582</c:v>
                </c:pt>
                <c:pt idx="159">
                  <c:v>49674</c:v>
                </c:pt>
              </c:numCache>
            </c:numRef>
          </c:cat>
          <c:val>
            <c:numRef>
              <c:f>Saídas!$Z$4:$Z$163</c:f>
              <c:numCache>
                <c:formatCode>General</c:formatCode>
                <c:ptCount val="160"/>
                <c:pt idx="7" formatCode="0.0">
                  <c:v>1.8958565954568838</c:v>
                </c:pt>
                <c:pt idx="8" formatCode="0.0">
                  <c:v>1.6047179944886665</c:v>
                </c:pt>
                <c:pt idx="9" formatCode="0.0">
                  <c:v>1.526808505930868</c:v>
                </c:pt>
                <c:pt idx="10" formatCode="0.0">
                  <c:v>1.6217812292102178</c:v>
                </c:pt>
                <c:pt idx="11" formatCode="0.0">
                  <c:v>0.96294883758025807</c:v>
                </c:pt>
                <c:pt idx="12" formatCode="0.0">
                  <c:v>1.1870265330124776</c:v>
                </c:pt>
                <c:pt idx="13" formatCode="0.0">
                  <c:v>1.1537227631208586</c:v>
                </c:pt>
                <c:pt idx="14" formatCode="0.0">
                  <c:v>1.0037097970723046</c:v>
                </c:pt>
                <c:pt idx="15" formatCode="0.0">
                  <c:v>1.241826896954491</c:v>
                </c:pt>
                <c:pt idx="16" formatCode="0.0">
                  <c:v>1.104409000255802</c:v>
                </c:pt>
                <c:pt idx="17" formatCode="0.0">
                  <c:v>1.3895446888600005</c:v>
                </c:pt>
                <c:pt idx="18" formatCode="0.0">
                  <c:v>2.0143154577967715</c:v>
                </c:pt>
                <c:pt idx="19" formatCode="0.0">
                  <c:v>2.479686125324648</c:v>
                </c:pt>
                <c:pt idx="20" formatCode="0.0">
                  <c:v>2.7286614651116388</c:v>
                </c:pt>
                <c:pt idx="21" formatCode="0.0">
                  <c:v>2.6954522717030094</c:v>
                </c:pt>
                <c:pt idx="22" formatCode="0.0">
                  <c:v>2.218507004308989</c:v>
                </c:pt>
                <c:pt idx="23" formatCode="0.0">
                  <c:v>1.5477399988599818</c:v>
                </c:pt>
                <c:pt idx="24" formatCode="0.0">
                  <c:v>1.5094782276574508</c:v>
                </c:pt>
                <c:pt idx="25" formatCode="0.0">
                  <c:v>1.3869499117481221</c:v>
                </c:pt>
                <c:pt idx="26" formatCode="0.0">
                  <c:v>1.6435401182624083</c:v>
                </c:pt>
                <c:pt idx="27" formatCode="0.0">
                  <c:v>2.1415636688893058</c:v>
                </c:pt>
                <c:pt idx="28" formatCode="0.0">
                  <c:v>1.9133275314097997</c:v>
                </c:pt>
                <c:pt idx="29" formatCode="0.0">
                  <c:v>1.6305471390552395</c:v>
                </c:pt>
                <c:pt idx="30" formatCode="0.0">
                  <c:v>1.1552290156024361</c:v>
                </c:pt>
                <c:pt idx="31" formatCode="0.0">
                  <c:v>0.68918911477534661</c:v>
                </c:pt>
                <c:pt idx="32" formatCode="0.0">
                  <c:v>0.73197275335914391</c:v>
                </c:pt>
                <c:pt idx="33" formatCode="0.0">
                  <c:v>1.5240877130941981</c:v>
                </c:pt>
                <c:pt idx="34" formatCode="0.0">
                  <c:v>2.3319429463919739</c:v>
                </c:pt>
                <c:pt idx="35" formatCode="0.0">
                  <c:v>3.1982154781497321</c:v>
                </c:pt>
                <c:pt idx="36" formatCode="0.0">
                  <c:v>3.8079790645400542</c:v>
                </c:pt>
                <c:pt idx="37" formatCode="0.0">
                  <c:v>3.5626466388055089</c:v>
                </c:pt>
                <c:pt idx="38" formatCode="0.0">
                  <c:v>3.2669488466361769</c:v>
                </c:pt>
                <c:pt idx="39" formatCode="0.0">
                  <c:v>2.7156661085309906</c:v>
                </c:pt>
                <c:pt idx="40" formatCode="0.0">
                  <c:v>2.5060143939815367</c:v>
                </c:pt>
                <c:pt idx="41" formatCode="0.0">
                  <c:v>2.4571084581563793</c:v>
                </c:pt>
                <c:pt idx="42" formatCode="0.0">
                  <c:v>2.6351268807792216</c:v>
                </c:pt>
                <c:pt idx="43" formatCode="0.0">
                  <c:v>2.9488087852621985</c:v>
                </c:pt>
                <c:pt idx="44" formatCode="0.0">
                  <c:v>3.1711919877081081</c:v>
                </c:pt>
                <c:pt idx="45" formatCode="0.0">
                  <c:v>3.5604565251602209</c:v>
                </c:pt>
                <c:pt idx="46" formatCode="0.0">
                  <c:v>3.6902064476205494</c:v>
                </c:pt>
                <c:pt idx="47" formatCode="0.0">
                  <c:v>3.9515184073143188</c:v>
                </c:pt>
                <c:pt idx="48" formatCode="0.0">
                  <c:v>3.7079174065735745</c:v>
                </c:pt>
                <c:pt idx="49" formatCode="0.0">
                  <c:v>3.6841345387692184</c:v>
                </c:pt>
                <c:pt idx="50" formatCode="0.0">
                  <c:v>3.7869469732015704</c:v>
                </c:pt>
                <c:pt idx="51" formatCode="0.0">
                  <c:v>3.1018866074718336</c:v>
                </c:pt>
                <c:pt idx="52" formatCode="0.0">
                  <c:v>2.7431661644388137</c:v>
                </c:pt>
                <c:pt idx="53" formatCode="0.0">
                  <c:v>1.8614959725858311</c:v>
                </c:pt>
                <c:pt idx="54" formatCode="0.0">
                  <c:v>1.0893636691568767</c:v>
                </c:pt>
                <c:pt idx="55" formatCode="0.0">
                  <c:v>1.599545654277831</c:v>
                </c:pt>
                <c:pt idx="56" formatCode="0.0">
                  <c:v>2.3178029898281705</c:v>
                </c:pt>
                <c:pt idx="57" formatCode="0.0">
                  <c:v>3.2667972646931527</c:v>
                </c:pt>
                <c:pt idx="58" formatCode="0.0">
                  <c:v>4.050262500223285</c:v>
                </c:pt>
                <c:pt idx="59" formatCode="0.0">
                  <c:v>4.0756276570289076</c:v>
                </c:pt>
                <c:pt idx="60" formatCode="0.0">
                  <c:v>3.7848055044832236</c:v>
                </c:pt>
                <c:pt idx="61" formatCode="0.0">
                  <c:v>3.4823177802536227</c:v>
                </c:pt>
                <c:pt idx="62" formatCode="0.0">
                  <c:v>2.9687365113775011</c:v>
                </c:pt>
                <c:pt idx="63" formatCode="0.0">
                  <c:v>2.4453714664045036</c:v>
                </c:pt>
                <c:pt idx="64" formatCode="0.0">
                  <c:v>1.7946061516820777</c:v>
                </c:pt>
                <c:pt idx="65" formatCode="0.0">
                  <c:v>1.4686478040267059</c:v>
                </c:pt>
                <c:pt idx="66" formatCode="0.0">
                  <c:v>1.5900969134602723</c:v>
                </c:pt>
                <c:pt idx="67" formatCode="0.0">
                  <c:v>1.7938760353865646</c:v>
                </c:pt>
                <c:pt idx="68" formatCode="0.0">
                  <c:v>2.3210605396572439</c:v>
                </c:pt>
                <c:pt idx="69" formatCode="0.0">
                  <c:v>2.4445172604233076</c:v>
                </c:pt>
                <c:pt idx="70" formatCode="0.0">
                  <c:v>2.2831116644117269</c:v>
                </c:pt>
                <c:pt idx="71" formatCode="0.0">
                  <c:v>2.1005370491268076</c:v>
                </c:pt>
                <c:pt idx="72" formatCode="0.0">
                  <c:v>1.9039896187853615</c:v>
                </c:pt>
                <c:pt idx="73" formatCode="0.0">
                  <c:v>1.471216122113409</c:v>
                </c:pt>
                <c:pt idx="74" formatCode="0.0">
                  <c:v>1.0881238668589535</c:v>
                </c:pt>
                <c:pt idx="75" formatCode="0.0">
                  <c:v>0.70255417078575277</c:v>
                </c:pt>
                <c:pt idx="76" formatCode="0.0">
                  <c:v>3.8869695116601477E-4</c:v>
                </c:pt>
                <c:pt idx="77" formatCode="0.0">
                  <c:v>-0.49854844579289281</c:v>
                </c:pt>
                <c:pt idx="78" formatCode="0.0">
                  <c:v>-1.1694931771103363</c:v>
                </c:pt>
                <c:pt idx="79" formatCode="0.0">
                  <c:v>-1.9077803297645408</c:v>
                </c:pt>
                <c:pt idx="80" formatCode="0.0">
                  <c:v>-2.4640599886908467</c:v>
                </c:pt>
                <c:pt idx="81" formatCode="0.0">
                  <c:v>-2.4560965035395355</c:v>
                </c:pt>
                <c:pt idx="82" formatCode="0.0">
                  <c:v>-2.1515547823332701</c:v>
                </c:pt>
                <c:pt idx="83" formatCode="0.0">
                  <c:v>-1.7502956034830801</c:v>
                </c:pt>
                <c:pt idx="84" formatCode="0.0">
                  <c:v>-1.0206615769248777</c:v>
                </c:pt>
                <c:pt idx="85" formatCode="0.0">
                  <c:v>-0.58734195653865018</c:v>
                </c:pt>
                <c:pt idx="86" formatCode="0.0">
                  <c:v>-8.4962599056012279E-5</c:v>
                </c:pt>
                <c:pt idx="87" formatCode="0.0">
                  <c:v>0.73445335817710156</c:v>
                </c:pt>
                <c:pt idx="88" formatCode="0.0">
                  <c:v>1.2513740011883381</c:v>
                </c:pt>
                <c:pt idx="89" formatCode="0.0">
                  <c:v>1.5578551260479347</c:v>
                </c:pt>
                <c:pt idx="90" formatCode="0.0">
                  <c:v>1.6282946529052749</c:v>
                </c:pt>
                <c:pt idx="91" formatCode="0.0">
                  <c:v>1.4429671539626572</c:v>
                </c:pt>
                <c:pt idx="92" formatCode="0.0">
                  <c:v>1.3255384417935965</c:v>
                </c:pt>
                <c:pt idx="93" formatCode="0.0">
                  <c:v>1.2362078082948769</c:v>
                </c:pt>
                <c:pt idx="94" formatCode="0.0">
                  <c:v>1.0446025478204497</c:v>
                </c:pt>
                <c:pt idx="95" formatCode="0.0">
                  <c:v>1.0758802981964912</c:v>
                </c:pt>
                <c:pt idx="96" formatCode="0.0">
                  <c:v>0.45631926755499497</c:v>
                </c:pt>
                <c:pt idx="97" formatCode="0.0">
                  <c:v>-1.6658348127455811</c:v>
                </c:pt>
                <c:pt idx="98" formatCode="0.0">
                  <c:v>-2.6923399313274028</c:v>
                </c:pt>
                <c:pt idx="99" formatCode="0.0">
                  <c:v>-3.3104327648422216</c:v>
                </c:pt>
                <c:pt idx="100" formatCode="0.0">
                  <c:v>-2.962727089664698</c:v>
                </c:pt>
                <c:pt idx="101" formatCode="0.0">
                  <c:v>0.67932120782945526</c:v>
                </c:pt>
                <c:pt idx="102" formatCode="0.0">
                  <c:v>2.5934851306186122</c:v>
                </c:pt>
                <c:pt idx="103" formatCode="0.0">
                  <c:v>3.3491720046483167</c:v>
                </c:pt>
                <c:pt idx="104" formatCode="0.0">
                  <c:v>3.4438886644424906</c:v>
                </c:pt>
                <c:pt idx="105" formatCode="0.0">
                  <c:v>1.6824932208874483</c:v>
                </c:pt>
                <c:pt idx="106" formatCode="0.0">
                  <c:v>0.67537221842073214</c:v>
                </c:pt>
                <c:pt idx="107" formatCode="0.0">
                  <c:v>0.50295262777466709</c:v>
                </c:pt>
                <c:pt idx="108" formatCode="0.0">
                  <c:v>0.58576450374667333</c:v>
                </c:pt>
                <c:pt idx="109" formatCode="0.0">
                  <c:v>0.84688691963388363</c:v>
                </c:pt>
                <c:pt idx="110" formatCode="0.0">
                  <c:v>1.2639591468844336</c:v>
                </c:pt>
                <c:pt idx="111" formatCode="0.0">
                  <c:v>1.4917892739544896</c:v>
                </c:pt>
                <c:pt idx="112" formatCode="0.0">
                  <c:v>1.6416056610757361</c:v>
                </c:pt>
                <c:pt idx="113" formatCode="0.0">
                  <c:v>1.7344295160322725</c:v>
                </c:pt>
                <c:pt idx="114" formatCode="0.0">
                  <c:v>1.8375025146307848</c:v>
                </c:pt>
                <c:pt idx="115" formatCode="0.0">
                  <c:v>1.9741499557222011</c:v>
                </c:pt>
                <c:pt idx="116" formatCode="0.0">
                  <c:v>2.1162894560368413</c:v>
                </c:pt>
                <c:pt idx="117" formatCode="0.0">
                  <c:v>2.2301248090508263</c:v>
                </c:pt>
                <c:pt idx="118" formatCode="0.0">
                  <c:v>2.2986251352438321</c:v>
                </c:pt>
                <c:pt idx="119" formatCode="0.0">
                  <c:v>2.313015657479109</c:v>
                </c:pt>
                <c:pt idx="120" formatCode="0.0">
                  <c:v>2.2887237290681584</c:v>
                </c:pt>
                <c:pt idx="121" formatCode="0.0">
                  <c:v>2.2426706080633463</c:v>
                </c:pt>
                <c:pt idx="122" formatCode="0.0">
                  <c:v>2.1859736441200632</c:v>
                </c:pt>
                <c:pt idx="123" formatCode="0.0">
                  <c:v>2.1256846596450436</c:v>
                </c:pt>
                <c:pt idx="124" formatCode="0.0">
                  <c:v>2.0660620322605201</c:v>
                </c:pt>
                <c:pt idx="125" formatCode="0.0">
                  <c:v>2.0094944868869553</c:v>
                </c:pt>
                <c:pt idx="126" formatCode="0.0">
                  <c:v>1.9571352210257336</c:v>
                </c:pt>
                <c:pt idx="127" formatCode="0.0">
                  <c:v>1.9093680651474134</c:v>
                </c:pt>
                <c:pt idx="128" formatCode="0.0">
                  <c:v>1.8661062777725741</c:v>
                </c:pt>
                <c:pt idx="129" formatCode="0.0">
                  <c:v>1.8269690468709723</c:v>
                </c:pt>
                <c:pt idx="130" formatCode="0.0">
                  <c:v>1.7914215160562155</c:v>
                </c:pt>
                <c:pt idx="131" formatCode="0.0">
                  <c:v>1.758917131674824</c:v>
                </c:pt>
                <c:pt idx="132" formatCode="0.0">
                  <c:v>1.7289380120110598</c:v>
                </c:pt>
                <c:pt idx="133" formatCode="0.0">
                  <c:v>1.7009659784821713</c:v>
                </c:pt>
                <c:pt idx="134" formatCode="0.0">
                  <c:v>1.6745102308246103</c:v>
                </c:pt>
                <c:pt idx="135" formatCode="0.0">
                  <c:v>1.6491890146611297</c:v>
                </c:pt>
                <c:pt idx="136" formatCode="0.0">
                  <c:v>1.6247126455172392</c:v>
                </c:pt>
                <c:pt idx="137" formatCode="0.0">
                  <c:v>1.6008024925004449</c:v>
                </c:pt>
                <c:pt idx="138" formatCode="0.0">
                  <c:v>1.5772014624341215</c:v>
                </c:pt>
                <c:pt idx="139" formatCode="0.0">
                  <c:v>1.5537523850623478</c:v>
                </c:pt>
                <c:pt idx="140" formatCode="0.0">
                  <c:v>1.5303731624045376</c:v>
                </c:pt>
                <c:pt idx="141" formatCode="0.0">
                  <c:v>1.5069655668092556</c:v>
                </c:pt>
                <c:pt idx="142" formatCode="0.0">
                  <c:v>1.4834271769255079</c:v>
                </c:pt>
                <c:pt idx="143" formatCode="0.0">
                  <c:v>1.4597322739910126</c:v>
                </c:pt>
                <c:pt idx="144" formatCode="0.0">
                  <c:v>1.4359093430246346</c:v>
                </c:pt>
                <c:pt idx="145" formatCode="0.0">
                  <c:v>1.4119520511969756</c:v>
                </c:pt>
                <c:pt idx="146" formatCode="0.0">
                  <c:v>1.3878337612877203</c:v>
                </c:pt>
                <c:pt idx="147" formatCode="0.0">
                  <c:v>1.3635859505881764</c:v>
                </c:pt>
                <c:pt idx="148" formatCode="0.0">
                  <c:v>1.3392796627352022</c:v>
                </c:pt>
                <c:pt idx="149" formatCode="0.0">
                  <c:v>1.314944365797351</c:v>
                </c:pt>
                <c:pt idx="150" formatCode="0.0">
                  <c:v>1.2905831559709018</c:v>
                </c:pt>
                <c:pt idx="151" formatCode="0.0">
                  <c:v>1.2662433064093794</c:v>
                </c:pt>
                <c:pt idx="152" formatCode="0.0">
                  <c:v>1.2420016393916897</c:v>
                </c:pt>
                <c:pt idx="153" formatCode="0.0">
                  <c:v>1.2178947168836498</c:v>
                </c:pt>
                <c:pt idx="154" formatCode="0.0">
                  <c:v>1.1939330145515057</c:v>
                </c:pt>
                <c:pt idx="155" formatCode="0.0">
                  <c:v>1.170160464163011</c:v>
                </c:pt>
                <c:pt idx="156" formatCode="0.0">
                  <c:v>1.1466433051017975</c:v>
                </c:pt>
                <c:pt idx="157" formatCode="0.0">
                  <c:v>1.1234129737656935</c:v>
                </c:pt>
                <c:pt idx="158" formatCode="0.0">
                  <c:v>1.1004782626058447</c:v>
                </c:pt>
                <c:pt idx="159" formatCode="0.0">
                  <c:v>1.0778725016626076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7-4FCA-9C12-DF2C9DA92DD3}"/>
            </c:ext>
          </c:extLst>
        </c:ser>
        <c:ser>
          <c:idx val="1"/>
          <c:order val="1"/>
          <c:tx>
            <c:strRef>
              <c:f>Saídas!$Y$3</c:f>
              <c:strCache>
                <c:ptCount val="1"/>
                <c:pt idx="0">
                  <c:v>Indústria</c:v>
                </c:pt>
              </c:strCache>
            </c:strRef>
          </c:tx>
          <c:spPr>
            <a:solidFill>
              <a:srgbClr val="FF0000">
                <a:alpha val="70000"/>
              </a:srgbClr>
            </a:solidFill>
            <a:ln w="25400">
              <a:noFill/>
            </a:ln>
            <a:effectLst/>
          </c:spPr>
          <c:cat>
            <c:numRef>
              <c:f>Saídas!$A$4:$A$163</c:f>
              <c:numCache>
                <c:formatCode>mm/yyyy</c:formatCode>
                <c:ptCount val="160"/>
                <c:pt idx="0">
                  <c:v>35125</c:v>
                </c:pt>
                <c:pt idx="1">
                  <c:v>35246</c:v>
                </c:pt>
                <c:pt idx="2">
                  <c:v>35338</c:v>
                </c:pt>
                <c:pt idx="3">
                  <c:v>35430</c:v>
                </c:pt>
                <c:pt idx="4">
                  <c:v>35520</c:v>
                </c:pt>
                <c:pt idx="5">
                  <c:v>35611</c:v>
                </c:pt>
                <c:pt idx="6">
                  <c:v>35703</c:v>
                </c:pt>
                <c:pt idx="7">
                  <c:v>35795</c:v>
                </c:pt>
                <c:pt idx="8">
                  <c:v>35885</c:v>
                </c:pt>
                <c:pt idx="9">
                  <c:v>35976</c:v>
                </c:pt>
                <c:pt idx="10">
                  <c:v>36068</c:v>
                </c:pt>
                <c:pt idx="11">
                  <c:v>36160</c:v>
                </c:pt>
                <c:pt idx="12">
                  <c:v>36250</c:v>
                </c:pt>
                <c:pt idx="13">
                  <c:v>36341</c:v>
                </c:pt>
                <c:pt idx="14">
                  <c:v>36433</c:v>
                </c:pt>
                <c:pt idx="15">
                  <c:v>36525</c:v>
                </c:pt>
                <c:pt idx="16">
                  <c:v>36616</c:v>
                </c:pt>
                <c:pt idx="17">
                  <c:v>36707</c:v>
                </c:pt>
                <c:pt idx="18">
                  <c:v>36799</c:v>
                </c:pt>
                <c:pt idx="19">
                  <c:v>36891</c:v>
                </c:pt>
                <c:pt idx="20">
                  <c:v>36981</c:v>
                </c:pt>
                <c:pt idx="21">
                  <c:v>37072</c:v>
                </c:pt>
                <c:pt idx="22">
                  <c:v>37164</c:v>
                </c:pt>
                <c:pt idx="23">
                  <c:v>37256</c:v>
                </c:pt>
                <c:pt idx="24">
                  <c:v>37346</c:v>
                </c:pt>
                <c:pt idx="25">
                  <c:v>37437</c:v>
                </c:pt>
                <c:pt idx="26">
                  <c:v>37529</c:v>
                </c:pt>
                <c:pt idx="27">
                  <c:v>37621</c:v>
                </c:pt>
                <c:pt idx="28">
                  <c:v>37711</c:v>
                </c:pt>
                <c:pt idx="29">
                  <c:v>37802</c:v>
                </c:pt>
                <c:pt idx="30">
                  <c:v>37894</c:v>
                </c:pt>
                <c:pt idx="31">
                  <c:v>37986</c:v>
                </c:pt>
                <c:pt idx="32">
                  <c:v>38077</c:v>
                </c:pt>
                <c:pt idx="33">
                  <c:v>38168</c:v>
                </c:pt>
                <c:pt idx="34">
                  <c:v>38260</c:v>
                </c:pt>
                <c:pt idx="35">
                  <c:v>38352</c:v>
                </c:pt>
                <c:pt idx="36">
                  <c:v>38442</c:v>
                </c:pt>
                <c:pt idx="37">
                  <c:v>38533</c:v>
                </c:pt>
                <c:pt idx="38">
                  <c:v>38625</c:v>
                </c:pt>
                <c:pt idx="39">
                  <c:v>38717</c:v>
                </c:pt>
                <c:pt idx="40">
                  <c:v>38807</c:v>
                </c:pt>
                <c:pt idx="41">
                  <c:v>38898</c:v>
                </c:pt>
                <c:pt idx="42">
                  <c:v>38990</c:v>
                </c:pt>
                <c:pt idx="43">
                  <c:v>39082</c:v>
                </c:pt>
                <c:pt idx="44">
                  <c:v>39172</c:v>
                </c:pt>
                <c:pt idx="45">
                  <c:v>39263</c:v>
                </c:pt>
                <c:pt idx="46">
                  <c:v>39355</c:v>
                </c:pt>
                <c:pt idx="47">
                  <c:v>39447</c:v>
                </c:pt>
                <c:pt idx="48">
                  <c:v>39538</c:v>
                </c:pt>
                <c:pt idx="49">
                  <c:v>39629</c:v>
                </c:pt>
                <c:pt idx="50">
                  <c:v>39721</c:v>
                </c:pt>
                <c:pt idx="51">
                  <c:v>39813</c:v>
                </c:pt>
                <c:pt idx="52">
                  <c:v>39903</c:v>
                </c:pt>
                <c:pt idx="53">
                  <c:v>39994</c:v>
                </c:pt>
                <c:pt idx="54">
                  <c:v>40086</c:v>
                </c:pt>
                <c:pt idx="55">
                  <c:v>40178</c:v>
                </c:pt>
                <c:pt idx="56">
                  <c:v>40268</c:v>
                </c:pt>
                <c:pt idx="57">
                  <c:v>40359</c:v>
                </c:pt>
                <c:pt idx="58">
                  <c:v>40451</c:v>
                </c:pt>
                <c:pt idx="59">
                  <c:v>40543</c:v>
                </c:pt>
                <c:pt idx="60">
                  <c:v>40633</c:v>
                </c:pt>
                <c:pt idx="61">
                  <c:v>40724</c:v>
                </c:pt>
                <c:pt idx="62">
                  <c:v>40816</c:v>
                </c:pt>
                <c:pt idx="63">
                  <c:v>40908</c:v>
                </c:pt>
                <c:pt idx="64">
                  <c:v>40999</c:v>
                </c:pt>
                <c:pt idx="65">
                  <c:v>41090</c:v>
                </c:pt>
                <c:pt idx="66">
                  <c:v>41182</c:v>
                </c:pt>
                <c:pt idx="67">
                  <c:v>41274</c:v>
                </c:pt>
                <c:pt idx="68">
                  <c:v>41364</c:v>
                </c:pt>
                <c:pt idx="69">
                  <c:v>41455</c:v>
                </c:pt>
                <c:pt idx="70">
                  <c:v>41547</c:v>
                </c:pt>
                <c:pt idx="71">
                  <c:v>41639</c:v>
                </c:pt>
                <c:pt idx="72">
                  <c:v>41729</c:v>
                </c:pt>
                <c:pt idx="73">
                  <c:v>41820</c:v>
                </c:pt>
                <c:pt idx="74">
                  <c:v>41912</c:v>
                </c:pt>
                <c:pt idx="75">
                  <c:v>42004</c:v>
                </c:pt>
                <c:pt idx="76">
                  <c:v>42094</c:v>
                </c:pt>
                <c:pt idx="77">
                  <c:v>42185</c:v>
                </c:pt>
                <c:pt idx="78">
                  <c:v>42277</c:v>
                </c:pt>
                <c:pt idx="79">
                  <c:v>42369</c:v>
                </c:pt>
                <c:pt idx="80">
                  <c:v>42460</c:v>
                </c:pt>
                <c:pt idx="81">
                  <c:v>42551</c:v>
                </c:pt>
                <c:pt idx="82">
                  <c:v>42643</c:v>
                </c:pt>
                <c:pt idx="83">
                  <c:v>42735</c:v>
                </c:pt>
                <c:pt idx="84">
                  <c:v>42825</c:v>
                </c:pt>
                <c:pt idx="85">
                  <c:v>42916</c:v>
                </c:pt>
                <c:pt idx="86">
                  <c:v>43008</c:v>
                </c:pt>
                <c:pt idx="87">
                  <c:v>43100</c:v>
                </c:pt>
                <c:pt idx="88">
                  <c:v>43190</c:v>
                </c:pt>
                <c:pt idx="89">
                  <c:v>43281</c:v>
                </c:pt>
                <c:pt idx="90">
                  <c:v>43373</c:v>
                </c:pt>
                <c:pt idx="91">
                  <c:v>43465</c:v>
                </c:pt>
                <c:pt idx="92">
                  <c:v>43555</c:v>
                </c:pt>
                <c:pt idx="93">
                  <c:v>43646</c:v>
                </c:pt>
                <c:pt idx="94">
                  <c:v>43738</c:v>
                </c:pt>
                <c:pt idx="95">
                  <c:v>43830</c:v>
                </c:pt>
                <c:pt idx="96">
                  <c:v>43921</c:v>
                </c:pt>
                <c:pt idx="97">
                  <c:v>44012</c:v>
                </c:pt>
                <c:pt idx="98">
                  <c:v>44104</c:v>
                </c:pt>
                <c:pt idx="99">
                  <c:v>44196</c:v>
                </c:pt>
                <c:pt idx="100">
                  <c:v>44286</c:v>
                </c:pt>
                <c:pt idx="101">
                  <c:v>44377</c:v>
                </c:pt>
                <c:pt idx="102">
                  <c:v>44469</c:v>
                </c:pt>
                <c:pt idx="103">
                  <c:v>44561</c:v>
                </c:pt>
                <c:pt idx="104">
                  <c:v>44651</c:v>
                </c:pt>
                <c:pt idx="105">
                  <c:v>44742</c:v>
                </c:pt>
                <c:pt idx="106">
                  <c:v>44834</c:v>
                </c:pt>
                <c:pt idx="107">
                  <c:v>44926</c:v>
                </c:pt>
                <c:pt idx="108">
                  <c:v>45016</c:v>
                </c:pt>
                <c:pt idx="109">
                  <c:v>45107</c:v>
                </c:pt>
                <c:pt idx="110">
                  <c:v>45199</c:v>
                </c:pt>
                <c:pt idx="111">
                  <c:v>45291</c:v>
                </c:pt>
                <c:pt idx="112">
                  <c:v>45382</c:v>
                </c:pt>
                <c:pt idx="113">
                  <c:v>45473</c:v>
                </c:pt>
                <c:pt idx="114">
                  <c:v>45565</c:v>
                </c:pt>
                <c:pt idx="115">
                  <c:v>45657</c:v>
                </c:pt>
                <c:pt idx="116">
                  <c:v>45747</c:v>
                </c:pt>
                <c:pt idx="117">
                  <c:v>45838</c:v>
                </c:pt>
                <c:pt idx="118">
                  <c:v>45930</c:v>
                </c:pt>
                <c:pt idx="119">
                  <c:v>46022</c:v>
                </c:pt>
                <c:pt idx="120">
                  <c:v>46112</c:v>
                </c:pt>
                <c:pt idx="121">
                  <c:v>46203</c:v>
                </c:pt>
                <c:pt idx="122">
                  <c:v>46295</c:v>
                </c:pt>
                <c:pt idx="123">
                  <c:v>46387</c:v>
                </c:pt>
                <c:pt idx="124">
                  <c:v>46477</c:v>
                </c:pt>
                <c:pt idx="125">
                  <c:v>46568</c:v>
                </c:pt>
                <c:pt idx="126">
                  <c:v>46660</c:v>
                </c:pt>
                <c:pt idx="127">
                  <c:v>46752</c:v>
                </c:pt>
                <c:pt idx="128">
                  <c:v>46843</c:v>
                </c:pt>
                <c:pt idx="129">
                  <c:v>46934</c:v>
                </c:pt>
                <c:pt idx="130">
                  <c:v>47026</c:v>
                </c:pt>
                <c:pt idx="131">
                  <c:v>47118</c:v>
                </c:pt>
                <c:pt idx="132">
                  <c:v>47208</c:v>
                </c:pt>
                <c:pt idx="133">
                  <c:v>47299</c:v>
                </c:pt>
                <c:pt idx="134">
                  <c:v>47391</c:v>
                </c:pt>
                <c:pt idx="135">
                  <c:v>47483</c:v>
                </c:pt>
                <c:pt idx="136">
                  <c:v>47573</c:v>
                </c:pt>
                <c:pt idx="137">
                  <c:v>47664</c:v>
                </c:pt>
                <c:pt idx="138">
                  <c:v>47756</c:v>
                </c:pt>
                <c:pt idx="139">
                  <c:v>47848</c:v>
                </c:pt>
                <c:pt idx="140">
                  <c:v>47938</c:v>
                </c:pt>
                <c:pt idx="141">
                  <c:v>48029</c:v>
                </c:pt>
                <c:pt idx="142">
                  <c:v>48121</c:v>
                </c:pt>
                <c:pt idx="143">
                  <c:v>48213</c:v>
                </c:pt>
                <c:pt idx="144">
                  <c:v>48304</c:v>
                </c:pt>
                <c:pt idx="145">
                  <c:v>48395</c:v>
                </c:pt>
                <c:pt idx="146">
                  <c:v>48487</c:v>
                </c:pt>
                <c:pt idx="147">
                  <c:v>48579</c:v>
                </c:pt>
                <c:pt idx="148">
                  <c:v>48669</c:v>
                </c:pt>
                <c:pt idx="149">
                  <c:v>48760</c:v>
                </c:pt>
                <c:pt idx="150">
                  <c:v>48852</c:v>
                </c:pt>
                <c:pt idx="151">
                  <c:v>48944</c:v>
                </c:pt>
                <c:pt idx="152">
                  <c:v>49034</c:v>
                </c:pt>
                <c:pt idx="153">
                  <c:v>49125</c:v>
                </c:pt>
                <c:pt idx="154">
                  <c:v>49217</c:v>
                </c:pt>
                <c:pt idx="155">
                  <c:v>49309</c:v>
                </c:pt>
                <c:pt idx="156">
                  <c:v>49399</c:v>
                </c:pt>
                <c:pt idx="157">
                  <c:v>49490</c:v>
                </c:pt>
                <c:pt idx="158">
                  <c:v>49582</c:v>
                </c:pt>
                <c:pt idx="159">
                  <c:v>49674</c:v>
                </c:pt>
              </c:numCache>
            </c:numRef>
          </c:cat>
          <c:val>
            <c:numRef>
              <c:f>Saídas!$Y$4:$Y$163</c:f>
              <c:numCache>
                <c:formatCode>General</c:formatCode>
                <c:ptCount val="160"/>
                <c:pt idx="7" formatCode="0.0">
                  <c:v>1.1744466927552832</c:v>
                </c:pt>
                <c:pt idx="8" formatCode="0.0">
                  <c:v>0.83841043375340207</c:v>
                </c:pt>
                <c:pt idx="9" formatCode="0.0">
                  <c:v>0.42148157249807711</c:v>
                </c:pt>
                <c:pt idx="10" formatCode="0.0">
                  <c:v>0.21435350277302392</c:v>
                </c:pt>
                <c:pt idx="11" formatCode="0.0">
                  <c:v>-0.56664590159163164</c:v>
                </c:pt>
                <c:pt idx="12" formatCode="0.0">
                  <c:v>-0.72087992449551774</c:v>
                </c:pt>
                <c:pt idx="13" formatCode="0.0">
                  <c:v>-1.1060100939511339</c:v>
                </c:pt>
                <c:pt idx="14" formatCode="0.0">
                  <c:v>-1.1526466519447247</c:v>
                </c:pt>
                <c:pt idx="15" formatCode="0.0">
                  <c:v>-0.69177715110171367</c:v>
                </c:pt>
                <c:pt idx="16" formatCode="0.0">
                  <c:v>-0.24625613274532626</c:v>
                </c:pt>
                <c:pt idx="17" formatCode="0.0">
                  <c:v>0.40051600369071327</c:v>
                </c:pt>
                <c:pt idx="18" formatCode="0.0">
                  <c:v>0.9335539948058923</c:v>
                </c:pt>
                <c:pt idx="19" formatCode="0.0">
                  <c:v>1.1152768174510381</c:v>
                </c:pt>
                <c:pt idx="20" formatCode="0.0">
                  <c:v>1.1439414394382017</c:v>
                </c:pt>
                <c:pt idx="21" formatCode="0.0">
                  <c:v>0.88218120101027542</c:v>
                </c:pt>
                <c:pt idx="22" formatCode="0.0">
                  <c:v>0.39321318148621998</c:v>
                </c:pt>
                <c:pt idx="23" formatCode="0.0">
                  <c:v>-0.17276155911328239</c:v>
                </c:pt>
                <c:pt idx="24" formatCode="0.0">
                  <c:v>-0.47480573987109498</c:v>
                </c:pt>
                <c:pt idx="25" formatCode="0.0">
                  <c:v>-0.41739578617000789</c:v>
                </c:pt>
                <c:pt idx="26" formatCode="0.0">
                  <c:v>0.11751003614667169</c:v>
                </c:pt>
                <c:pt idx="27" formatCode="0.0">
                  <c:v>0.94946722864733535</c:v>
                </c:pt>
                <c:pt idx="28" formatCode="0.0">
                  <c:v>0.96497259851315886</c:v>
                </c:pt>
                <c:pt idx="29" formatCode="0.0">
                  <c:v>0.81297698375254257</c:v>
                </c:pt>
                <c:pt idx="30" formatCode="0.0">
                  <c:v>0.56834802578105592</c:v>
                </c:pt>
                <c:pt idx="31" formatCode="0.0">
                  <c:v>2.4730641800403109E-2</c:v>
                </c:pt>
                <c:pt idx="32" formatCode="0.0">
                  <c:v>0.5055467425355199</c:v>
                </c:pt>
                <c:pt idx="33" formatCode="0.0">
                  <c:v>1.0958634360618544</c:v>
                </c:pt>
                <c:pt idx="34" formatCode="0.0">
                  <c:v>1.5580698456718749</c:v>
                </c:pt>
                <c:pt idx="35" formatCode="0.0">
                  <c:v>2.0468781627263399</c:v>
                </c:pt>
                <c:pt idx="36" formatCode="0.0">
                  <c:v>1.9215366163715444</c:v>
                </c:pt>
                <c:pt idx="37" formatCode="0.0">
                  <c:v>1.6443296693642684</c:v>
                </c:pt>
                <c:pt idx="38" formatCode="0.0">
                  <c:v>0.98293149871789098</c:v>
                </c:pt>
                <c:pt idx="39" formatCode="0.0">
                  <c:v>0.51543377066868112</c:v>
                </c:pt>
                <c:pt idx="40" formatCode="0.0">
                  <c:v>0.34250192549016001</c:v>
                </c:pt>
                <c:pt idx="41" formatCode="0.0">
                  <c:v>8.9820637797548043E-3</c:v>
                </c:pt>
                <c:pt idx="42" formatCode="0.0">
                  <c:v>0.25570525288383905</c:v>
                </c:pt>
                <c:pt idx="43" formatCode="0.0">
                  <c:v>0.51227950431575375</c:v>
                </c:pt>
                <c:pt idx="44" formatCode="0.0">
                  <c:v>0.61457323632925076</c:v>
                </c:pt>
                <c:pt idx="45" formatCode="0.0">
                  <c:v>1.2087140955451476</c:v>
                </c:pt>
                <c:pt idx="46" formatCode="0.0">
                  <c:v>1.4845330927049394</c:v>
                </c:pt>
                <c:pt idx="47" formatCode="0.0">
                  <c:v>1.5338369008854453</c:v>
                </c:pt>
                <c:pt idx="48" formatCode="0.0">
                  <c:v>1.7505879312767141</c:v>
                </c:pt>
                <c:pt idx="49" formatCode="0.0">
                  <c:v>1.497183705502191</c:v>
                </c:pt>
                <c:pt idx="50" formatCode="0.0">
                  <c:v>1.4926396030140183</c:v>
                </c:pt>
                <c:pt idx="51" formatCode="0.0">
                  <c:v>1.0215061567417107</c:v>
                </c:pt>
                <c:pt idx="52" formatCode="0.0">
                  <c:v>-0.13788549958707641</c:v>
                </c:pt>
                <c:pt idx="53" formatCode="0.0">
                  <c:v>-0.85703110181353415</c:v>
                </c:pt>
                <c:pt idx="54" formatCode="0.0">
                  <c:v>-1.6624653795077535</c:v>
                </c:pt>
                <c:pt idx="55" formatCode="0.0">
                  <c:v>-1.166052542609828</c:v>
                </c:pt>
                <c:pt idx="56" formatCode="0.0">
                  <c:v>0.34220179535497924</c:v>
                </c:pt>
                <c:pt idx="57" formatCode="0.0">
                  <c:v>1.5103357550208194</c:v>
                </c:pt>
                <c:pt idx="58" formatCode="0.0">
                  <c:v>2.4327338358711366</c:v>
                </c:pt>
                <c:pt idx="59" formatCode="0.0">
                  <c:v>2.4086057186180434</c:v>
                </c:pt>
                <c:pt idx="60" formatCode="0.0">
                  <c:v>1.8519399846706532</c:v>
                </c:pt>
                <c:pt idx="61" formatCode="0.0">
                  <c:v>1.4852097242911317</c:v>
                </c:pt>
                <c:pt idx="62" formatCode="0.0">
                  <c:v>1.2237004612548565</c:v>
                </c:pt>
                <c:pt idx="63" formatCode="0.0">
                  <c:v>0.99889320816913163</c:v>
                </c:pt>
                <c:pt idx="64" formatCode="0.0">
                  <c:v>0.84282165753793348</c:v>
                </c:pt>
                <c:pt idx="65" formatCode="0.0">
                  <c:v>0.29792200511365002</c:v>
                </c:pt>
                <c:pt idx="66" formatCode="0.0">
                  <c:v>2.5070000811891681E-2</c:v>
                </c:pt>
                <c:pt idx="67" formatCode="0.0">
                  <c:v>-0.17225556538081624</c:v>
                </c:pt>
                <c:pt idx="68" formatCode="0.0">
                  <c:v>-0.36777020433784324</c:v>
                </c:pt>
                <c:pt idx="69" formatCode="0.0">
                  <c:v>6.7023753343165737E-2</c:v>
                </c:pt>
                <c:pt idx="70" formatCode="0.0">
                  <c:v>0.2735413509163761</c:v>
                </c:pt>
                <c:pt idx="71" formatCode="0.0">
                  <c:v>0.51625352900415766</c:v>
                </c:pt>
                <c:pt idx="72" formatCode="0.0">
                  <c:v>0.730864254751728</c:v>
                </c:pt>
                <c:pt idx="73" formatCode="0.0">
                  <c:v>0.33309747148257041</c:v>
                </c:pt>
                <c:pt idx="74" formatCode="0.0">
                  <c:v>-6.0764184520035333E-2</c:v>
                </c:pt>
                <c:pt idx="75" formatCode="0.0">
                  <c:v>-0.35813174659793984</c:v>
                </c:pt>
                <c:pt idx="76" formatCode="0.0">
                  <c:v>-0.73639825346009358</c:v>
                </c:pt>
                <c:pt idx="77" formatCode="0.0">
                  <c:v>-0.86356687978552937</c:v>
                </c:pt>
                <c:pt idx="78" formatCode="0.0">
                  <c:v>-0.98606311990773032</c:v>
                </c:pt>
                <c:pt idx="79" formatCode="0.0">
                  <c:v>-1.3402234021479547</c:v>
                </c:pt>
                <c:pt idx="80" formatCode="0.0">
                  <c:v>-1.5056979758769491</c:v>
                </c:pt>
                <c:pt idx="81" formatCode="0.0">
                  <c:v>-1.4611725830931199</c:v>
                </c:pt>
                <c:pt idx="82" formatCode="0.0">
                  <c:v>-1.3203956019048166</c:v>
                </c:pt>
                <c:pt idx="83" formatCode="0.0">
                  <c:v>-1.0326388109189428</c:v>
                </c:pt>
                <c:pt idx="84" formatCode="0.0">
                  <c:v>-0.78800510564548887</c:v>
                </c:pt>
                <c:pt idx="85" formatCode="0.0">
                  <c:v>-0.62843311816649106</c:v>
                </c:pt>
                <c:pt idx="86" formatCode="0.0">
                  <c:v>-0.44986887034293888</c:v>
                </c:pt>
                <c:pt idx="87" formatCode="0.0">
                  <c:v>-0.11487975310571234</c:v>
                </c:pt>
                <c:pt idx="88" formatCode="0.0">
                  <c:v>0.15544962011853672</c:v>
                </c:pt>
                <c:pt idx="89" formatCode="0.0">
                  <c:v>0.2500207891484944</c:v>
                </c:pt>
                <c:pt idx="90" formatCode="0.0">
                  <c:v>0.32993586391698149</c:v>
                </c:pt>
                <c:pt idx="91" formatCode="0.0">
                  <c:v>0.15511231560589825</c:v>
                </c:pt>
                <c:pt idx="92" formatCode="0.0">
                  <c:v>-8.1483955607361422E-2</c:v>
                </c:pt>
                <c:pt idx="93" formatCode="0.0">
                  <c:v>-7.3015084626687099E-2</c:v>
                </c:pt>
                <c:pt idx="94" formatCode="0.0">
                  <c:v>-0.16974719813789163</c:v>
                </c:pt>
                <c:pt idx="95" formatCode="0.0">
                  <c:v>-0.14463747647327163</c:v>
                </c:pt>
                <c:pt idx="96" formatCode="0.0">
                  <c:v>-7.494148810895114E-2</c:v>
                </c:pt>
                <c:pt idx="97" formatCode="0.0">
                  <c:v>-0.79427722338300255</c:v>
                </c:pt>
                <c:pt idx="98" formatCode="0.0">
                  <c:v>-0.77912410336655102</c:v>
                </c:pt>
                <c:pt idx="99" formatCode="0.0">
                  <c:v>-0.72052722934613467</c:v>
                </c:pt>
                <c:pt idx="100" formatCode="0.0">
                  <c:v>-0.48322456603138847</c:v>
                </c:pt>
                <c:pt idx="101" formatCode="0.0">
                  <c:v>0.96795058591029914</c:v>
                </c:pt>
                <c:pt idx="102" formatCode="0.0">
                  <c:v>1.0750735218856662</c:v>
                </c:pt>
                <c:pt idx="103" formatCode="0.0">
                  <c:v>0.97003398313354883</c:v>
                </c:pt>
                <c:pt idx="104" formatCode="0.0">
                  <c:v>0.65806347863967474</c:v>
                </c:pt>
                <c:pt idx="105" formatCode="0.0">
                  <c:v>-0.18939443794318164</c:v>
                </c:pt>
                <c:pt idx="106" formatCode="0.0">
                  <c:v>-0.34724550456316194</c:v>
                </c:pt>
                <c:pt idx="107" formatCode="0.0">
                  <c:v>-0.28909114373562494</c:v>
                </c:pt>
                <c:pt idx="108" formatCode="0.0">
                  <c:v>-0.18132042554508851</c:v>
                </c:pt>
                <c:pt idx="109" formatCode="0.0">
                  <c:v>-5.0884434174648149E-2</c:v>
                </c:pt>
                <c:pt idx="110" formatCode="0.0">
                  <c:v>7.6644969338168584E-2</c:v>
                </c:pt>
                <c:pt idx="111" formatCode="0.0">
                  <c:v>0.1210241008112351</c:v>
                </c:pt>
                <c:pt idx="112" formatCode="0.0">
                  <c:v>0.18393582061977268</c:v>
                </c:pt>
                <c:pt idx="113" formatCode="0.0">
                  <c:v>0.24572326734257233</c:v>
                </c:pt>
                <c:pt idx="114" formatCode="0.0">
                  <c:v>0.33391703979031029</c:v>
                </c:pt>
                <c:pt idx="115" formatCode="0.0">
                  <c:v>0.45216476358248031</c:v>
                </c:pt>
                <c:pt idx="116" formatCode="0.0">
                  <c:v>0.55193554164307179</c:v>
                </c:pt>
                <c:pt idx="117" formatCode="0.0">
                  <c:v>0.62350678016569372</c:v>
                </c:pt>
                <c:pt idx="118" formatCode="0.0">
                  <c:v>0.66260086167080468</c:v>
                </c:pt>
                <c:pt idx="119" formatCode="0.0">
                  <c:v>0.66674906847790105</c:v>
                </c:pt>
                <c:pt idx="120" formatCode="0.0">
                  <c:v>0.65974668585798635</c:v>
                </c:pt>
                <c:pt idx="121" formatCode="0.0">
                  <c:v>0.64647142962217741</c:v>
                </c:pt>
                <c:pt idx="122" formatCode="0.0">
                  <c:v>0.63012798301710882</c:v>
                </c:pt>
                <c:pt idx="123" formatCode="0.0">
                  <c:v>0.61274910185466636</c:v>
                </c:pt>
                <c:pt idx="124" formatCode="0.0">
                  <c:v>0.59556230454947012</c:v>
                </c:pt>
                <c:pt idx="125" formatCode="0.0">
                  <c:v>0.57925616409514646</c:v>
                </c:pt>
                <c:pt idx="126" formatCode="0.0">
                  <c:v>0.56416310079214349</c:v>
                </c:pt>
                <c:pt idx="127" formatCode="0.0">
                  <c:v>0.5503937574750245</c:v>
                </c:pt>
                <c:pt idx="128" formatCode="0.0">
                  <c:v>0.53792313007585613</c:v>
                </c:pt>
                <c:pt idx="129" formatCode="0.0">
                  <c:v>0.52664144585462602</c:v>
                </c:pt>
                <c:pt idx="130" formatCode="0.0">
                  <c:v>0.5163945273001439</c:v>
                </c:pt>
                <c:pt idx="131" formatCode="0.0">
                  <c:v>0.5070248250511955</c:v>
                </c:pt>
                <c:pt idx="132" formatCode="0.0">
                  <c:v>0.4983830547091011</c:v>
                </c:pt>
                <c:pt idx="133" formatCode="0.0">
                  <c:v>0.49031984630040332</c:v>
                </c:pt>
                <c:pt idx="134" formatCode="0.0">
                  <c:v>0.48269372191619569</c:v>
                </c:pt>
                <c:pt idx="135" formatCode="0.0">
                  <c:v>0.47539463717582936</c:v>
                </c:pt>
                <c:pt idx="136" formatCode="0.0">
                  <c:v>0.4683390877360108</c:v>
                </c:pt>
                <c:pt idx="137" formatCode="0.0">
                  <c:v>0.46144675555505582</c:v>
                </c:pt>
                <c:pt idx="138" formatCode="0.0">
                  <c:v>0.45464353104554522</c:v>
                </c:pt>
                <c:pt idx="139" formatCode="0.0">
                  <c:v>0.44788410836557263</c:v>
                </c:pt>
                <c:pt idx="140" formatCode="0.0">
                  <c:v>0.44114482198053345</c:v>
                </c:pt>
                <c:pt idx="141" formatCode="0.0">
                  <c:v>0.43439735682265529</c:v>
                </c:pt>
                <c:pt idx="142" formatCode="0.0">
                  <c:v>0.42761218894983249</c:v>
                </c:pt>
                <c:pt idx="143" formatCode="0.0">
                  <c:v>0.42078190468082471</c:v>
                </c:pt>
                <c:pt idx="144" formatCode="0.0">
                  <c:v>0.41391471509701389</c:v>
                </c:pt>
                <c:pt idx="145" formatCode="0.0">
                  <c:v>0.40700879469924206</c:v>
                </c:pt>
                <c:pt idx="146" formatCode="0.0">
                  <c:v>0.40005646505189613</c:v>
                </c:pt>
                <c:pt idx="147" formatCode="0.0">
                  <c:v>0.39306679978773224</c:v>
                </c:pt>
                <c:pt idx="148" formatCode="0.0">
                  <c:v>0.38606027792017372</c:v>
                </c:pt>
                <c:pt idx="149" formatCode="0.0">
                  <c:v>0.37904539390415826</c:v>
                </c:pt>
                <c:pt idx="150" formatCode="0.0">
                  <c:v>0.37202304024811023</c:v>
                </c:pt>
                <c:pt idx="151" formatCode="0.0">
                  <c:v>0.36500684389442006</c:v>
                </c:pt>
                <c:pt idx="152" formatCode="0.0">
                  <c:v>0.35801894960579678</c:v>
                </c:pt>
                <c:pt idx="153" formatCode="0.0">
                  <c:v>0.35106989672146777</c:v>
                </c:pt>
                <c:pt idx="154" formatCode="0.0">
                  <c:v>0.3441627049532564</c:v>
                </c:pt>
                <c:pt idx="155" formatCode="0.0">
                  <c:v>0.33731003805684723</c:v>
                </c:pt>
                <c:pt idx="156" formatCode="0.0">
                  <c:v>0.3305309901733558</c:v>
                </c:pt>
                <c:pt idx="157" formatCode="0.0">
                  <c:v>0.32383462314760963</c:v>
                </c:pt>
                <c:pt idx="158" formatCode="0.0">
                  <c:v>0.31722347148843139</c:v>
                </c:pt>
                <c:pt idx="159" formatCode="0.0">
                  <c:v>0.31070714290138168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7-4FCA-9C12-DF2C9DA92DD3}"/>
            </c:ext>
          </c:extLst>
        </c:ser>
        <c:ser>
          <c:idx val="0"/>
          <c:order val="2"/>
          <c:tx>
            <c:strRef>
              <c:f>Saídas!$X$3</c:f>
              <c:strCache>
                <c:ptCount val="1"/>
                <c:pt idx="0">
                  <c:v>Agropecuária</c:v>
                </c:pt>
              </c:strCache>
            </c:strRef>
          </c:tx>
          <c:spPr>
            <a:solidFill>
              <a:srgbClr val="0070C0">
                <a:alpha val="70000"/>
              </a:srgbClr>
            </a:solidFill>
            <a:ln w="25400">
              <a:noFill/>
            </a:ln>
            <a:effectLst/>
          </c:spPr>
          <c:cat>
            <c:numRef>
              <c:f>Saídas!$A$4:$A$163</c:f>
              <c:numCache>
                <c:formatCode>mm/yyyy</c:formatCode>
                <c:ptCount val="160"/>
                <c:pt idx="0">
                  <c:v>35125</c:v>
                </c:pt>
                <c:pt idx="1">
                  <c:v>35246</c:v>
                </c:pt>
                <c:pt idx="2">
                  <c:v>35338</c:v>
                </c:pt>
                <c:pt idx="3">
                  <c:v>35430</c:v>
                </c:pt>
                <c:pt idx="4">
                  <c:v>35520</c:v>
                </c:pt>
                <c:pt idx="5">
                  <c:v>35611</c:v>
                </c:pt>
                <c:pt idx="6">
                  <c:v>35703</c:v>
                </c:pt>
                <c:pt idx="7">
                  <c:v>35795</c:v>
                </c:pt>
                <c:pt idx="8">
                  <c:v>35885</c:v>
                </c:pt>
                <c:pt idx="9">
                  <c:v>35976</c:v>
                </c:pt>
                <c:pt idx="10">
                  <c:v>36068</c:v>
                </c:pt>
                <c:pt idx="11">
                  <c:v>36160</c:v>
                </c:pt>
                <c:pt idx="12">
                  <c:v>36250</c:v>
                </c:pt>
                <c:pt idx="13">
                  <c:v>36341</c:v>
                </c:pt>
                <c:pt idx="14">
                  <c:v>36433</c:v>
                </c:pt>
                <c:pt idx="15">
                  <c:v>36525</c:v>
                </c:pt>
                <c:pt idx="16">
                  <c:v>36616</c:v>
                </c:pt>
                <c:pt idx="17">
                  <c:v>36707</c:v>
                </c:pt>
                <c:pt idx="18">
                  <c:v>36799</c:v>
                </c:pt>
                <c:pt idx="19">
                  <c:v>36891</c:v>
                </c:pt>
                <c:pt idx="20">
                  <c:v>36981</c:v>
                </c:pt>
                <c:pt idx="21">
                  <c:v>37072</c:v>
                </c:pt>
                <c:pt idx="22">
                  <c:v>37164</c:v>
                </c:pt>
                <c:pt idx="23">
                  <c:v>37256</c:v>
                </c:pt>
                <c:pt idx="24">
                  <c:v>37346</c:v>
                </c:pt>
                <c:pt idx="25">
                  <c:v>37437</c:v>
                </c:pt>
                <c:pt idx="26">
                  <c:v>37529</c:v>
                </c:pt>
                <c:pt idx="27">
                  <c:v>37621</c:v>
                </c:pt>
                <c:pt idx="28">
                  <c:v>37711</c:v>
                </c:pt>
                <c:pt idx="29">
                  <c:v>37802</c:v>
                </c:pt>
                <c:pt idx="30">
                  <c:v>37894</c:v>
                </c:pt>
                <c:pt idx="31">
                  <c:v>37986</c:v>
                </c:pt>
                <c:pt idx="32">
                  <c:v>38077</c:v>
                </c:pt>
                <c:pt idx="33">
                  <c:v>38168</c:v>
                </c:pt>
                <c:pt idx="34">
                  <c:v>38260</c:v>
                </c:pt>
                <c:pt idx="35">
                  <c:v>38352</c:v>
                </c:pt>
                <c:pt idx="36">
                  <c:v>38442</c:v>
                </c:pt>
                <c:pt idx="37">
                  <c:v>38533</c:v>
                </c:pt>
                <c:pt idx="38">
                  <c:v>38625</c:v>
                </c:pt>
                <c:pt idx="39">
                  <c:v>38717</c:v>
                </c:pt>
                <c:pt idx="40">
                  <c:v>38807</c:v>
                </c:pt>
                <c:pt idx="41">
                  <c:v>38898</c:v>
                </c:pt>
                <c:pt idx="42">
                  <c:v>38990</c:v>
                </c:pt>
                <c:pt idx="43">
                  <c:v>39082</c:v>
                </c:pt>
                <c:pt idx="44">
                  <c:v>39172</c:v>
                </c:pt>
                <c:pt idx="45">
                  <c:v>39263</c:v>
                </c:pt>
                <c:pt idx="46">
                  <c:v>39355</c:v>
                </c:pt>
                <c:pt idx="47">
                  <c:v>39447</c:v>
                </c:pt>
                <c:pt idx="48">
                  <c:v>39538</c:v>
                </c:pt>
                <c:pt idx="49">
                  <c:v>39629</c:v>
                </c:pt>
                <c:pt idx="50">
                  <c:v>39721</c:v>
                </c:pt>
                <c:pt idx="51">
                  <c:v>39813</c:v>
                </c:pt>
                <c:pt idx="52">
                  <c:v>39903</c:v>
                </c:pt>
                <c:pt idx="53">
                  <c:v>39994</c:v>
                </c:pt>
                <c:pt idx="54">
                  <c:v>40086</c:v>
                </c:pt>
                <c:pt idx="55">
                  <c:v>40178</c:v>
                </c:pt>
                <c:pt idx="56">
                  <c:v>40268</c:v>
                </c:pt>
                <c:pt idx="57">
                  <c:v>40359</c:v>
                </c:pt>
                <c:pt idx="58">
                  <c:v>40451</c:v>
                </c:pt>
                <c:pt idx="59">
                  <c:v>40543</c:v>
                </c:pt>
                <c:pt idx="60">
                  <c:v>40633</c:v>
                </c:pt>
                <c:pt idx="61">
                  <c:v>40724</c:v>
                </c:pt>
                <c:pt idx="62">
                  <c:v>40816</c:v>
                </c:pt>
                <c:pt idx="63">
                  <c:v>40908</c:v>
                </c:pt>
                <c:pt idx="64">
                  <c:v>40999</c:v>
                </c:pt>
                <c:pt idx="65">
                  <c:v>41090</c:v>
                </c:pt>
                <c:pt idx="66">
                  <c:v>41182</c:v>
                </c:pt>
                <c:pt idx="67">
                  <c:v>41274</c:v>
                </c:pt>
                <c:pt idx="68">
                  <c:v>41364</c:v>
                </c:pt>
                <c:pt idx="69">
                  <c:v>41455</c:v>
                </c:pt>
                <c:pt idx="70">
                  <c:v>41547</c:v>
                </c:pt>
                <c:pt idx="71">
                  <c:v>41639</c:v>
                </c:pt>
                <c:pt idx="72">
                  <c:v>41729</c:v>
                </c:pt>
                <c:pt idx="73">
                  <c:v>41820</c:v>
                </c:pt>
                <c:pt idx="74">
                  <c:v>41912</c:v>
                </c:pt>
                <c:pt idx="75">
                  <c:v>42004</c:v>
                </c:pt>
                <c:pt idx="76">
                  <c:v>42094</c:v>
                </c:pt>
                <c:pt idx="77">
                  <c:v>42185</c:v>
                </c:pt>
                <c:pt idx="78">
                  <c:v>42277</c:v>
                </c:pt>
                <c:pt idx="79">
                  <c:v>42369</c:v>
                </c:pt>
                <c:pt idx="80">
                  <c:v>42460</c:v>
                </c:pt>
                <c:pt idx="81">
                  <c:v>42551</c:v>
                </c:pt>
                <c:pt idx="82">
                  <c:v>42643</c:v>
                </c:pt>
                <c:pt idx="83">
                  <c:v>42735</c:v>
                </c:pt>
                <c:pt idx="84">
                  <c:v>42825</c:v>
                </c:pt>
                <c:pt idx="85">
                  <c:v>42916</c:v>
                </c:pt>
                <c:pt idx="86">
                  <c:v>43008</c:v>
                </c:pt>
                <c:pt idx="87">
                  <c:v>43100</c:v>
                </c:pt>
                <c:pt idx="88">
                  <c:v>43190</c:v>
                </c:pt>
                <c:pt idx="89">
                  <c:v>43281</c:v>
                </c:pt>
                <c:pt idx="90">
                  <c:v>43373</c:v>
                </c:pt>
                <c:pt idx="91">
                  <c:v>43465</c:v>
                </c:pt>
                <c:pt idx="92">
                  <c:v>43555</c:v>
                </c:pt>
                <c:pt idx="93">
                  <c:v>43646</c:v>
                </c:pt>
                <c:pt idx="94">
                  <c:v>43738</c:v>
                </c:pt>
                <c:pt idx="95">
                  <c:v>43830</c:v>
                </c:pt>
                <c:pt idx="96">
                  <c:v>43921</c:v>
                </c:pt>
                <c:pt idx="97">
                  <c:v>44012</c:v>
                </c:pt>
                <c:pt idx="98">
                  <c:v>44104</c:v>
                </c:pt>
                <c:pt idx="99">
                  <c:v>44196</c:v>
                </c:pt>
                <c:pt idx="100">
                  <c:v>44286</c:v>
                </c:pt>
                <c:pt idx="101">
                  <c:v>44377</c:v>
                </c:pt>
                <c:pt idx="102">
                  <c:v>44469</c:v>
                </c:pt>
                <c:pt idx="103">
                  <c:v>44561</c:v>
                </c:pt>
                <c:pt idx="104">
                  <c:v>44651</c:v>
                </c:pt>
                <c:pt idx="105">
                  <c:v>44742</c:v>
                </c:pt>
                <c:pt idx="106">
                  <c:v>44834</c:v>
                </c:pt>
                <c:pt idx="107">
                  <c:v>44926</c:v>
                </c:pt>
                <c:pt idx="108">
                  <c:v>45016</c:v>
                </c:pt>
                <c:pt idx="109">
                  <c:v>45107</c:v>
                </c:pt>
                <c:pt idx="110">
                  <c:v>45199</c:v>
                </c:pt>
                <c:pt idx="111">
                  <c:v>45291</c:v>
                </c:pt>
                <c:pt idx="112">
                  <c:v>45382</c:v>
                </c:pt>
                <c:pt idx="113">
                  <c:v>45473</c:v>
                </c:pt>
                <c:pt idx="114">
                  <c:v>45565</c:v>
                </c:pt>
                <c:pt idx="115">
                  <c:v>45657</c:v>
                </c:pt>
                <c:pt idx="116">
                  <c:v>45747</c:v>
                </c:pt>
                <c:pt idx="117">
                  <c:v>45838</c:v>
                </c:pt>
                <c:pt idx="118">
                  <c:v>45930</c:v>
                </c:pt>
                <c:pt idx="119">
                  <c:v>46022</c:v>
                </c:pt>
                <c:pt idx="120">
                  <c:v>46112</c:v>
                </c:pt>
                <c:pt idx="121">
                  <c:v>46203</c:v>
                </c:pt>
                <c:pt idx="122">
                  <c:v>46295</c:v>
                </c:pt>
                <c:pt idx="123">
                  <c:v>46387</c:v>
                </c:pt>
                <c:pt idx="124">
                  <c:v>46477</c:v>
                </c:pt>
                <c:pt idx="125">
                  <c:v>46568</c:v>
                </c:pt>
                <c:pt idx="126">
                  <c:v>46660</c:v>
                </c:pt>
                <c:pt idx="127">
                  <c:v>46752</c:v>
                </c:pt>
                <c:pt idx="128">
                  <c:v>46843</c:v>
                </c:pt>
                <c:pt idx="129">
                  <c:v>46934</c:v>
                </c:pt>
                <c:pt idx="130">
                  <c:v>47026</c:v>
                </c:pt>
                <c:pt idx="131">
                  <c:v>47118</c:v>
                </c:pt>
                <c:pt idx="132">
                  <c:v>47208</c:v>
                </c:pt>
                <c:pt idx="133">
                  <c:v>47299</c:v>
                </c:pt>
                <c:pt idx="134">
                  <c:v>47391</c:v>
                </c:pt>
                <c:pt idx="135">
                  <c:v>47483</c:v>
                </c:pt>
                <c:pt idx="136">
                  <c:v>47573</c:v>
                </c:pt>
                <c:pt idx="137">
                  <c:v>47664</c:v>
                </c:pt>
                <c:pt idx="138">
                  <c:v>47756</c:v>
                </c:pt>
                <c:pt idx="139">
                  <c:v>47848</c:v>
                </c:pt>
                <c:pt idx="140">
                  <c:v>47938</c:v>
                </c:pt>
                <c:pt idx="141">
                  <c:v>48029</c:v>
                </c:pt>
                <c:pt idx="142">
                  <c:v>48121</c:v>
                </c:pt>
                <c:pt idx="143">
                  <c:v>48213</c:v>
                </c:pt>
                <c:pt idx="144">
                  <c:v>48304</c:v>
                </c:pt>
                <c:pt idx="145">
                  <c:v>48395</c:v>
                </c:pt>
                <c:pt idx="146">
                  <c:v>48487</c:v>
                </c:pt>
                <c:pt idx="147">
                  <c:v>48579</c:v>
                </c:pt>
                <c:pt idx="148">
                  <c:v>48669</c:v>
                </c:pt>
                <c:pt idx="149">
                  <c:v>48760</c:v>
                </c:pt>
                <c:pt idx="150">
                  <c:v>48852</c:v>
                </c:pt>
                <c:pt idx="151">
                  <c:v>48944</c:v>
                </c:pt>
                <c:pt idx="152">
                  <c:v>49034</c:v>
                </c:pt>
                <c:pt idx="153">
                  <c:v>49125</c:v>
                </c:pt>
                <c:pt idx="154">
                  <c:v>49217</c:v>
                </c:pt>
                <c:pt idx="155">
                  <c:v>49309</c:v>
                </c:pt>
                <c:pt idx="156">
                  <c:v>49399</c:v>
                </c:pt>
                <c:pt idx="157">
                  <c:v>49490</c:v>
                </c:pt>
                <c:pt idx="158">
                  <c:v>49582</c:v>
                </c:pt>
                <c:pt idx="159">
                  <c:v>49674</c:v>
                </c:pt>
              </c:numCache>
            </c:numRef>
          </c:cat>
          <c:val>
            <c:numRef>
              <c:f>Saídas!$X$4:$X$163</c:f>
              <c:numCache>
                <c:formatCode>General</c:formatCode>
                <c:ptCount val="160"/>
                <c:pt idx="7" formatCode="0.0">
                  <c:v>-1.2191460307862471E-2</c:v>
                </c:pt>
                <c:pt idx="8" formatCode="0.0">
                  <c:v>-0.13012778927892435</c:v>
                </c:pt>
                <c:pt idx="9" formatCode="0.0">
                  <c:v>-9.5548107705769204E-3</c:v>
                </c:pt>
                <c:pt idx="10" formatCode="0.0">
                  <c:v>4.9606984421259458E-2</c:v>
                </c:pt>
                <c:pt idx="11" formatCode="0.0">
                  <c:v>0.16119121483705348</c:v>
                </c:pt>
                <c:pt idx="12" formatCode="0.0">
                  <c:v>0.34750013414469921</c:v>
                </c:pt>
                <c:pt idx="13" formatCode="0.0">
                  <c:v>0.19410670000842722</c:v>
                </c:pt>
                <c:pt idx="14" formatCode="0.0">
                  <c:v>0.17508036327467938</c:v>
                </c:pt>
                <c:pt idx="15" formatCode="0.0">
                  <c:v>0.40192491762465749</c:v>
                </c:pt>
                <c:pt idx="16" formatCode="0.0">
                  <c:v>0.32330167665293558</c:v>
                </c:pt>
                <c:pt idx="17" formatCode="0.0">
                  <c:v>0.35837706070669012</c:v>
                </c:pt>
                <c:pt idx="18" formatCode="0.0">
                  <c:v>0.32316149887661083</c:v>
                </c:pt>
                <c:pt idx="19" formatCode="0.0">
                  <c:v>0.14447710625483848</c:v>
                </c:pt>
                <c:pt idx="20" formatCode="0.0">
                  <c:v>9.8494444246723295E-2</c:v>
                </c:pt>
                <c:pt idx="21" formatCode="0.0">
                  <c:v>9.3800763817895136E-2</c:v>
                </c:pt>
                <c:pt idx="22" formatCode="0.0">
                  <c:v>0.1614614512524587</c:v>
                </c:pt>
                <c:pt idx="23" formatCode="0.0">
                  <c:v>0.35084755052893829</c:v>
                </c:pt>
                <c:pt idx="24" formatCode="0.0">
                  <c:v>0.38429138911616567</c:v>
                </c:pt>
                <c:pt idx="25" formatCode="0.0">
                  <c:v>0.44504842635470337</c:v>
                </c:pt>
                <c:pt idx="26" formatCode="0.0">
                  <c:v>0.53963012232748009</c:v>
                </c:pt>
                <c:pt idx="27" formatCode="0.0">
                  <c:v>0.5295135351878677</c:v>
                </c:pt>
                <c:pt idx="28" formatCode="0.0">
                  <c:v>0.70245864870018815</c:v>
                </c:pt>
                <c:pt idx="29" formatCode="0.0">
                  <c:v>0.79793341218517833</c:v>
                </c:pt>
                <c:pt idx="30" formatCode="0.0">
                  <c:v>0.64106948666023333</c:v>
                </c:pt>
                <c:pt idx="31" formatCode="0.0">
                  <c:v>0.49856440064218172</c:v>
                </c:pt>
                <c:pt idx="32" formatCode="0.0">
                  <c:v>0.25512707345557512</c:v>
                </c:pt>
                <c:pt idx="33" formatCode="0.0">
                  <c:v>8.4177173699154811E-2</c:v>
                </c:pt>
                <c:pt idx="34" formatCode="0.0">
                  <c:v>0.12927553850922993</c:v>
                </c:pt>
                <c:pt idx="35" formatCode="0.0">
                  <c:v>0.14123922036027983</c:v>
                </c:pt>
                <c:pt idx="36" formatCode="0.0">
                  <c:v>0.19607839894969872</c:v>
                </c:pt>
                <c:pt idx="37" formatCode="0.0">
                  <c:v>0.21057537441609808</c:v>
                </c:pt>
                <c:pt idx="38" formatCode="0.0">
                  <c:v>9.0135376865341066E-2</c:v>
                </c:pt>
                <c:pt idx="39" formatCode="0.0">
                  <c:v>5.7442975770864366E-2</c:v>
                </c:pt>
                <c:pt idx="40" formatCode="0.0">
                  <c:v>1.7311209655065683E-2</c:v>
                </c:pt>
                <c:pt idx="41" formatCode="0.0">
                  <c:v>-1.8158410847109997E-2</c:v>
                </c:pt>
                <c:pt idx="42" formatCode="0.0">
                  <c:v>0.18434680897868921</c:v>
                </c:pt>
                <c:pt idx="43" formatCode="0.0">
                  <c:v>0.34527221301933309</c:v>
                </c:pt>
                <c:pt idx="44" formatCode="0.0">
                  <c:v>0.40457092026191327</c:v>
                </c:pt>
                <c:pt idx="45" formatCode="0.0">
                  <c:v>0.41151037295877135</c:v>
                </c:pt>
                <c:pt idx="46" formatCode="0.0">
                  <c:v>0.31941379660268221</c:v>
                </c:pt>
                <c:pt idx="47" formatCode="0.0">
                  <c:v>0.2258104236927983</c:v>
                </c:pt>
                <c:pt idx="48" formatCode="0.0">
                  <c:v>0.24062693642731436</c:v>
                </c:pt>
                <c:pt idx="49" formatCode="0.0">
                  <c:v>0.39868564599163159</c:v>
                </c:pt>
                <c:pt idx="50" formatCode="0.0">
                  <c:v>0.41235518624446699</c:v>
                </c:pt>
                <c:pt idx="51" formatCode="0.0">
                  <c:v>0.36188078574056892</c:v>
                </c:pt>
                <c:pt idx="52" formatCode="0.0">
                  <c:v>0.24553118764725915</c:v>
                </c:pt>
                <c:pt idx="53" formatCode="0.0">
                  <c:v>-2.7581701804701413E-2</c:v>
                </c:pt>
                <c:pt idx="54" formatCode="0.0">
                  <c:v>-0.22742818551626406</c:v>
                </c:pt>
                <c:pt idx="55" formatCode="0.0">
                  <c:v>-0.2205998403099925</c:v>
                </c:pt>
                <c:pt idx="56" formatCode="0.0">
                  <c:v>-9.4937551394260536E-2</c:v>
                </c:pt>
                <c:pt idx="57" formatCode="0.0">
                  <c:v>0.1620755858809983</c:v>
                </c:pt>
                <c:pt idx="58" formatCode="0.0">
                  <c:v>0.38328284538497231</c:v>
                </c:pt>
                <c:pt idx="59" formatCode="0.0">
                  <c:v>0.42001200332796251</c:v>
                </c:pt>
                <c:pt idx="60" formatCode="0.0">
                  <c:v>0.38556484353625115</c:v>
                </c:pt>
                <c:pt idx="61" formatCode="0.0">
                  <c:v>0.24107406050931537</c:v>
                </c:pt>
                <c:pt idx="62" formatCode="0.0">
                  <c:v>0.27640482760469715</c:v>
                </c:pt>
                <c:pt idx="63" formatCode="0.0">
                  <c:v>0.40467280807318406</c:v>
                </c:pt>
                <c:pt idx="64" formatCode="0.0">
                  <c:v>0.13369351301984642</c:v>
                </c:pt>
                <c:pt idx="65" formatCode="0.0">
                  <c:v>0.11474309422404334</c:v>
                </c:pt>
                <c:pt idx="66" formatCode="0.0">
                  <c:v>7.6980064377666413E-2</c:v>
                </c:pt>
                <c:pt idx="67" formatCode="0.0">
                  <c:v>-0.18832625665789265</c:v>
                </c:pt>
                <c:pt idx="68" formatCode="0.0">
                  <c:v>0.28242234248302789</c:v>
                </c:pt>
                <c:pt idx="69" formatCode="0.0">
                  <c:v>0.44423825266273931</c:v>
                </c:pt>
                <c:pt idx="70" formatCode="0.0">
                  <c:v>0.32414864739750215</c:v>
                </c:pt>
                <c:pt idx="71" formatCode="0.0">
                  <c:v>0.48981324255807585</c:v>
                </c:pt>
                <c:pt idx="72" formatCode="0.0">
                  <c:v>0.30095469735360431</c:v>
                </c:pt>
                <c:pt idx="73" formatCode="0.0">
                  <c:v>0.14512982242158826</c:v>
                </c:pt>
                <c:pt idx="74" formatCode="0.0">
                  <c:v>0.21039777222667477</c:v>
                </c:pt>
                <c:pt idx="75" formatCode="0.0">
                  <c:v>0.19013388860414818</c:v>
                </c:pt>
                <c:pt idx="76" formatCode="0.0">
                  <c:v>0.19833808389433474</c:v>
                </c:pt>
                <c:pt idx="77" formatCode="0.0">
                  <c:v>0.26764029521784582</c:v>
                </c:pt>
                <c:pt idx="78" formatCode="0.0">
                  <c:v>0.24745088950943031</c:v>
                </c:pt>
                <c:pt idx="79" formatCode="0.0">
                  <c:v>0.19593265038656021</c:v>
                </c:pt>
                <c:pt idx="80" formatCode="0.0">
                  <c:v>-4.9380061361763698E-2</c:v>
                </c:pt>
                <c:pt idx="81" formatCode="0.0">
                  <c:v>-0.219785109469985</c:v>
                </c:pt>
                <c:pt idx="82" formatCode="0.0">
                  <c:v>-0.30258654676457958</c:v>
                </c:pt>
                <c:pt idx="83" formatCode="0.0">
                  <c:v>-0.33700140373951043</c:v>
                </c:pt>
                <c:pt idx="84" formatCode="0.0">
                  <c:v>0.14934388667362636</c:v>
                </c:pt>
                <c:pt idx="85" formatCode="0.0">
                  <c:v>0.52277932863176768</c:v>
                </c:pt>
                <c:pt idx="86" formatCode="0.0">
                  <c:v>0.78417444553204563</c:v>
                </c:pt>
                <c:pt idx="87" formatCode="0.0">
                  <c:v>0.92510780334035314</c:v>
                </c:pt>
                <c:pt idx="88" formatCode="0.0">
                  <c:v>0.51798674596194805</c:v>
                </c:pt>
                <c:pt idx="89" formatCode="0.0">
                  <c:v>0.2588824006525135</c:v>
                </c:pt>
                <c:pt idx="90" formatCode="0.0">
                  <c:v>0.16382194734965341</c:v>
                </c:pt>
                <c:pt idx="91" formatCode="0.0">
                  <c:v>0.16272225595691236</c:v>
                </c:pt>
                <c:pt idx="92" formatCode="0.0">
                  <c:v>0.22620603727605676</c:v>
                </c:pt>
                <c:pt idx="93" formatCode="0.0">
                  <c:v>0.23267963246645695</c:v>
                </c:pt>
                <c:pt idx="94" formatCode="0.0">
                  <c:v>0.15994404540526583</c:v>
                </c:pt>
                <c:pt idx="95" formatCode="0.0">
                  <c:v>3.2876134912822291E-2</c:v>
                </c:pt>
                <c:pt idx="96" formatCode="0.0">
                  <c:v>0.12663342609542197</c:v>
                </c:pt>
                <c:pt idx="97" formatCode="0.0">
                  <c:v>0.20131233465074805</c:v>
                </c:pt>
                <c:pt idx="98" formatCode="0.0">
                  <c:v>0.22378841839320979</c:v>
                </c:pt>
                <c:pt idx="99" formatCode="0.0">
                  <c:v>0.27529236077757469</c:v>
                </c:pt>
                <c:pt idx="100" formatCode="0.0">
                  <c:v>0.2896783222133878</c:v>
                </c:pt>
                <c:pt idx="101" formatCode="0.0">
                  <c:v>0.20920554785508888</c:v>
                </c:pt>
                <c:pt idx="102" formatCode="0.0">
                  <c:v>-1.5247438672799566E-2</c:v>
                </c:pt>
                <c:pt idx="103" formatCode="0.0">
                  <c:v>-0.10539887952899139</c:v>
                </c:pt>
                <c:pt idx="104" formatCode="0.0">
                  <c:v>-0.30390429994940193</c:v>
                </c:pt>
                <c:pt idx="105" formatCode="0.0">
                  <c:v>-0.33102916403103999</c:v>
                </c:pt>
                <c:pt idx="106" formatCode="0.0">
                  <c:v>-2.2125302961189049E-3</c:v>
                </c:pt>
                <c:pt idx="107" formatCode="0.0">
                  <c:v>0.11775726467386748</c:v>
                </c:pt>
                <c:pt idx="108" formatCode="0.0">
                  <c:v>0.26399996249577734</c:v>
                </c:pt>
                <c:pt idx="109" formatCode="0.0">
                  <c:v>0.36711070487557368</c:v>
                </c:pt>
                <c:pt idx="110" formatCode="0.0">
                  <c:v>0.28056814730698604</c:v>
                </c:pt>
                <c:pt idx="111" formatCode="0.0">
                  <c:v>0.27620622642127962</c:v>
                </c:pt>
                <c:pt idx="112" formatCode="0.0">
                  <c:v>0.28621349970032006</c:v>
                </c:pt>
                <c:pt idx="113" formatCode="0.0">
                  <c:v>0.27640692700667646</c:v>
                </c:pt>
                <c:pt idx="114" formatCode="0.0">
                  <c:v>0.27003762544164611</c:v>
                </c:pt>
                <c:pt idx="115" formatCode="0.0">
                  <c:v>0.2632380066937306</c:v>
                </c:pt>
                <c:pt idx="116" formatCode="0.0">
                  <c:v>0.26195377497315075</c:v>
                </c:pt>
                <c:pt idx="117" formatCode="0.0">
                  <c:v>0.26351532981617964</c:v>
                </c:pt>
                <c:pt idx="118" formatCode="0.0">
                  <c:v>0.26567927771367988</c:v>
                </c:pt>
                <c:pt idx="119" formatCode="0.0">
                  <c:v>0.26734256047117233</c:v>
                </c:pt>
                <c:pt idx="120" formatCode="0.0">
                  <c:v>0.264534855162667</c:v>
                </c:pt>
                <c:pt idx="121" formatCode="0.0">
                  <c:v>0.25921195159851518</c:v>
                </c:pt>
                <c:pt idx="122" formatCode="0.0">
                  <c:v>0.25265881329073114</c:v>
                </c:pt>
                <c:pt idx="123" formatCode="0.0">
                  <c:v>0.24569050271071452</c:v>
                </c:pt>
                <c:pt idx="124" formatCode="0.0">
                  <c:v>0.23879921089629966</c:v>
                </c:pt>
                <c:pt idx="125" formatCode="0.0">
                  <c:v>0.23226103102240678</c:v>
                </c:pt>
                <c:pt idx="126" formatCode="0.0">
                  <c:v>0.22620925175559831</c:v>
                </c:pt>
                <c:pt idx="127" formatCode="0.0">
                  <c:v>0.22068823692042397</c:v>
                </c:pt>
                <c:pt idx="128" formatCode="0.0">
                  <c:v>0.21568796077877567</c:v>
                </c:pt>
                <c:pt idx="129" formatCode="0.0">
                  <c:v>0.21116440838294318</c:v>
                </c:pt>
                <c:pt idx="130" formatCode="0.0">
                  <c:v>0.20705576005809781</c:v>
                </c:pt>
                <c:pt idx="131" formatCode="0.0">
                  <c:v>0.20329884413798258</c:v>
                </c:pt>
                <c:pt idx="132" formatCode="0.0">
                  <c:v>0.19983380291110278</c:v>
                </c:pt>
                <c:pt idx="133" formatCode="0.0">
                  <c:v>0.19660074435353464</c:v>
                </c:pt>
                <c:pt idx="134" formatCode="0.0">
                  <c:v>0.19354294087733256</c:v>
                </c:pt>
                <c:pt idx="135" formatCode="0.0">
                  <c:v>0.19061626861659589</c:v>
                </c:pt>
                <c:pt idx="136" formatCode="0.0">
                  <c:v>0.18778724531240681</c:v>
                </c:pt>
                <c:pt idx="137" formatCode="0.0">
                  <c:v>0.18502366629896902</c:v>
                </c:pt>
                <c:pt idx="138" formatCode="0.0">
                  <c:v>0.18229581627889191</c:v>
                </c:pt>
                <c:pt idx="139" formatCode="0.0">
                  <c:v>0.17958552922787929</c:v>
                </c:pt>
                <c:pt idx="140" formatCode="0.0">
                  <c:v>0.17688331611187544</c:v>
                </c:pt>
                <c:pt idx="141" formatCode="0.0">
                  <c:v>0.17417782360010445</c:v>
                </c:pt>
                <c:pt idx="142" formatCode="0.0">
                  <c:v>0.17145721364636526</c:v>
                </c:pt>
                <c:pt idx="143" formatCode="0.0">
                  <c:v>0.16871851362929347</c:v>
                </c:pt>
                <c:pt idx="144" formatCode="0.0">
                  <c:v>0.16596501589922669</c:v>
                </c:pt>
                <c:pt idx="145" formatCode="0.0">
                  <c:v>0.163195988496212</c:v>
                </c:pt>
                <c:pt idx="146" formatCode="0.0">
                  <c:v>0.16040835264183562</c:v>
                </c:pt>
                <c:pt idx="147" formatCode="0.0">
                  <c:v>0.15760574653872911</c:v>
                </c:pt>
                <c:pt idx="148" formatCode="0.0">
                  <c:v>0.15479638153977004</c:v>
                </c:pt>
                <c:pt idx="149" formatCode="0.0">
                  <c:v>0.15198366361797089</c:v>
                </c:pt>
                <c:pt idx="150" formatCode="0.0">
                  <c:v>0.14916795063733435</c:v>
                </c:pt>
                <c:pt idx="151" formatCode="0.0">
                  <c:v>0.1463547065150034</c:v>
                </c:pt>
                <c:pt idx="152" formatCode="0.0">
                  <c:v>0.14355281050982774</c:v>
                </c:pt>
                <c:pt idx="153" formatCode="0.0">
                  <c:v>0.14076648852037793</c:v>
                </c:pt>
                <c:pt idx="154" formatCode="0.0">
                  <c:v>0.13799695134322787</c:v>
                </c:pt>
                <c:pt idx="155" formatCode="0.0">
                  <c:v>0.1352492766920671</c:v>
                </c:pt>
                <c:pt idx="156" formatCode="0.0">
                  <c:v>0.13253112063544756</c:v>
                </c:pt>
                <c:pt idx="157" formatCode="0.0">
                  <c:v>0.12984611664945842</c:v>
                </c:pt>
                <c:pt idx="158" formatCode="0.0">
                  <c:v>0.12719528098160701</c:v>
                </c:pt>
                <c:pt idx="159" formatCode="0.0">
                  <c:v>0.12458246597863865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E7-4FCA-9C12-DF2C9DA92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0568223"/>
        <c:axId val="1650565727"/>
      </c:areaChart>
      <c:lineChart>
        <c:grouping val="standard"/>
        <c:varyColors val="0"/>
        <c:ser>
          <c:idx val="3"/>
          <c:order val="3"/>
          <c:tx>
            <c:strRef>
              <c:f>Saídas!$AA$3</c:f>
              <c:strCache>
                <c:ptCount val="1"/>
                <c:pt idx="0">
                  <c:v>PIBVA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Saídas!$AA$4:$AA$163</c:f>
              <c:numCache>
                <c:formatCode>General</c:formatCode>
                <c:ptCount val="160"/>
                <c:pt idx="7" formatCode="0.0">
                  <c:v>3.2223383484887291</c:v>
                </c:pt>
                <c:pt idx="8" formatCode="0.0">
                  <c:v>2.4965978669933442</c:v>
                </c:pt>
                <c:pt idx="9" formatCode="0.0">
                  <c:v>2.0232493547223562</c:v>
                </c:pt>
                <c:pt idx="10" formatCode="0.0">
                  <c:v>1.9989311489675643</c:v>
                </c:pt>
                <c:pt idx="11" formatCode="0.0">
                  <c:v>0.63491908521979834</c:v>
                </c:pt>
                <c:pt idx="12" formatCode="0.0">
                  <c:v>0.8065831371583787</c:v>
                </c:pt>
                <c:pt idx="13" formatCode="0.0">
                  <c:v>0.3464442900836584</c:v>
                </c:pt>
                <c:pt idx="14" formatCode="0.0">
                  <c:v>0.12801122908121521</c:v>
                </c:pt>
                <c:pt idx="15" formatCode="0.0">
                  <c:v>0.97154817419131678</c:v>
                </c:pt>
                <c:pt idx="16" formatCode="0.0">
                  <c:v>1.153549694206002</c:v>
                </c:pt>
                <c:pt idx="17" formatCode="0.0">
                  <c:v>1.9994911465614607</c:v>
                </c:pt>
                <c:pt idx="18" formatCode="0.0">
                  <c:v>3.1613562474756218</c:v>
                </c:pt>
                <c:pt idx="19" formatCode="0.0">
                  <c:v>3.7756717534663808</c:v>
                </c:pt>
                <c:pt idx="20" formatCode="0.0">
                  <c:v>4.1341340556116934</c:v>
                </c:pt>
                <c:pt idx="21" formatCode="0.0">
                  <c:v>3.88675224026509</c:v>
                </c:pt>
                <c:pt idx="22" formatCode="0.0">
                  <c:v>2.9393265133088819</c:v>
                </c:pt>
                <c:pt idx="23" formatCode="0.0">
                  <c:v>1.6705391558603511</c:v>
                </c:pt>
                <c:pt idx="24" formatCode="0.0">
                  <c:v>1.2365091870944589</c:v>
                </c:pt>
                <c:pt idx="25" formatCode="0.0">
                  <c:v>1.3017339787461335</c:v>
                </c:pt>
                <c:pt idx="26" formatCode="0.0">
                  <c:v>2.1340887745137538</c:v>
                </c:pt>
                <c:pt idx="27" formatCode="0.0">
                  <c:v>3.5562521794246127</c:v>
                </c:pt>
                <c:pt idx="28" formatCode="0.0">
                  <c:v>3.6676385228787467</c:v>
                </c:pt>
                <c:pt idx="29" formatCode="0.0">
                  <c:v>3.2337337014313183</c:v>
                </c:pt>
                <c:pt idx="30" formatCode="0.0">
                  <c:v>2.4152243560321418</c:v>
                </c:pt>
                <c:pt idx="31" formatCode="0.0">
                  <c:v>1.2472629831023152</c:v>
                </c:pt>
                <c:pt idx="32" formatCode="0.0">
                  <c:v>1.3404065144611454</c:v>
                </c:pt>
                <c:pt idx="33" formatCode="0.0">
                  <c:v>2.6222496256338879</c:v>
                </c:pt>
                <c:pt idx="34" formatCode="0.0">
                  <c:v>3.9432138145117923</c:v>
                </c:pt>
                <c:pt idx="35" formatCode="0.0">
                  <c:v>5.3307712016895215</c:v>
                </c:pt>
                <c:pt idx="36" formatCode="0.0">
                  <c:v>5.9873092719183729</c:v>
                </c:pt>
                <c:pt idx="37" formatCode="0.0">
                  <c:v>5.5008824051459904</c:v>
                </c:pt>
                <c:pt idx="38" formatCode="0.0">
                  <c:v>4.3913402122499612</c:v>
                </c:pt>
                <c:pt idx="39" formatCode="0.0">
                  <c:v>3.411255772552102</c:v>
                </c:pt>
                <c:pt idx="40" formatCode="0.0">
                  <c:v>2.9238392583651462</c:v>
                </c:pt>
                <c:pt idx="41" formatCode="0.0">
                  <c:v>2.3054967283916872</c:v>
                </c:pt>
                <c:pt idx="42" formatCode="0.0">
                  <c:v>2.981969464620593</c:v>
                </c:pt>
                <c:pt idx="43" formatCode="0.0">
                  <c:v>3.6838347356415779</c:v>
                </c:pt>
                <c:pt idx="44" formatCode="0.0">
                  <c:v>4.100048045607374</c:v>
                </c:pt>
                <c:pt idx="45" formatCode="0.0">
                  <c:v>5.2539201963965221</c:v>
                </c:pt>
                <c:pt idx="46" formatCode="0.0">
                  <c:v>5.5537640800440879</c:v>
                </c:pt>
                <c:pt idx="47" formatCode="0.0">
                  <c:v>5.7098598160113312</c:v>
                </c:pt>
                <c:pt idx="48" formatCode="0.0">
                  <c:v>5.6351947555193016</c:v>
                </c:pt>
                <c:pt idx="49" formatCode="0.0">
                  <c:v>5.5347051120754331</c:v>
                </c:pt>
                <c:pt idx="50" formatCode="0.0">
                  <c:v>5.5899136114371029</c:v>
                </c:pt>
                <c:pt idx="51" formatCode="0.0">
                  <c:v>4.3696489513719072</c:v>
                </c:pt>
                <c:pt idx="52" formatCode="0.0">
                  <c:v>2.8590929085786643</c:v>
                </c:pt>
                <c:pt idx="53" formatCode="0.0">
                  <c:v>0.85986728107632082</c:v>
                </c:pt>
                <c:pt idx="54" formatCode="0.0">
                  <c:v>-0.87342706411921434</c:v>
                </c:pt>
                <c:pt idx="55" formatCode="0.0">
                  <c:v>0.18582062131757837</c:v>
                </c:pt>
                <c:pt idx="56" formatCode="0.0">
                  <c:v>2.5223693464526242</c:v>
                </c:pt>
                <c:pt idx="57" formatCode="0.0">
                  <c:v>5.0439732782562974</c:v>
                </c:pt>
                <c:pt idx="58" formatCode="0.0">
                  <c:v>6.9726340758019756</c:v>
                </c:pt>
                <c:pt idx="59" formatCode="0.0">
                  <c:v>7.004489472280695</c:v>
                </c:pt>
                <c:pt idx="60" formatCode="0.0">
                  <c:v>6.0864780043946798</c:v>
                </c:pt>
                <c:pt idx="61" formatCode="0.0">
                  <c:v>5.1868587658895793</c:v>
                </c:pt>
                <c:pt idx="62" formatCode="0.0">
                  <c:v>4.449224568489285</c:v>
                </c:pt>
                <c:pt idx="63" formatCode="0.0">
                  <c:v>3.8446664089411664</c:v>
                </c:pt>
                <c:pt idx="64" formatCode="0.0">
                  <c:v>2.6545221127671992</c:v>
                </c:pt>
                <c:pt idx="65" formatCode="0.0">
                  <c:v>1.7748468032225961</c:v>
                </c:pt>
                <c:pt idx="66" formatCode="0.0">
                  <c:v>1.6087828035570739</c:v>
                </c:pt>
                <c:pt idx="67" formatCode="0.0">
                  <c:v>1.3043195891664361</c:v>
                </c:pt>
                <c:pt idx="68" formatCode="0.0">
                  <c:v>2.2076724953096871</c:v>
                </c:pt>
                <c:pt idx="69" formatCode="0.0">
                  <c:v>2.9818113393445644</c:v>
                </c:pt>
                <c:pt idx="70" formatCode="0.0">
                  <c:v>2.8552412202804911</c:v>
                </c:pt>
                <c:pt idx="71" formatCode="0.0">
                  <c:v>3.0972693993864597</c:v>
                </c:pt>
                <c:pt idx="72" formatCode="0.0">
                  <c:v>2.9769285420103264</c:v>
                </c:pt>
                <c:pt idx="73" formatCode="0.0">
                  <c:v>1.8995934191722741</c:v>
                </c:pt>
                <c:pt idx="74" formatCode="0.0">
                  <c:v>1.2039475204350225</c:v>
                </c:pt>
                <c:pt idx="75" formatCode="0.0">
                  <c:v>0.47658929450073995</c:v>
                </c:pt>
                <c:pt idx="76" formatCode="0.0">
                  <c:v>-0.71663838302372662</c:v>
                </c:pt>
                <c:pt idx="77" formatCode="0.0">
                  <c:v>-1.2309739400587327</c:v>
                </c:pt>
                <c:pt idx="78" formatCode="0.0">
                  <c:v>-2.0368566790504361</c:v>
                </c:pt>
                <c:pt idx="79" formatCode="0.0">
                  <c:v>-3.1459903457866534</c:v>
                </c:pt>
                <c:pt idx="80" formatCode="0.0">
                  <c:v>-4.1799527480281151</c:v>
                </c:pt>
                <c:pt idx="81" formatCode="0.0">
                  <c:v>-4.2602103677151444</c:v>
                </c:pt>
                <c:pt idx="82" formatCode="0.0">
                  <c:v>-3.8718998170254038</c:v>
                </c:pt>
                <c:pt idx="83" formatCode="0.0">
                  <c:v>-3.1422169758842711</c:v>
                </c:pt>
                <c:pt idx="84" formatCode="0.0">
                  <c:v>-1.4003003560629557</c:v>
                </c:pt>
                <c:pt idx="85" formatCode="0.0">
                  <c:v>-0.49899500336022529</c:v>
                </c:pt>
                <c:pt idx="86" formatCode="0.0">
                  <c:v>0.48535087004533128</c:v>
                </c:pt>
                <c:pt idx="87" formatCode="0.0">
                  <c:v>1.5506465355529908</c:v>
                </c:pt>
                <c:pt idx="88" formatCode="0.0">
                  <c:v>1.678195314914821</c:v>
                </c:pt>
                <c:pt idx="89" formatCode="0.0">
                  <c:v>1.8706199665300849</c:v>
                </c:pt>
                <c:pt idx="90" formatCode="0.0">
                  <c:v>1.9393240355681352</c:v>
                </c:pt>
                <c:pt idx="91" formatCode="0.0">
                  <c:v>1.6673853554632023</c:v>
                </c:pt>
                <c:pt idx="92" formatCode="0.0">
                  <c:v>1.566080274475623</c:v>
                </c:pt>
                <c:pt idx="93" formatCode="0.0">
                  <c:v>1.4245990331024361</c:v>
                </c:pt>
                <c:pt idx="94" formatCode="0.0">
                  <c:v>1.0261021580542984</c:v>
                </c:pt>
                <c:pt idx="95" formatCode="0.0">
                  <c:v>0.97712100693891912</c:v>
                </c:pt>
                <c:pt idx="96" formatCode="0.0">
                  <c:v>0.3201203459032298</c:v>
                </c:pt>
                <c:pt idx="97" formatCode="0.0">
                  <c:v>-2.4880917616793341</c:v>
                </c:pt>
                <c:pt idx="98" formatCode="0.0">
                  <c:v>-3.4683696000551767</c:v>
                </c:pt>
                <c:pt idx="99" formatCode="0.0">
                  <c:v>-4.0356672459152643</c:v>
                </c:pt>
                <c:pt idx="100" formatCode="0.0">
                  <c:v>-3.125895401120582</c:v>
                </c:pt>
                <c:pt idx="101" formatCode="0.0">
                  <c:v>2.1017742307080978</c:v>
                </c:pt>
                <c:pt idx="102" formatCode="0.0">
                  <c:v>3.9476073342377127</c:v>
                </c:pt>
                <c:pt idx="103" formatCode="0.0">
                  <c:v>4.6032614599401001</c:v>
                </c:pt>
                <c:pt idx="104" formatCode="0.0">
                  <c:v>4.0228598637960689</c:v>
                </c:pt>
                <c:pt idx="105" formatCode="0.0">
                  <c:v>1.4077294841403409</c:v>
                </c:pt>
                <c:pt idx="106" formatCode="0.0">
                  <c:v>0.77588567230173489</c:v>
                </c:pt>
                <c:pt idx="107" formatCode="0.0">
                  <c:v>0.70993446962472895</c:v>
                </c:pt>
                <c:pt idx="108" formatCode="0.0">
                  <c:v>1.0167611217858585</c:v>
                </c:pt>
                <c:pt idx="109" formatCode="0.0">
                  <c:v>1.3740436334068296</c:v>
                </c:pt>
                <c:pt idx="110" formatCode="0.0">
                  <c:v>1.6211722635296022</c:v>
                </c:pt>
                <c:pt idx="111" formatCode="0.0">
                  <c:v>1.8890196011870142</c:v>
                </c:pt>
                <c:pt idx="112" formatCode="0.0">
                  <c:v>2.1117549813958414</c:v>
                </c:pt>
                <c:pt idx="113" formatCode="0.0">
                  <c:v>2.2565597103815449</c:v>
                </c:pt>
                <c:pt idx="114" formatCode="0.0">
                  <c:v>2.4414571798627493</c:v>
                </c:pt>
                <c:pt idx="115" formatCode="0.0">
                  <c:v>2.6895527259984231</c:v>
                </c:pt>
                <c:pt idx="116" formatCode="0.0">
                  <c:v>2.9301787726530693</c:v>
                </c:pt>
                <c:pt idx="117" formatCode="0.0">
                  <c:v>3.1171469190327095</c:v>
                </c:pt>
                <c:pt idx="118" formatCode="0.0">
                  <c:v>3.2269052746283222</c:v>
                </c:pt>
                <c:pt idx="119" formatCode="0.0">
                  <c:v>3.2471072864281636</c:v>
                </c:pt>
                <c:pt idx="120" formatCode="0.0">
                  <c:v>3.213005270088809</c:v>
                </c:pt>
                <c:pt idx="121" formatCode="0.0">
                  <c:v>3.1483539892840362</c:v>
                </c:pt>
                <c:pt idx="122" formatCode="0.0">
                  <c:v>3.0687604404278979</c:v>
                </c:pt>
                <c:pt idx="123" formatCode="0.0">
                  <c:v>2.9841242642104193</c:v>
                </c:pt>
                <c:pt idx="124" formatCode="0.0">
                  <c:v>2.9004235477062768</c:v>
                </c:pt>
                <c:pt idx="125" formatCode="0.0">
                  <c:v>2.8210116820044817</c:v>
                </c:pt>
                <c:pt idx="126" formatCode="0.0">
                  <c:v>2.7475075735734489</c:v>
                </c:pt>
                <c:pt idx="127" formatCode="0.0">
                  <c:v>2.6804500595428493</c:v>
                </c:pt>
                <c:pt idx="128" formatCode="0.0">
                  <c:v>2.6197173686272057</c:v>
                </c:pt>
                <c:pt idx="129" formatCode="0.0">
                  <c:v>2.5647749011085352</c:v>
                </c:pt>
                <c:pt idx="130" formatCode="0.0">
                  <c:v>2.5148718034144535</c:v>
                </c:pt>
                <c:pt idx="131" formatCode="0.0">
                  <c:v>2.4692408008640143</c:v>
                </c:pt>
                <c:pt idx="132" formatCode="0.0">
                  <c:v>2.4271548696312539</c:v>
                </c:pt>
                <c:pt idx="133" formatCode="0.0">
                  <c:v>2.3878865691361106</c:v>
                </c:pt>
                <c:pt idx="134" formatCode="0.0">
                  <c:v>2.3507468936181386</c:v>
                </c:pt>
                <c:pt idx="135" formatCode="0.0">
                  <c:v>2.3151999204535478</c:v>
                </c:pt>
                <c:pt idx="136" formatCode="0.0">
                  <c:v>2.280838978565658</c:v>
                </c:pt>
                <c:pt idx="137" formatCode="0.0">
                  <c:v>2.2472729143544923</c:v>
                </c:pt>
                <c:pt idx="138" formatCode="0.0">
                  <c:v>2.2141408097585469</c:v>
                </c:pt>
                <c:pt idx="139" formatCode="0.0">
                  <c:v>2.1812220226558043</c:v>
                </c:pt>
                <c:pt idx="140" formatCode="0.0">
                  <c:v>2.1484013004969604</c:v>
                </c:pt>
                <c:pt idx="141" formatCode="0.0">
                  <c:v>2.1155407472320142</c:v>
                </c:pt>
                <c:pt idx="142" formatCode="0.0">
                  <c:v>2.082496579521731</c:v>
                </c:pt>
                <c:pt idx="143" formatCode="0.0">
                  <c:v>2.0492326923011284</c:v>
                </c:pt>
                <c:pt idx="144" formatCode="0.0">
                  <c:v>2.0157890740208684</c:v>
                </c:pt>
                <c:pt idx="145" formatCode="0.0">
                  <c:v>1.9821568343924456</c:v>
                </c:pt>
                <c:pt idx="146" formatCode="0.0">
                  <c:v>1.9482985789814666</c:v>
                </c:pt>
                <c:pt idx="147" formatCode="0.0">
                  <c:v>1.914258496914667</c:v>
                </c:pt>
                <c:pt idx="148" formatCode="0.0">
                  <c:v>1.8801363221951695</c:v>
                </c:pt>
                <c:pt idx="149" formatCode="0.0">
                  <c:v>1.8459734233194913</c:v>
                </c:pt>
                <c:pt idx="150" formatCode="0.0">
                  <c:v>1.8117741468563375</c:v>
                </c:pt>
                <c:pt idx="151" formatCode="0.0">
                  <c:v>1.777604856818793</c:v>
                </c:pt>
                <c:pt idx="152" formatCode="0.0">
                  <c:v>1.7435733995073033</c:v>
                </c:pt>
                <c:pt idx="153" formatCode="0.0">
                  <c:v>1.7097311021254891</c:v>
                </c:pt>
                <c:pt idx="154" formatCode="0.0">
                  <c:v>1.6760926708480062</c:v>
                </c:pt>
                <c:pt idx="155" formatCode="0.0">
                  <c:v>1.6427197789119274</c:v>
                </c:pt>
                <c:pt idx="156" formatCode="0.0">
                  <c:v>1.6097054159106117</c:v>
                </c:pt>
                <c:pt idx="157" formatCode="0.0">
                  <c:v>1.5770937135627605</c:v>
                </c:pt>
                <c:pt idx="158" formatCode="0.0">
                  <c:v>1.5448970150758745</c:v>
                </c:pt>
                <c:pt idx="159" formatCode="0.0">
                  <c:v>1.5131621105426429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E7-4FCA-9C12-DF2C9DA92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0568223"/>
        <c:axId val="1650565727"/>
      </c:lineChart>
      <c:dateAx>
        <c:axId val="1650568223"/>
        <c:scaling>
          <c:orientation val="minMax"/>
          <c:max val="46722"/>
          <c:min val="36586"/>
        </c:scaling>
        <c:delete val="0"/>
        <c:axPos val="b"/>
        <c:numFmt formatCode="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650565727"/>
        <c:crossesAt val="0"/>
        <c:auto val="1"/>
        <c:lblOffset val="100"/>
        <c:baseTimeUnit val="months"/>
        <c:majorUnit val="36"/>
        <c:majorTimeUnit val="months"/>
      </c:dateAx>
      <c:valAx>
        <c:axId val="16505657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650568223"/>
        <c:crossesAt val="36586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270285</xdr:colOff>
      <xdr:row>2</xdr:row>
      <xdr:rowOff>51099</xdr:rowOff>
    </xdr:from>
    <xdr:to>
      <xdr:col>31</xdr:col>
      <xdr:colOff>590325</xdr:colOff>
      <xdr:row>22</xdr:row>
      <xdr:rowOff>35859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198120</xdr:colOff>
      <xdr:row>3</xdr:row>
      <xdr:rowOff>22860</xdr:rowOff>
    </xdr:from>
    <xdr:to>
      <xdr:col>38</xdr:col>
      <xdr:colOff>304800</xdr:colOff>
      <xdr:row>22</xdr:row>
      <xdr:rowOff>22860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0.84211</cdr:x>
      <cdr:y>0.91331</cdr:y>
    </cdr:from>
    <cdr:to>
      <cdr:x>0.98583</cdr:x>
      <cdr:y>0.9969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1483D3-D4DC-4BD6-A0E8-0852B8B9AE15}"/>
            </a:ext>
          </a:extLst>
        </cdr:cNvPr>
        <cdr:cNvSpPr txBox="1"/>
      </cdr:nvSpPr>
      <cdr:spPr>
        <a:xfrm xmlns:a="http://schemas.openxmlformats.org/drawingml/2006/main">
          <a:off x="3169920" y="2247900"/>
          <a:ext cx="541020" cy="2057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∆% t/t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52</xdr:col>
      <xdr:colOff>30480</xdr:colOff>
      <xdr:row>2</xdr:row>
      <xdr:rowOff>72390</xdr:rowOff>
    </xdr:from>
    <xdr:ext cx="2279342" cy="4759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50581560" y="331470"/>
              <a:ext cx="2279342" cy="4759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𝑌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nary>
                      <m:naryPr>
                        <m:chr m:val="∑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MX" sz="11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sup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𝛽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𝑌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nary>
                      <m:naryPr>
                        <m:chr m:val="∑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sup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𝜃</m:t>
                            </m:r>
                          </m:e>
                          <m:sub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𝑛</m:t>
                            </m:r>
                          </m:sub>
                        </m:sSub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𝜀</m:t>
                            </m:r>
                          </m:e>
                          <m:sub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𝑡</m:t>
                            </m:r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−</m:t>
                            </m:r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𝑛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𝜀</m:t>
                        </m:r>
                      </m:e>
                      <m:sub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15BACD30-A60A-48EE-BCFD-92DE6E154D93}"/>
                </a:ext>
              </a:extLst>
            </xdr:cNvPr>
            <xdr:cNvSpPr txBox="1"/>
          </xdr:nvSpPr>
          <xdr:spPr>
            <a:xfrm>
              <a:off x="50581560" y="331470"/>
              <a:ext cx="2279342" cy="4759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𝑌_𝑡=𝑐+∑_(𝑖=1)^𝐼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𝛽_𝑖 𝑌_(𝑡−𝑖)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〗+∑24_(𝑛=1)^𝑁▒〖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𝜃_𝑛 𝜀_(𝑡−𝑛)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〗+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𝜀_𝑡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66</xdr:col>
      <xdr:colOff>68580</xdr:colOff>
      <xdr:row>27</xdr:row>
      <xdr:rowOff>53340</xdr:rowOff>
    </xdr:from>
    <xdr:to>
      <xdr:col>73</xdr:col>
      <xdr:colOff>381000</xdr:colOff>
      <xdr:row>46</xdr:row>
      <xdr:rowOff>38100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66</xdr:col>
      <xdr:colOff>83820</xdr:colOff>
      <xdr:row>46</xdr:row>
      <xdr:rowOff>30480</xdr:rowOff>
    </xdr:from>
    <xdr:to>
      <xdr:col>73</xdr:col>
      <xdr:colOff>396240</xdr:colOff>
      <xdr:row>65</xdr:row>
      <xdr:rowOff>15240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66</xdr:col>
      <xdr:colOff>45720</xdr:colOff>
      <xdr:row>65</xdr:row>
      <xdr:rowOff>45720</xdr:rowOff>
    </xdr:from>
    <xdr:to>
      <xdr:col>73</xdr:col>
      <xdr:colOff>358140</xdr:colOff>
      <xdr:row>84</xdr:row>
      <xdr:rowOff>30480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495300</xdr:colOff>
          <xdr:row>4</xdr:row>
          <xdr:rowOff>101600</xdr:rowOff>
        </xdr:from>
        <xdr:to>
          <xdr:col>62</xdr:col>
          <xdr:colOff>558800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Resolve modelos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0.00955</cdr:x>
      <cdr:y>0.10903</cdr:y>
    </cdr:from>
    <cdr:to>
      <cdr:x>0.86783</cdr:x>
      <cdr:y>0.20561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D4F7C34-7BE3-47A0-8C9D-E65D0A8D9020}"/>
            </a:ext>
          </a:extLst>
        </cdr:cNvPr>
        <cdr:cNvSpPr txBox="1"/>
      </cdr:nvSpPr>
      <cdr:spPr>
        <a:xfrm xmlns:a="http://schemas.openxmlformats.org/drawingml/2006/main">
          <a:off x="45720" y="266700"/>
          <a:ext cx="4107180" cy="2362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800">
              <a:latin typeface="Arial" panose="020B0604020202020204" pitchFamily="34" charset="0"/>
              <a:cs typeface="Arial" panose="020B0604020202020204" pitchFamily="34" charset="0"/>
            </a:rPr>
            <a:t>Erro absoluto</a:t>
          </a:r>
          <a:r>
            <a:rPr lang="en-US" sz="800" baseline="0">
              <a:latin typeface="Arial" panose="020B0604020202020204" pitchFamily="34" charset="0"/>
              <a:cs typeface="Arial" panose="020B0604020202020204" pitchFamily="34" charset="0"/>
            </a:rPr>
            <a:t> médio (% t/t) - </a:t>
          </a:r>
          <a:r>
            <a:rPr lang="en-US" sz="800">
              <a:latin typeface="Arial" panose="020B0604020202020204" pitchFamily="34" charset="0"/>
              <a:cs typeface="Arial" panose="020B0604020202020204" pitchFamily="34" charset="0"/>
            </a:rPr>
            <a:t>Projecoes para fora da amostra (2018T1-2020T2)</a:t>
          </a:r>
        </a:p>
      </cdr:txBody>
    </cdr:sp>
  </cdr:relSizeAnchor>
  <cdr:relSizeAnchor xmlns:cdr="http://schemas.openxmlformats.org/drawingml/2006/chartDrawing">
    <cdr:from>
      <cdr:x>0.79035</cdr:x>
      <cdr:y>0.43614</cdr:y>
    </cdr:from>
    <cdr:to>
      <cdr:x>0.97837</cdr:x>
      <cdr:y>0.74455</cdr:y>
    </cdr:to>
    <cdr:sp macro="" textlink="">
      <cdr:nvSpPr>
        <cdr:cNvPr id="3" name="Rectangle: Rounded Corners 2">
          <a:extLst xmlns:a="http://schemas.openxmlformats.org/drawingml/2006/main">
            <a:ext uri="{FF2B5EF4-FFF2-40B4-BE49-F238E27FC236}">
              <a16:creationId xmlns:a16="http://schemas.microsoft.com/office/drawing/2014/main" id="{80266E9D-26A4-40A0-A286-5CFC8219C61D}"/>
            </a:ext>
          </a:extLst>
        </cdr:cNvPr>
        <cdr:cNvSpPr/>
      </cdr:nvSpPr>
      <cdr:spPr>
        <a:xfrm xmlns:a="http://schemas.openxmlformats.org/drawingml/2006/main">
          <a:off x="3619503" y="1066800"/>
          <a:ext cx="861060" cy="754384"/>
        </a:xfrm>
        <a:prstGeom xmlns:a="http://schemas.openxmlformats.org/drawingml/2006/main" prst="roundRect">
          <a:avLst>
            <a:gd name="adj" fmla="val 4472"/>
          </a:avLst>
        </a:prstGeom>
        <a:noFill xmlns:a="http://schemas.openxmlformats.org/drawingml/2006/main"/>
        <a:ln xmlns:a="http://schemas.openxmlformats.org/drawingml/2006/main">
          <a:solidFill>
            <a:srgbClr val="FF0000"/>
          </a:solidFill>
          <a:prstDash val="sysDash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0.00955</cdr:x>
      <cdr:y>0.10903</cdr:y>
    </cdr:from>
    <cdr:to>
      <cdr:x>0.86783</cdr:x>
      <cdr:y>0.20561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D4F7C34-7BE3-47A0-8C9D-E65D0A8D9020}"/>
            </a:ext>
          </a:extLst>
        </cdr:cNvPr>
        <cdr:cNvSpPr txBox="1"/>
      </cdr:nvSpPr>
      <cdr:spPr>
        <a:xfrm xmlns:a="http://schemas.openxmlformats.org/drawingml/2006/main">
          <a:off x="45720" y="266700"/>
          <a:ext cx="4107180" cy="2362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800">
              <a:latin typeface="Arial" panose="020B0604020202020204" pitchFamily="34" charset="0"/>
              <a:cs typeface="Arial" panose="020B0604020202020204" pitchFamily="34" charset="0"/>
            </a:rPr>
            <a:t>Erro absoluto</a:t>
          </a:r>
          <a:r>
            <a:rPr lang="en-US" sz="800" baseline="0">
              <a:latin typeface="Arial" panose="020B0604020202020204" pitchFamily="34" charset="0"/>
              <a:cs typeface="Arial" panose="020B0604020202020204" pitchFamily="34" charset="0"/>
            </a:rPr>
            <a:t> médio (% t/t) - </a:t>
          </a:r>
          <a:r>
            <a:rPr lang="en-US" sz="800">
              <a:latin typeface="Arial" panose="020B0604020202020204" pitchFamily="34" charset="0"/>
              <a:cs typeface="Arial" panose="020B0604020202020204" pitchFamily="34" charset="0"/>
            </a:rPr>
            <a:t>Projecoes para fora da amostra (2018T1-2020T2)</a:t>
          </a:r>
        </a:p>
      </cdr:txBody>
    </cdr:sp>
  </cdr:relSizeAnchor>
  <cdr:relSizeAnchor xmlns:cdr="http://schemas.openxmlformats.org/drawingml/2006/chartDrawing">
    <cdr:from>
      <cdr:x>0.79146</cdr:x>
      <cdr:y>0.42991</cdr:y>
    </cdr:from>
    <cdr:to>
      <cdr:x>0.97504</cdr:x>
      <cdr:y>0.75389</cdr:y>
    </cdr:to>
    <cdr:sp macro="" textlink="">
      <cdr:nvSpPr>
        <cdr:cNvPr id="3" name="Rectangle: Rounded Corners 2">
          <a:extLst xmlns:a="http://schemas.openxmlformats.org/drawingml/2006/main">
            <a:ext uri="{FF2B5EF4-FFF2-40B4-BE49-F238E27FC236}">
              <a16:creationId xmlns:a16="http://schemas.microsoft.com/office/drawing/2014/main" id="{F176B87F-8719-402F-942A-3EC62E1041F8}"/>
            </a:ext>
          </a:extLst>
        </cdr:cNvPr>
        <cdr:cNvSpPr/>
      </cdr:nvSpPr>
      <cdr:spPr>
        <a:xfrm xmlns:a="http://schemas.openxmlformats.org/drawingml/2006/main">
          <a:off x="3624586" y="1051560"/>
          <a:ext cx="840727" cy="792470"/>
        </a:xfrm>
        <a:prstGeom xmlns:a="http://schemas.openxmlformats.org/drawingml/2006/main" prst="roundRect">
          <a:avLst>
            <a:gd name="adj" fmla="val 6048"/>
          </a:avLst>
        </a:prstGeom>
        <a:noFill xmlns:a="http://schemas.openxmlformats.org/drawingml/2006/main"/>
        <a:ln xmlns:a="http://schemas.openxmlformats.org/drawingml/2006/main">
          <a:solidFill>
            <a:srgbClr val="FF0000"/>
          </a:solidFill>
          <a:prstDash val="sysDash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0.00955</cdr:x>
      <cdr:y>0.10903</cdr:y>
    </cdr:from>
    <cdr:to>
      <cdr:x>0.86783</cdr:x>
      <cdr:y>0.20561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D4F7C34-7BE3-47A0-8C9D-E65D0A8D9020}"/>
            </a:ext>
          </a:extLst>
        </cdr:cNvPr>
        <cdr:cNvSpPr txBox="1"/>
      </cdr:nvSpPr>
      <cdr:spPr>
        <a:xfrm xmlns:a="http://schemas.openxmlformats.org/drawingml/2006/main">
          <a:off x="45720" y="266700"/>
          <a:ext cx="4107180" cy="2362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800">
              <a:latin typeface="Arial" panose="020B0604020202020204" pitchFamily="34" charset="0"/>
              <a:cs typeface="Arial" panose="020B0604020202020204" pitchFamily="34" charset="0"/>
            </a:rPr>
            <a:t>Erro absoluto</a:t>
          </a:r>
          <a:r>
            <a:rPr lang="en-US" sz="800" baseline="0">
              <a:latin typeface="Arial" panose="020B0604020202020204" pitchFamily="34" charset="0"/>
              <a:cs typeface="Arial" panose="020B0604020202020204" pitchFamily="34" charset="0"/>
            </a:rPr>
            <a:t> médio (% t/t) - </a:t>
          </a:r>
          <a:r>
            <a:rPr lang="en-US" sz="800">
              <a:latin typeface="Arial" panose="020B0604020202020204" pitchFamily="34" charset="0"/>
              <a:cs typeface="Arial" panose="020B0604020202020204" pitchFamily="34" charset="0"/>
            </a:rPr>
            <a:t>Projecoes para fora da amostra (2018T1-2020T2)</a:t>
          </a:r>
        </a:p>
      </cdr:txBody>
    </cdr:sp>
  </cdr:relSizeAnchor>
  <cdr:relSizeAnchor xmlns:cdr="http://schemas.openxmlformats.org/drawingml/2006/chartDrawing">
    <cdr:from>
      <cdr:x>0.79035</cdr:x>
      <cdr:y>0.47975</cdr:y>
    </cdr:from>
    <cdr:to>
      <cdr:x>0.97171</cdr:x>
      <cdr:y>0.75286</cdr:y>
    </cdr:to>
    <cdr:sp macro="" textlink="">
      <cdr:nvSpPr>
        <cdr:cNvPr id="3" name="Rectangle: Rounded Corners 2">
          <a:extLst xmlns:a="http://schemas.openxmlformats.org/drawingml/2006/main">
            <a:ext uri="{FF2B5EF4-FFF2-40B4-BE49-F238E27FC236}">
              <a16:creationId xmlns:a16="http://schemas.microsoft.com/office/drawing/2014/main" id="{903C42D5-40F9-45AB-B983-F1A12702FC97}"/>
            </a:ext>
          </a:extLst>
        </cdr:cNvPr>
        <cdr:cNvSpPr/>
      </cdr:nvSpPr>
      <cdr:spPr>
        <a:xfrm xmlns:a="http://schemas.openxmlformats.org/drawingml/2006/main">
          <a:off x="3619503" y="1173480"/>
          <a:ext cx="830560" cy="668031"/>
        </a:xfrm>
        <a:prstGeom xmlns:a="http://schemas.openxmlformats.org/drawingml/2006/main" prst="roundRect">
          <a:avLst>
            <a:gd name="adj" fmla="val 6048"/>
          </a:avLst>
        </a:prstGeom>
        <a:noFill xmlns:a="http://schemas.openxmlformats.org/drawingml/2006/main"/>
        <a:ln xmlns:a="http://schemas.openxmlformats.org/drawingml/2006/main">
          <a:solidFill>
            <a:srgbClr val="FF0000"/>
          </a:solidFill>
          <a:prstDash val="sysDash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175260</xdr:colOff>
      <xdr:row>38</xdr:row>
      <xdr:rowOff>91440</xdr:rowOff>
    </xdr:from>
    <xdr:to>
      <xdr:col>7</xdr:col>
      <xdr:colOff>357692</xdr:colOff>
      <xdr:row>60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403860</xdr:colOff>
      <xdr:row>38</xdr:row>
      <xdr:rowOff>121920</xdr:rowOff>
    </xdr:from>
    <xdr:to>
      <xdr:col>16</xdr:col>
      <xdr:colOff>205740</xdr:colOff>
      <xdr:row>60</xdr:row>
      <xdr:rowOff>121920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373380</xdr:colOff>
      <xdr:row>60</xdr:row>
      <xdr:rowOff>114300</xdr:rowOff>
    </xdr:from>
    <xdr:to>
      <xdr:col>12</xdr:col>
      <xdr:colOff>205740</xdr:colOff>
      <xdr:row>78</xdr:row>
      <xdr:rowOff>45720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53340</xdr:colOff>
      <xdr:row>0</xdr:row>
      <xdr:rowOff>30480</xdr:rowOff>
    </xdr:from>
    <xdr:to>
      <xdr:col>15</xdr:col>
      <xdr:colOff>453615</xdr:colOff>
      <xdr:row>22</xdr:row>
      <xdr:rowOff>40334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190500</xdr:colOff>
      <xdr:row>0</xdr:row>
      <xdr:rowOff>15240</xdr:rowOff>
    </xdr:from>
    <xdr:to>
      <xdr:col>7</xdr:col>
      <xdr:colOff>423135</xdr:colOff>
      <xdr:row>22</xdr:row>
      <xdr:rowOff>25094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0.61117</cdr:x>
      <cdr:y>0.19649</cdr:y>
    </cdr:from>
    <cdr:to>
      <cdr:x>0.61178</cdr:x>
      <cdr:y>0.80028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85A78C37-5D78-432B-B06B-1D40E03F37CA}"/>
            </a:ext>
          </a:extLst>
        </cdr:cNvPr>
        <cdr:cNvCxnSpPr/>
      </cdr:nvCxnSpPr>
      <cdr:spPr>
        <a:xfrm xmlns:a="http://schemas.openxmlformats.org/drawingml/2006/main" flipH="1">
          <a:off x="2300358" y="559966"/>
          <a:ext cx="2296" cy="1720729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0.60055</cdr:x>
      <cdr:y>0.17119</cdr:y>
    </cdr:from>
    <cdr:to>
      <cdr:x>0.78336</cdr:x>
      <cdr:y>0.24332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E1F8ECB3-A448-4253-A560-527FFB6EE36C}"/>
            </a:ext>
          </a:extLst>
        </cdr:cNvPr>
        <cdr:cNvSpPr txBox="1"/>
      </cdr:nvSpPr>
      <cdr:spPr>
        <a:xfrm xmlns:a="http://schemas.openxmlformats.org/drawingml/2006/main">
          <a:off x="2260379" y="487867"/>
          <a:ext cx="688066" cy="2055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Projetado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0.65035</cdr:x>
      <cdr:y>0.20185</cdr:y>
    </cdr:from>
    <cdr:to>
      <cdr:x>0.65096</cdr:x>
      <cdr:y>0.80564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85A78C37-5D78-432B-B06B-1D40E03F37CA}"/>
            </a:ext>
          </a:extLst>
        </cdr:cNvPr>
        <cdr:cNvCxnSpPr/>
      </cdr:nvCxnSpPr>
      <cdr:spPr>
        <a:xfrm xmlns:a="http://schemas.openxmlformats.org/drawingml/2006/main" flipH="1">
          <a:off x="2725617" y="575241"/>
          <a:ext cx="2556" cy="1720729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0.64157</cdr:x>
      <cdr:y>0.18188</cdr:y>
    </cdr:from>
    <cdr:to>
      <cdr:x>0.82438</cdr:x>
      <cdr:y>0.25401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E1F8ECB3-A448-4253-A560-527FFB6EE36C}"/>
            </a:ext>
          </a:extLst>
        </cdr:cNvPr>
        <cdr:cNvSpPr txBox="1"/>
      </cdr:nvSpPr>
      <cdr:spPr>
        <a:xfrm xmlns:a="http://schemas.openxmlformats.org/drawingml/2006/main">
          <a:off x="2688805" y="518329"/>
          <a:ext cx="766156" cy="2055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Projetado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0.61449</cdr:x>
      <cdr:y>0.23689</cdr:y>
    </cdr:from>
    <cdr:to>
      <cdr:x>0.61658</cdr:x>
      <cdr:y>0.8831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85A78C37-5D78-432B-B06B-1D40E03F37CA}"/>
            </a:ext>
          </a:extLst>
        </cdr:cNvPr>
        <cdr:cNvCxnSpPr/>
      </cdr:nvCxnSpPr>
      <cdr:spPr>
        <a:xfrm xmlns:a="http://schemas.openxmlformats.org/drawingml/2006/main">
          <a:off x="2294386" y="536108"/>
          <a:ext cx="7803" cy="1462464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0.60382</cdr:x>
      <cdr:y>0.20937</cdr:y>
    </cdr:from>
    <cdr:to>
      <cdr:x>0.80662</cdr:x>
      <cdr:y>0.30241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E1F8ECB3-A448-4253-A560-527FFB6EE36C}"/>
            </a:ext>
          </a:extLst>
        </cdr:cNvPr>
        <cdr:cNvSpPr txBox="1"/>
      </cdr:nvSpPr>
      <cdr:spPr>
        <a:xfrm xmlns:a="http://schemas.openxmlformats.org/drawingml/2006/main">
          <a:off x="2254547" y="464255"/>
          <a:ext cx="757215" cy="2063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Projetado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0.78283</cdr:x>
      <cdr:y>0.1652</cdr:y>
    </cdr:from>
    <cdr:to>
      <cdr:x>0.78463</cdr:x>
      <cdr:y>0.8047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374157F-232E-4644-95C7-40AC1EB3AE40}"/>
            </a:ext>
          </a:extLst>
        </cdr:cNvPr>
        <cdr:cNvCxnSpPr/>
      </cdr:nvCxnSpPr>
      <cdr:spPr>
        <a:xfrm xmlns:a="http://schemas.openxmlformats.org/drawingml/2006/main" flipH="1" flipV="1">
          <a:off x="2985728" y="472440"/>
          <a:ext cx="6891" cy="18288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0.7718</cdr:x>
      <cdr:y>0.14389</cdr:y>
    </cdr:from>
    <cdr:to>
      <cdr:x>0.95968</cdr:x>
      <cdr:y>0.22915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856DE523-B239-47DC-89FE-62534F465391}"/>
            </a:ext>
          </a:extLst>
        </cdr:cNvPr>
        <cdr:cNvSpPr txBox="1"/>
      </cdr:nvSpPr>
      <cdr:spPr>
        <a:xfrm xmlns:a="http://schemas.openxmlformats.org/drawingml/2006/main">
          <a:off x="2943656" y="411480"/>
          <a:ext cx="716601" cy="2438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Projetado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0.76085</cdr:x>
      <cdr:y>0.16786</cdr:y>
    </cdr:from>
    <cdr:to>
      <cdr:x>0.76265</cdr:x>
      <cdr:y>0.80736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374157F-232E-4644-95C7-40AC1EB3AE40}"/>
            </a:ext>
          </a:extLst>
        </cdr:cNvPr>
        <cdr:cNvCxnSpPr/>
      </cdr:nvCxnSpPr>
      <cdr:spPr>
        <a:xfrm xmlns:a="http://schemas.openxmlformats.org/drawingml/2006/main" flipH="1" flipV="1">
          <a:off x="2901921" y="480048"/>
          <a:ext cx="6865" cy="18288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0.74982</cdr:x>
      <cdr:y>0.14922</cdr:y>
    </cdr:from>
    <cdr:to>
      <cdr:x>0.9377</cdr:x>
      <cdr:y>0.23448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856DE523-B239-47DC-89FE-62534F465391}"/>
            </a:ext>
          </a:extLst>
        </cdr:cNvPr>
        <cdr:cNvSpPr txBox="1"/>
      </cdr:nvSpPr>
      <cdr:spPr>
        <a:xfrm xmlns:a="http://schemas.openxmlformats.org/drawingml/2006/main">
          <a:off x="2859844" y="426727"/>
          <a:ext cx="716581" cy="2438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Projetado</a:t>
          </a:r>
        </a:p>
      </cdr:txBody>
    </cdr:sp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BBEC0-E2A1-48E3-AB57-55C7B5522909}">
  <sheetPr codeName="Sheet1"/>
  <dimension ref="A1:G109"/>
  <sheetViews>
    <sheetView showGridLines="0" topLeftCell="A83" zoomScale="85" zoomScaleNormal="85" workbookViewId="0">
      <selection activeCell="B3" sqref="B3"/>
    </sheetView>
  </sheetViews>
  <sheetFormatPr baseColWidth="10" defaultColWidth="0" defaultRowHeight="11" x14ac:dyDescent="0.15"/>
  <cols>
    <col min="1" max="6" width="12" style="2" customWidth="1"/>
    <col min="7" max="7" width="8.83203125" style="2" customWidth="1"/>
    <col min="8" max="16384" width="8.83203125" style="2" hidden="1"/>
  </cols>
  <sheetData>
    <row r="1" spans="1:6" x14ac:dyDescent="0.15">
      <c r="A1" s="2" t="s">
        <v>0</v>
      </c>
    </row>
    <row r="2" spans="1:6" x14ac:dyDescent="0.15">
      <c r="A2" s="2" t="s">
        <v>1</v>
      </c>
    </row>
    <row r="3" spans="1:6" x14ac:dyDescent="0.15">
      <c r="A3" s="2" t="s">
        <v>2</v>
      </c>
    </row>
    <row r="4" spans="1:6" x14ac:dyDescent="0.15">
      <c r="A4" s="2" t="s">
        <v>3</v>
      </c>
      <c r="B4" s="2" t="s">
        <v>4</v>
      </c>
    </row>
    <row r="5" spans="1:6" x14ac:dyDescent="0.15">
      <c r="B5" s="2" t="s">
        <v>5</v>
      </c>
      <c r="C5" s="2" t="s">
        <v>6</v>
      </c>
      <c r="D5" s="2" t="s">
        <v>7</v>
      </c>
      <c r="E5" s="2" t="s">
        <v>8</v>
      </c>
      <c r="F5" s="2" t="s">
        <v>9</v>
      </c>
    </row>
    <row r="6" spans="1:6" x14ac:dyDescent="0.15">
      <c r="A6" s="2" t="s">
        <v>10</v>
      </c>
      <c r="B6" s="2">
        <v>8434.1200000000008</v>
      </c>
      <c r="C6" s="2">
        <v>41667.01</v>
      </c>
      <c r="D6" s="2">
        <v>103507.88</v>
      </c>
      <c r="E6" s="2">
        <v>152563.74</v>
      </c>
      <c r="F6" s="2">
        <v>175698.97</v>
      </c>
    </row>
    <row r="7" spans="1:6" x14ac:dyDescent="0.15">
      <c r="A7" s="2" t="s">
        <v>11</v>
      </c>
      <c r="B7" s="2">
        <v>8542.84</v>
      </c>
      <c r="C7" s="2">
        <v>40181.870000000003</v>
      </c>
      <c r="D7" s="2">
        <v>104800.29</v>
      </c>
      <c r="E7" s="2">
        <v>153572.20000000001</v>
      </c>
      <c r="F7" s="2">
        <v>177270.06</v>
      </c>
    </row>
    <row r="8" spans="1:6" x14ac:dyDescent="0.15">
      <c r="A8" s="2" t="s">
        <v>12</v>
      </c>
      <c r="B8" s="2">
        <v>9005.68</v>
      </c>
      <c r="C8" s="2">
        <v>43756.3</v>
      </c>
      <c r="D8" s="2">
        <v>106330.66</v>
      </c>
      <c r="E8" s="2">
        <v>159426.10999999999</v>
      </c>
      <c r="F8" s="2">
        <v>184212.58</v>
      </c>
    </row>
    <row r="9" spans="1:6" x14ac:dyDescent="0.15">
      <c r="A9" s="2" t="s">
        <v>13</v>
      </c>
      <c r="B9" s="2">
        <v>11103.54</v>
      </c>
      <c r="C9" s="2">
        <v>41096.019999999997</v>
      </c>
      <c r="D9" s="2">
        <v>104152.97</v>
      </c>
      <c r="E9" s="2">
        <v>155610.46</v>
      </c>
      <c r="F9" s="2">
        <v>182321.92000000001</v>
      </c>
    </row>
    <row r="10" spans="1:6" x14ac:dyDescent="0.15">
      <c r="A10" s="2" t="s">
        <v>14</v>
      </c>
      <c r="B10" s="2">
        <v>9020.16</v>
      </c>
      <c r="C10" s="2">
        <v>43229.93</v>
      </c>
      <c r="D10" s="2">
        <v>106679.85</v>
      </c>
      <c r="E10" s="2">
        <v>158328.79999999999</v>
      </c>
      <c r="F10" s="2">
        <v>184113.71</v>
      </c>
    </row>
    <row r="11" spans="1:6" x14ac:dyDescent="0.15">
      <c r="A11" s="2" t="s">
        <v>15</v>
      </c>
      <c r="B11" s="2">
        <v>8877.92</v>
      </c>
      <c r="C11" s="2">
        <v>43076.68</v>
      </c>
      <c r="D11" s="2">
        <v>107138.66</v>
      </c>
      <c r="E11" s="2">
        <v>159404.88</v>
      </c>
      <c r="F11" s="2">
        <v>185360.21</v>
      </c>
    </row>
    <row r="12" spans="1:6" x14ac:dyDescent="0.15">
      <c r="A12" s="2" t="s">
        <v>16</v>
      </c>
      <c r="B12" s="2">
        <v>9170.32</v>
      </c>
      <c r="C12" s="2">
        <v>43921.86</v>
      </c>
      <c r="D12" s="2">
        <v>107741.2</v>
      </c>
      <c r="E12" s="2">
        <v>160981.85999999999</v>
      </c>
      <c r="F12" s="2">
        <v>187662.55</v>
      </c>
    </row>
    <row r="13" spans="1:6" x14ac:dyDescent="0.15">
      <c r="A13" s="2" t="s">
        <v>17</v>
      </c>
      <c r="B13" s="2">
        <v>9942.0499999999993</v>
      </c>
      <c r="C13" s="2">
        <v>43768.07</v>
      </c>
      <c r="D13" s="2">
        <v>109008.63</v>
      </c>
      <c r="E13" s="2">
        <v>162473.25</v>
      </c>
      <c r="F13" s="2">
        <v>189117.44</v>
      </c>
    </row>
    <row r="14" spans="1:6" x14ac:dyDescent="0.15">
      <c r="A14" s="2" t="s">
        <v>18</v>
      </c>
      <c r="B14" s="2">
        <v>8866.11</v>
      </c>
      <c r="C14" s="2">
        <v>42753.82</v>
      </c>
      <c r="D14" s="2">
        <v>108135.86</v>
      </c>
      <c r="E14" s="2">
        <v>159729.69</v>
      </c>
      <c r="F14" s="2">
        <v>185463.29</v>
      </c>
    </row>
    <row r="15" spans="1:6" x14ac:dyDescent="0.15">
      <c r="A15" s="2" t="s">
        <v>19</v>
      </c>
      <c r="B15" s="2">
        <v>9968.36</v>
      </c>
      <c r="C15" s="2">
        <v>43382.19</v>
      </c>
      <c r="D15" s="2">
        <v>109077.64</v>
      </c>
      <c r="E15" s="2">
        <v>162387.97</v>
      </c>
      <c r="F15" s="2">
        <v>188473</v>
      </c>
    </row>
    <row r="16" spans="1:6" x14ac:dyDescent="0.15">
      <c r="A16" s="2" t="s">
        <v>20</v>
      </c>
      <c r="B16" s="2">
        <v>9710.09</v>
      </c>
      <c r="C16" s="2">
        <v>42780.11</v>
      </c>
      <c r="D16" s="2">
        <v>109777.93</v>
      </c>
      <c r="E16" s="2">
        <v>162414.82999999999</v>
      </c>
      <c r="F16" s="2">
        <v>188588.87</v>
      </c>
    </row>
    <row r="17" spans="1:6" x14ac:dyDescent="0.15">
      <c r="A17" s="2" t="s">
        <v>21</v>
      </c>
      <c r="B17" s="2">
        <v>9499.43</v>
      </c>
      <c r="C17" s="2">
        <v>41447.15</v>
      </c>
      <c r="D17" s="2">
        <v>109751.23</v>
      </c>
      <c r="E17" s="2">
        <v>160727.32999999999</v>
      </c>
      <c r="F17" s="2">
        <v>186352.99</v>
      </c>
    </row>
    <row r="18" spans="1:6" x14ac:dyDescent="0.15">
      <c r="A18" s="2" t="s">
        <v>22</v>
      </c>
      <c r="B18" s="2">
        <v>9911.52</v>
      </c>
      <c r="C18" s="2">
        <v>41278.68</v>
      </c>
      <c r="D18" s="2">
        <v>111045.26</v>
      </c>
      <c r="E18" s="2">
        <v>162242.57</v>
      </c>
      <c r="F18" s="2">
        <v>186959.86</v>
      </c>
    </row>
    <row r="19" spans="1:6" x14ac:dyDescent="0.15">
      <c r="A19" s="2" t="s">
        <v>23</v>
      </c>
      <c r="B19" s="2">
        <v>10078.9</v>
      </c>
      <c r="C19" s="2">
        <v>41179.9</v>
      </c>
      <c r="D19" s="2">
        <v>110837.03</v>
      </c>
      <c r="E19" s="2">
        <v>162424.59</v>
      </c>
      <c r="F19" s="2">
        <v>187404.3</v>
      </c>
    </row>
    <row r="20" spans="1:6" x14ac:dyDescent="0.15">
      <c r="A20" s="2" t="s">
        <v>24</v>
      </c>
      <c r="B20" s="2">
        <v>10129.540000000001</v>
      </c>
      <c r="C20" s="2">
        <v>41320.769999999997</v>
      </c>
      <c r="D20" s="2">
        <v>110860.6</v>
      </c>
      <c r="E20" s="2">
        <v>162439.49</v>
      </c>
      <c r="F20" s="2">
        <v>187720.73</v>
      </c>
    </row>
    <row r="21" spans="1:6" x14ac:dyDescent="0.15">
      <c r="A21" s="2" t="s">
        <v>25</v>
      </c>
      <c r="B21" s="2">
        <v>10517.49</v>
      </c>
      <c r="C21" s="2">
        <v>42120.160000000003</v>
      </c>
      <c r="D21" s="2">
        <v>112012.78</v>
      </c>
      <c r="E21" s="2">
        <v>164422.18</v>
      </c>
      <c r="F21" s="2">
        <v>190352.38</v>
      </c>
    </row>
    <row r="22" spans="1:6" x14ac:dyDescent="0.15">
      <c r="A22" s="2" t="s">
        <v>26</v>
      </c>
      <c r="B22" s="2">
        <v>10457.73</v>
      </c>
      <c r="C22" s="2">
        <v>42672.12</v>
      </c>
      <c r="D22" s="2">
        <v>113095.71</v>
      </c>
      <c r="E22" s="2">
        <v>165958.82</v>
      </c>
      <c r="F22" s="2">
        <v>192351.22</v>
      </c>
    </row>
    <row r="23" spans="1:6" x14ac:dyDescent="0.15">
      <c r="A23" s="2" t="s">
        <v>27</v>
      </c>
      <c r="B23" s="2">
        <v>10416.780000000001</v>
      </c>
      <c r="C23" s="2">
        <v>43167.37</v>
      </c>
      <c r="D23" s="2">
        <v>114443.96</v>
      </c>
      <c r="E23" s="2">
        <v>167941.72</v>
      </c>
      <c r="F23" s="2">
        <v>195065.44</v>
      </c>
    </row>
    <row r="24" spans="1:6" x14ac:dyDescent="0.15">
      <c r="A24" s="2" t="s">
        <v>28</v>
      </c>
      <c r="B24" s="2">
        <v>10320.94</v>
      </c>
      <c r="C24" s="2">
        <v>43314.73</v>
      </c>
      <c r="D24" s="2">
        <v>115991.09</v>
      </c>
      <c r="E24" s="2">
        <v>169991.6</v>
      </c>
      <c r="F24" s="2">
        <v>197366.95</v>
      </c>
    </row>
    <row r="25" spans="1:6" x14ac:dyDescent="0.15">
      <c r="A25" s="2" t="s">
        <v>29</v>
      </c>
      <c r="B25" s="2">
        <v>10383.31</v>
      </c>
      <c r="C25" s="2">
        <v>44011.64</v>
      </c>
      <c r="D25" s="2">
        <v>117380.78</v>
      </c>
      <c r="E25" s="2">
        <v>172236.28</v>
      </c>
      <c r="F25" s="2">
        <v>199788.65</v>
      </c>
    </row>
    <row r="26" spans="1:6" x14ac:dyDescent="0.15">
      <c r="A26" s="2" t="s">
        <v>30</v>
      </c>
      <c r="B26" s="2">
        <v>10708.01</v>
      </c>
      <c r="C26" s="2">
        <v>44294.83</v>
      </c>
      <c r="D26" s="2">
        <v>116869.71</v>
      </c>
      <c r="E26" s="2">
        <v>172164.19</v>
      </c>
      <c r="F26" s="2">
        <v>200533.48</v>
      </c>
    </row>
    <row r="27" spans="1:6" x14ac:dyDescent="0.15">
      <c r="A27" s="2" t="s">
        <v>31</v>
      </c>
      <c r="B27" s="2">
        <v>10729.08</v>
      </c>
      <c r="C27" s="2">
        <v>43488.34</v>
      </c>
      <c r="D27" s="2">
        <v>117982</v>
      </c>
      <c r="E27" s="2">
        <v>172052.33</v>
      </c>
      <c r="F27" s="2">
        <v>199540.25</v>
      </c>
    </row>
    <row r="28" spans="1:6" x14ac:dyDescent="0.15">
      <c r="A28" s="2" t="s">
        <v>32</v>
      </c>
      <c r="B28" s="2">
        <v>10971.61</v>
      </c>
      <c r="C28" s="2">
        <v>42107.47</v>
      </c>
      <c r="D28" s="2">
        <v>118137.65</v>
      </c>
      <c r="E28" s="2">
        <v>171505.46</v>
      </c>
      <c r="F28" s="2">
        <v>198506.38</v>
      </c>
    </row>
    <row r="29" spans="1:6" x14ac:dyDescent="0.15">
      <c r="A29" s="2" t="s">
        <v>33</v>
      </c>
      <c r="B29" s="2">
        <v>11542.24</v>
      </c>
      <c r="C29" s="2">
        <v>42107.13</v>
      </c>
      <c r="D29" s="2">
        <v>118386.89</v>
      </c>
      <c r="E29" s="2">
        <v>171701.43</v>
      </c>
      <c r="F29" s="2">
        <v>197951.66</v>
      </c>
    </row>
    <row r="30" spans="1:6" x14ac:dyDescent="0.15">
      <c r="A30" s="2" t="s">
        <v>34</v>
      </c>
      <c r="B30" s="2">
        <v>11208.26</v>
      </c>
      <c r="C30" s="2">
        <v>43845.87</v>
      </c>
      <c r="D30" s="2">
        <v>120478.68</v>
      </c>
      <c r="E30" s="2">
        <v>175511.69</v>
      </c>
      <c r="F30" s="2">
        <v>202521.48</v>
      </c>
    </row>
    <row r="31" spans="1:6" x14ac:dyDescent="0.15">
      <c r="A31" s="2" t="s">
        <v>35</v>
      </c>
      <c r="B31" s="2">
        <v>11474.24</v>
      </c>
      <c r="C31" s="2">
        <v>44183.88</v>
      </c>
      <c r="D31" s="2">
        <v>120741</v>
      </c>
      <c r="E31" s="2">
        <v>176661.5</v>
      </c>
      <c r="F31" s="2">
        <v>203647.35</v>
      </c>
    </row>
    <row r="32" spans="1:6" x14ac:dyDescent="0.15">
      <c r="A32" s="2" t="s">
        <v>36</v>
      </c>
      <c r="B32" s="2">
        <v>12279.7</v>
      </c>
      <c r="C32" s="2">
        <v>44573.82</v>
      </c>
      <c r="D32" s="2">
        <v>122070.44</v>
      </c>
      <c r="E32" s="2">
        <v>178765.28</v>
      </c>
      <c r="F32" s="2">
        <v>206169.13</v>
      </c>
    </row>
    <row r="33" spans="1:6" x14ac:dyDescent="0.15">
      <c r="A33" s="2" t="s">
        <v>37</v>
      </c>
      <c r="B33" s="2">
        <v>12628.74</v>
      </c>
      <c r="C33" s="2">
        <v>45921.06</v>
      </c>
      <c r="D33" s="2">
        <v>122807.74</v>
      </c>
      <c r="E33" s="2">
        <v>180931.45</v>
      </c>
      <c r="F33" s="2">
        <v>208249.77</v>
      </c>
    </row>
    <row r="34" spans="1:6" x14ac:dyDescent="0.15">
      <c r="A34" s="2" t="s">
        <v>38</v>
      </c>
      <c r="B34" s="2">
        <v>12920.89</v>
      </c>
      <c r="C34" s="2">
        <v>43535.8</v>
      </c>
      <c r="D34" s="2">
        <v>122582.75</v>
      </c>
      <c r="E34" s="2">
        <v>179747.66</v>
      </c>
      <c r="F34" s="2">
        <v>207373.45</v>
      </c>
    </row>
    <row r="35" spans="1:6" x14ac:dyDescent="0.15">
      <c r="A35" s="2" t="s">
        <v>39</v>
      </c>
      <c r="B35" s="2">
        <v>12915.69</v>
      </c>
      <c r="C35" s="2">
        <v>43866.95</v>
      </c>
      <c r="D35" s="2">
        <v>121621.79</v>
      </c>
      <c r="E35" s="2">
        <v>178422.43</v>
      </c>
      <c r="F35" s="2">
        <v>205570.4</v>
      </c>
    </row>
    <row r="36" spans="1:6" x14ac:dyDescent="0.15">
      <c r="A36" s="2" t="s">
        <v>40</v>
      </c>
      <c r="B36" s="2">
        <v>12543.53</v>
      </c>
      <c r="C36" s="2">
        <v>45380.33</v>
      </c>
      <c r="D36" s="2">
        <v>122781.83</v>
      </c>
      <c r="E36" s="2">
        <v>180508.69</v>
      </c>
      <c r="F36" s="2">
        <v>207522.17</v>
      </c>
    </row>
    <row r="37" spans="1:6" x14ac:dyDescent="0.15">
      <c r="A37" s="2" t="s">
        <v>41</v>
      </c>
      <c r="B37" s="2">
        <v>12759.96</v>
      </c>
      <c r="C37" s="2">
        <v>45917.599999999999</v>
      </c>
      <c r="D37" s="2">
        <v>124017.62</v>
      </c>
      <c r="E37" s="2">
        <v>182070.03</v>
      </c>
      <c r="F37" s="2">
        <v>209669.07</v>
      </c>
    </row>
    <row r="38" spans="1:6" x14ac:dyDescent="0.15">
      <c r="A38" s="2" t="s">
        <v>42</v>
      </c>
      <c r="B38" s="2">
        <v>12911.37</v>
      </c>
      <c r="C38" s="2">
        <v>46669.93</v>
      </c>
      <c r="D38" s="2">
        <v>125022.39</v>
      </c>
      <c r="E38" s="2">
        <v>184703.47</v>
      </c>
      <c r="F38" s="2">
        <v>212626.64</v>
      </c>
    </row>
    <row r="39" spans="1:6" x14ac:dyDescent="0.15">
      <c r="A39" s="2" t="s">
        <v>43</v>
      </c>
      <c r="B39" s="2">
        <v>13134.44</v>
      </c>
      <c r="C39" s="2">
        <v>47796.61</v>
      </c>
      <c r="D39" s="2">
        <v>128201.8</v>
      </c>
      <c r="E39" s="2">
        <v>189408.89</v>
      </c>
      <c r="F39" s="2">
        <v>218450.5</v>
      </c>
    </row>
    <row r="40" spans="1:6" x14ac:dyDescent="0.15">
      <c r="A40" s="2" t="s">
        <v>44</v>
      </c>
      <c r="B40" s="2">
        <v>13133.36</v>
      </c>
      <c r="C40" s="2">
        <v>49532.03</v>
      </c>
      <c r="D40" s="2">
        <v>129333.2</v>
      </c>
      <c r="E40" s="2">
        <v>191803.61</v>
      </c>
      <c r="F40" s="2">
        <v>221190.29</v>
      </c>
    </row>
    <row r="41" spans="1:6" x14ac:dyDescent="0.15">
      <c r="A41" s="2" t="s">
        <v>45</v>
      </c>
      <c r="B41" s="2">
        <v>12978.88</v>
      </c>
      <c r="C41" s="2">
        <v>49454.96</v>
      </c>
      <c r="D41" s="2">
        <v>131497.70000000001</v>
      </c>
      <c r="E41" s="2">
        <v>193254.31</v>
      </c>
      <c r="F41" s="2">
        <v>222887.56</v>
      </c>
    </row>
    <row r="42" spans="1:6" x14ac:dyDescent="0.15">
      <c r="A42" s="2" t="s">
        <v>46</v>
      </c>
      <c r="B42" s="2">
        <v>13306.82</v>
      </c>
      <c r="C42" s="2">
        <v>48995.89</v>
      </c>
      <c r="D42" s="2">
        <v>132045.60999999999</v>
      </c>
      <c r="E42" s="2">
        <v>194687.99</v>
      </c>
      <c r="F42" s="2">
        <v>224554.8</v>
      </c>
    </row>
    <row r="43" spans="1:6" x14ac:dyDescent="0.15">
      <c r="A43" s="2" t="s">
        <v>47</v>
      </c>
      <c r="B43" s="2">
        <v>13481.53</v>
      </c>
      <c r="C43" s="2">
        <v>49895.22</v>
      </c>
      <c r="D43" s="2">
        <v>133392.82999999999</v>
      </c>
      <c r="E43" s="2">
        <v>197469.68</v>
      </c>
      <c r="F43" s="2">
        <v>227642.14</v>
      </c>
    </row>
    <row r="44" spans="1:6" x14ac:dyDescent="0.15">
      <c r="A44" s="2" t="s">
        <v>48</v>
      </c>
      <c r="B44" s="2">
        <v>12846.1</v>
      </c>
      <c r="C44" s="2">
        <v>48922.29</v>
      </c>
      <c r="D44" s="2">
        <v>134075.19</v>
      </c>
      <c r="E44" s="2">
        <v>195420.63</v>
      </c>
      <c r="F44" s="2">
        <v>225906.82</v>
      </c>
    </row>
    <row r="45" spans="1:6" x14ac:dyDescent="0.15">
      <c r="A45" s="2" t="s">
        <v>49</v>
      </c>
      <c r="B45" s="2">
        <v>12959.69</v>
      </c>
      <c r="C45" s="2">
        <v>49553.15</v>
      </c>
      <c r="D45" s="2">
        <v>135157.99</v>
      </c>
      <c r="E45" s="2">
        <v>197489.22</v>
      </c>
      <c r="F45" s="2">
        <v>228749.35</v>
      </c>
    </row>
    <row r="46" spans="1:6" x14ac:dyDescent="0.15">
      <c r="A46" s="2" t="s">
        <v>50</v>
      </c>
      <c r="B46" s="2">
        <v>13399.33</v>
      </c>
      <c r="C46" s="2">
        <v>50043.199999999997</v>
      </c>
      <c r="D46" s="2">
        <v>137727.43</v>
      </c>
      <c r="E46" s="2">
        <v>201264.12</v>
      </c>
      <c r="F46" s="2">
        <v>232650.37</v>
      </c>
    </row>
    <row r="47" spans="1:6" x14ac:dyDescent="0.15">
      <c r="A47" s="2" t="s">
        <v>51</v>
      </c>
      <c r="B47" s="2">
        <v>13554.34</v>
      </c>
      <c r="C47" s="2">
        <v>49429.27</v>
      </c>
      <c r="D47" s="2">
        <v>138405.76000000001</v>
      </c>
      <c r="E47" s="2">
        <v>200960.3</v>
      </c>
      <c r="F47" s="2">
        <v>233233.79</v>
      </c>
    </row>
    <row r="48" spans="1:6" x14ac:dyDescent="0.15">
      <c r="A48" s="2" t="s">
        <v>52</v>
      </c>
      <c r="B48" s="2">
        <v>14139.41</v>
      </c>
      <c r="C48" s="2">
        <v>50239.37</v>
      </c>
      <c r="D48" s="2">
        <v>140296.07999999999</v>
      </c>
      <c r="E48" s="2">
        <v>204403.16</v>
      </c>
      <c r="F48" s="2">
        <v>237035.14</v>
      </c>
    </row>
    <row r="49" spans="1:6" x14ac:dyDescent="0.15">
      <c r="A49" s="2" t="s">
        <v>53</v>
      </c>
      <c r="B49" s="2">
        <v>14211.68</v>
      </c>
      <c r="C49" s="2">
        <v>51676.45</v>
      </c>
      <c r="D49" s="2">
        <v>141392.49</v>
      </c>
      <c r="E49" s="2">
        <v>207360.53</v>
      </c>
      <c r="F49" s="2">
        <v>239848.37</v>
      </c>
    </row>
    <row r="50" spans="1:6" x14ac:dyDescent="0.15">
      <c r="A50" s="2" t="s">
        <v>54</v>
      </c>
      <c r="B50" s="2">
        <v>13983.98</v>
      </c>
      <c r="C50" s="2">
        <v>51934</v>
      </c>
      <c r="D50" s="2">
        <v>145363.65</v>
      </c>
      <c r="E50" s="2">
        <v>211377.43</v>
      </c>
      <c r="F50" s="2">
        <v>244617.99</v>
      </c>
    </row>
    <row r="51" spans="1:6" x14ac:dyDescent="0.15">
      <c r="A51" s="2" t="s">
        <v>55</v>
      </c>
      <c r="B51" s="2">
        <v>13696.45</v>
      </c>
      <c r="C51" s="2">
        <v>53708.99</v>
      </c>
      <c r="D51" s="2">
        <v>146624.56</v>
      </c>
      <c r="E51" s="2">
        <v>213768.87</v>
      </c>
      <c r="F51" s="2">
        <v>248437.99</v>
      </c>
    </row>
    <row r="52" spans="1:6" x14ac:dyDescent="0.15">
      <c r="A52" s="2" t="s">
        <v>56</v>
      </c>
      <c r="B52" s="2">
        <v>14729.12</v>
      </c>
      <c r="C52" s="2">
        <v>53882.93</v>
      </c>
      <c r="D52" s="2">
        <v>147880.13</v>
      </c>
      <c r="E52" s="2">
        <v>216268.72</v>
      </c>
      <c r="F52" s="2">
        <v>250997.14</v>
      </c>
    </row>
    <row r="53" spans="1:6" x14ac:dyDescent="0.15">
      <c r="A53" s="2" t="s">
        <v>57</v>
      </c>
      <c r="B53" s="2">
        <v>14733.28</v>
      </c>
      <c r="C53" s="2">
        <v>54347.62</v>
      </c>
      <c r="D53" s="2">
        <v>150118.31</v>
      </c>
      <c r="E53" s="2">
        <v>219050.67</v>
      </c>
      <c r="F53" s="2">
        <v>254885.23</v>
      </c>
    </row>
    <row r="54" spans="1:6" x14ac:dyDescent="0.15">
      <c r="A54" s="2" t="s">
        <v>58</v>
      </c>
      <c r="B54" s="2">
        <v>14713.57</v>
      </c>
      <c r="C54" s="2">
        <v>55766.17</v>
      </c>
      <c r="D54" s="2">
        <v>151391.98000000001</v>
      </c>
      <c r="E54" s="2">
        <v>221452.88</v>
      </c>
      <c r="F54" s="2">
        <v>257775.48</v>
      </c>
    </row>
    <row r="55" spans="1:6" x14ac:dyDescent="0.15">
      <c r="A55" s="2" t="s">
        <v>59</v>
      </c>
      <c r="B55" s="2">
        <v>15192.19</v>
      </c>
      <c r="C55" s="2">
        <v>56092.17</v>
      </c>
      <c r="D55" s="2">
        <v>155119.25</v>
      </c>
      <c r="E55" s="2">
        <v>226458.22</v>
      </c>
      <c r="F55" s="2">
        <v>263761.34999999998</v>
      </c>
    </row>
    <row r="56" spans="1:6" x14ac:dyDescent="0.15">
      <c r="A56" s="2" t="s">
        <v>60</v>
      </c>
      <c r="B56" s="2">
        <v>15482.16</v>
      </c>
      <c r="C56" s="2">
        <v>57665.57</v>
      </c>
      <c r="D56" s="2">
        <v>156773.97</v>
      </c>
      <c r="E56" s="2">
        <v>229259.6</v>
      </c>
      <c r="F56" s="2">
        <v>267617.34999999998</v>
      </c>
    </row>
    <row r="57" spans="1:6" x14ac:dyDescent="0.15">
      <c r="A57" s="2" t="s">
        <v>61</v>
      </c>
      <c r="B57" s="2">
        <v>14868.77</v>
      </c>
      <c r="C57" s="2">
        <v>53139.34</v>
      </c>
      <c r="D57" s="2">
        <v>153392.12</v>
      </c>
      <c r="E57" s="2">
        <v>220894.32</v>
      </c>
      <c r="F57" s="2">
        <v>257496.67</v>
      </c>
    </row>
    <row r="58" spans="1:6" x14ac:dyDescent="0.15">
      <c r="A58" s="2" t="s">
        <v>62</v>
      </c>
      <c r="B58" s="2">
        <v>14466.75</v>
      </c>
      <c r="C58" s="2">
        <v>49608.28</v>
      </c>
      <c r="D58" s="2">
        <v>154610.03</v>
      </c>
      <c r="E58" s="2">
        <v>218818.58</v>
      </c>
      <c r="F58" s="2">
        <v>253933.31</v>
      </c>
    </row>
    <row r="59" spans="1:6" x14ac:dyDescent="0.15">
      <c r="A59" s="2" t="s">
        <v>63</v>
      </c>
      <c r="B59" s="2">
        <v>14306.87</v>
      </c>
      <c r="C59" s="2">
        <v>52106.14</v>
      </c>
      <c r="D59" s="2">
        <v>156174.85</v>
      </c>
      <c r="E59" s="2">
        <v>221852.6</v>
      </c>
      <c r="F59" s="2">
        <v>258515.71</v>
      </c>
    </row>
    <row r="60" spans="1:6" x14ac:dyDescent="0.15">
      <c r="A60" s="2" t="s">
        <v>64</v>
      </c>
      <c r="B60" s="2">
        <v>14440.55</v>
      </c>
      <c r="C60" s="2">
        <v>54118.400000000001</v>
      </c>
      <c r="D60" s="2">
        <v>158989.62</v>
      </c>
      <c r="E60" s="2">
        <v>226828.03</v>
      </c>
      <c r="F60" s="2">
        <v>264580.07</v>
      </c>
    </row>
    <row r="61" spans="1:6" x14ac:dyDescent="0.15">
      <c r="A61" s="2" t="s">
        <v>65</v>
      </c>
      <c r="B61" s="2">
        <v>15061.39</v>
      </c>
      <c r="C61" s="2">
        <v>56358.52</v>
      </c>
      <c r="D61" s="2">
        <v>161267.78</v>
      </c>
      <c r="E61" s="2">
        <v>232234.6</v>
      </c>
      <c r="F61" s="2">
        <v>271276.65000000002</v>
      </c>
    </row>
    <row r="62" spans="1:6" x14ac:dyDescent="0.15">
      <c r="A62" s="2" t="s">
        <v>66</v>
      </c>
      <c r="B62" s="2">
        <v>15350.96</v>
      </c>
      <c r="C62" s="2">
        <v>56986.48</v>
      </c>
      <c r="D62" s="2">
        <v>164217.44</v>
      </c>
      <c r="E62" s="2">
        <v>237101.56</v>
      </c>
      <c r="F62" s="2">
        <v>277461.7</v>
      </c>
    </row>
    <row r="63" spans="1:6" x14ac:dyDescent="0.15">
      <c r="A63" s="2" t="s">
        <v>67</v>
      </c>
      <c r="B63" s="2">
        <v>15715.46</v>
      </c>
      <c r="C63" s="2">
        <v>58510.38</v>
      </c>
      <c r="D63" s="2">
        <v>165577.57999999999</v>
      </c>
      <c r="E63" s="2">
        <v>239593.89</v>
      </c>
      <c r="F63" s="2">
        <v>280163.53000000003</v>
      </c>
    </row>
    <row r="64" spans="1:6" x14ac:dyDescent="0.15">
      <c r="A64" s="2" t="s">
        <v>68</v>
      </c>
      <c r="B64" s="2">
        <v>15360.19</v>
      </c>
      <c r="C64" s="2">
        <v>58729.03</v>
      </c>
      <c r="D64" s="2">
        <v>168086.09</v>
      </c>
      <c r="E64" s="2">
        <v>241407.91</v>
      </c>
      <c r="F64" s="2">
        <v>283033.40999999997</v>
      </c>
    </row>
    <row r="65" spans="1:6" x14ac:dyDescent="0.15">
      <c r="A65" s="2" t="s">
        <v>69</v>
      </c>
      <c r="B65" s="2">
        <v>15627.94</v>
      </c>
      <c r="C65" s="2">
        <v>59636.49</v>
      </c>
      <c r="D65" s="2">
        <v>169830.97</v>
      </c>
      <c r="E65" s="2">
        <v>244652.21</v>
      </c>
      <c r="F65" s="2">
        <v>286869.08</v>
      </c>
    </row>
    <row r="66" spans="1:6" x14ac:dyDescent="0.15">
      <c r="A66" s="2" t="s">
        <v>70</v>
      </c>
      <c r="B66" s="2">
        <v>15995.73</v>
      </c>
      <c r="C66" s="2">
        <v>59694.76</v>
      </c>
      <c r="D66" s="2">
        <v>171900.2</v>
      </c>
      <c r="E66" s="2">
        <v>248237.67</v>
      </c>
      <c r="F66" s="2">
        <v>291026.81</v>
      </c>
    </row>
    <row r="67" spans="1:6" x14ac:dyDescent="0.15">
      <c r="A67" s="2" t="s">
        <v>71</v>
      </c>
      <c r="B67" s="2">
        <v>15840.37</v>
      </c>
      <c r="C67" s="2">
        <v>61811.47</v>
      </c>
      <c r="D67" s="2">
        <v>172821.23</v>
      </c>
      <c r="E67" s="2">
        <v>249996.74</v>
      </c>
      <c r="F67" s="2">
        <v>293840.40000000002</v>
      </c>
    </row>
    <row r="68" spans="1:6" x14ac:dyDescent="0.15">
      <c r="A68" s="2" t="s">
        <v>72</v>
      </c>
      <c r="B68" s="2">
        <v>16650.740000000002</v>
      </c>
      <c r="C68" s="2">
        <v>61070.98</v>
      </c>
      <c r="D68" s="2">
        <v>172809.52</v>
      </c>
      <c r="E68" s="2">
        <v>249734.01</v>
      </c>
      <c r="F68" s="2">
        <v>293222.62</v>
      </c>
    </row>
    <row r="69" spans="1:6" x14ac:dyDescent="0.15">
      <c r="A69" s="2" t="s">
        <v>73</v>
      </c>
      <c r="B69" s="2">
        <v>17463.72</v>
      </c>
      <c r="C69" s="2">
        <v>60902.07</v>
      </c>
      <c r="D69" s="2">
        <v>173724.08</v>
      </c>
      <c r="E69" s="2">
        <v>251801.89</v>
      </c>
      <c r="F69" s="2">
        <v>295627.71000000002</v>
      </c>
    </row>
    <row r="70" spans="1:6" x14ac:dyDescent="0.15">
      <c r="A70" s="2" t="s">
        <v>74</v>
      </c>
      <c r="B70" s="2">
        <v>14046.52</v>
      </c>
      <c r="C70" s="2">
        <v>60994.31</v>
      </c>
      <c r="D70" s="2">
        <v>173517.53</v>
      </c>
      <c r="E70" s="2">
        <v>248211.21</v>
      </c>
      <c r="F70" s="2">
        <v>291821</v>
      </c>
    </row>
    <row r="71" spans="1:6" x14ac:dyDescent="0.15">
      <c r="A71" s="2" t="s">
        <v>75</v>
      </c>
      <c r="B71" s="2">
        <v>15792.66</v>
      </c>
      <c r="C71" s="2">
        <v>59836.82</v>
      </c>
      <c r="D71" s="2">
        <v>177043.18</v>
      </c>
      <c r="E71" s="2">
        <v>252017.14</v>
      </c>
      <c r="F71" s="2">
        <v>296834.15999999997</v>
      </c>
    </row>
    <row r="72" spans="1:6" x14ac:dyDescent="0.15">
      <c r="A72" s="2" t="s">
        <v>76</v>
      </c>
      <c r="B72" s="2">
        <v>17576</v>
      </c>
      <c r="C72" s="2">
        <v>60729.35</v>
      </c>
      <c r="D72" s="2">
        <v>178860.76</v>
      </c>
      <c r="E72" s="2">
        <v>256559.5</v>
      </c>
      <c r="F72" s="2">
        <v>302009.01</v>
      </c>
    </row>
    <row r="73" spans="1:6" x14ac:dyDescent="0.15">
      <c r="A73" s="2" t="s">
        <v>77</v>
      </c>
      <c r="B73" s="2">
        <v>16652.55</v>
      </c>
      <c r="C73" s="2">
        <v>60196.639999999999</v>
      </c>
      <c r="D73" s="2">
        <v>179768.2</v>
      </c>
      <c r="E73" s="2">
        <v>256022.66</v>
      </c>
      <c r="F73" s="2">
        <v>301929.65000000002</v>
      </c>
    </row>
    <row r="74" spans="1:6" x14ac:dyDescent="0.15">
      <c r="A74" s="2" t="s">
        <v>78</v>
      </c>
      <c r="B74" s="2">
        <v>16803.64</v>
      </c>
      <c r="C74" s="2">
        <v>60339.26</v>
      </c>
      <c r="D74" s="2">
        <v>180404.88</v>
      </c>
      <c r="E74" s="2">
        <v>257215.62</v>
      </c>
      <c r="F74" s="2">
        <v>303302.45</v>
      </c>
    </row>
    <row r="75" spans="1:6" x14ac:dyDescent="0.15">
      <c r="A75" s="2" t="s">
        <v>79</v>
      </c>
      <c r="B75" s="2">
        <v>17371.669999999998</v>
      </c>
      <c r="C75" s="2">
        <v>62210.35</v>
      </c>
      <c r="D75" s="2">
        <v>182548.77</v>
      </c>
      <c r="E75" s="2">
        <v>261837.19</v>
      </c>
      <c r="F75" s="2">
        <v>308425.78000000003</v>
      </c>
    </row>
    <row r="76" spans="1:6" x14ac:dyDescent="0.15">
      <c r="A76" s="2" t="s">
        <v>80</v>
      </c>
      <c r="B76" s="2">
        <v>17320.37</v>
      </c>
      <c r="C76" s="2">
        <v>62475.21</v>
      </c>
      <c r="D76" s="2">
        <v>183450.93</v>
      </c>
      <c r="E76" s="2">
        <v>262311.94</v>
      </c>
      <c r="F76" s="2">
        <v>309419.96999999997</v>
      </c>
    </row>
    <row r="77" spans="1:6" x14ac:dyDescent="0.15">
      <c r="A77" s="2" t="s">
        <v>81</v>
      </c>
      <c r="B77" s="2">
        <v>17532.93</v>
      </c>
      <c r="C77" s="2">
        <v>61960.97</v>
      </c>
      <c r="D77" s="2">
        <v>184059.55</v>
      </c>
      <c r="E77" s="2">
        <v>262815.23</v>
      </c>
      <c r="F77" s="2">
        <v>309757.15999999997</v>
      </c>
    </row>
    <row r="78" spans="1:6" x14ac:dyDescent="0.15">
      <c r="A78" s="2" t="s">
        <v>82</v>
      </c>
      <c r="B78" s="2">
        <v>17675.080000000002</v>
      </c>
      <c r="C78" s="2">
        <v>61923.62</v>
      </c>
      <c r="D78" s="2">
        <v>185473.02</v>
      </c>
      <c r="E78" s="2">
        <v>265269.26</v>
      </c>
      <c r="F78" s="2">
        <v>312558.28999999998</v>
      </c>
    </row>
    <row r="79" spans="1:6" x14ac:dyDescent="0.15">
      <c r="A79" s="2" t="s">
        <v>83</v>
      </c>
      <c r="B79" s="2">
        <v>17372.689999999999</v>
      </c>
      <c r="C79" s="2">
        <v>60552.15</v>
      </c>
      <c r="D79" s="2">
        <v>183776.69</v>
      </c>
      <c r="E79" s="2">
        <v>260835.41</v>
      </c>
      <c r="F79" s="2">
        <v>307812.09999999998</v>
      </c>
    </row>
    <row r="80" spans="1:6" x14ac:dyDescent="0.15">
      <c r="A80" s="2" t="s">
        <v>84</v>
      </c>
      <c r="B80" s="2">
        <v>17750.169999999998</v>
      </c>
      <c r="C80" s="2">
        <v>60154.36</v>
      </c>
      <c r="D80" s="2">
        <v>184151.58</v>
      </c>
      <c r="E80" s="2">
        <v>260957.11</v>
      </c>
      <c r="F80" s="2">
        <v>307727.24</v>
      </c>
    </row>
    <row r="81" spans="1:6" x14ac:dyDescent="0.15">
      <c r="A81" s="2" t="s">
        <v>85</v>
      </c>
      <c r="B81" s="2">
        <v>18216.009999999998</v>
      </c>
      <c r="C81" s="2">
        <v>60616.12</v>
      </c>
      <c r="D81" s="2">
        <v>184398.77</v>
      </c>
      <c r="E81" s="2">
        <v>262094.65</v>
      </c>
      <c r="F81" s="2">
        <v>309258.76</v>
      </c>
    </row>
    <row r="82" spans="1:6" x14ac:dyDescent="0.15">
      <c r="A82" s="2" t="s">
        <v>86</v>
      </c>
      <c r="B82" s="2">
        <v>18648.16</v>
      </c>
      <c r="C82" s="2">
        <v>59498.89</v>
      </c>
      <c r="D82" s="2">
        <v>183209.32</v>
      </c>
      <c r="E82" s="2">
        <v>260805.74</v>
      </c>
      <c r="F82" s="2">
        <v>307220.58</v>
      </c>
    </row>
    <row r="83" spans="1:6" x14ac:dyDescent="0.15">
      <c r="A83" s="2" t="s">
        <v>87</v>
      </c>
      <c r="B83" s="2">
        <v>18100.25</v>
      </c>
      <c r="C83" s="2">
        <v>57564.49</v>
      </c>
      <c r="D83" s="2">
        <v>179759.62</v>
      </c>
      <c r="E83" s="2">
        <v>254433.95</v>
      </c>
      <c r="F83" s="2">
        <v>299214.26</v>
      </c>
    </row>
    <row r="84" spans="1:6" x14ac:dyDescent="0.15">
      <c r="A84" s="2" t="s">
        <v>88</v>
      </c>
      <c r="B84" s="2">
        <v>17964.38</v>
      </c>
      <c r="C84" s="2">
        <v>56559.15</v>
      </c>
      <c r="D84" s="2">
        <v>177814.89</v>
      </c>
      <c r="E84" s="2">
        <v>251158.18</v>
      </c>
      <c r="F84" s="2">
        <v>294743.87</v>
      </c>
    </row>
    <row r="85" spans="1:6" x14ac:dyDescent="0.15">
      <c r="A85" s="2" t="s">
        <v>89</v>
      </c>
      <c r="B85" s="2">
        <v>18356.8</v>
      </c>
      <c r="C85" s="2">
        <v>55562.68</v>
      </c>
      <c r="D85" s="2">
        <v>177000.63</v>
      </c>
      <c r="E85" s="2">
        <v>249752.2</v>
      </c>
      <c r="F85" s="2">
        <v>292427.19</v>
      </c>
    </row>
    <row r="86" spans="1:6" x14ac:dyDescent="0.15">
      <c r="A86" s="2" t="s">
        <v>90</v>
      </c>
      <c r="B86" s="2">
        <v>17049.73</v>
      </c>
      <c r="C86" s="2">
        <v>55405.279999999999</v>
      </c>
      <c r="D86" s="2">
        <v>175219.36</v>
      </c>
      <c r="E86" s="2">
        <v>245680.91</v>
      </c>
      <c r="F86" s="2">
        <v>287768.18</v>
      </c>
    </row>
    <row r="87" spans="1:6" x14ac:dyDescent="0.15">
      <c r="A87" s="2" t="s">
        <v>91</v>
      </c>
      <c r="B87" s="2">
        <v>17061.669999999998</v>
      </c>
      <c r="C87" s="2">
        <v>55135.519999999997</v>
      </c>
      <c r="D87" s="2">
        <v>175982.97</v>
      </c>
      <c r="E87" s="2">
        <v>247466.76</v>
      </c>
      <c r="F87" s="2">
        <v>289387</v>
      </c>
    </row>
    <row r="88" spans="1:6" x14ac:dyDescent="0.15">
      <c r="A88" s="2" t="s">
        <v>92</v>
      </c>
      <c r="B88" s="2">
        <v>17348.52</v>
      </c>
      <c r="C88" s="2">
        <v>54555</v>
      </c>
      <c r="D88" s="2">
        <v>174851.06</v>
      </c>
      <c r="E88" s="2">
        <v>245770.45</v>
      </c>
      <c r="F88" s="2">
        <v>287566.52</v>
      </c>
    </row>
    <row r="89" spans="1:6" x14ac:dyDescent="0.15">
      <c r="A89" s="2" t="s">
        <v>93</v>
      </c>
      <c r="B89" s="2">
        <v>18185.23</v>
      </c>
      <c r="C89" s="2">
        <v>53596.25</v>
      </c>
      <c r="D89" s="2">
        <v>173945.44</v>
      </c>
      <c r="E89" s="2">
        <v>245302.31</v>
      </c>
      <c r="F89" s="2">
        <v>287044.23</v>
      </c>
    </row>
    <row r="90" spans="1:6" x14ac:dyDescent="0.15">
      <c r="A90" s="2" t="s">
        <v>94</v>
      </c>
      <c r="B90" s="2">
        <v>20370.71</v>
      </c>
      <c r="C90" s="2">
        <v>53916.7</v>
      </c>
      <c r="D90" s="2">
        <v>174797.95</v>
      </c>
      <c r="E90" s="2">
        <v>248468.36</v>
      </c>
      <c r="F90" s="2">
        <v>290242.46999999997</v>
      </c>
    </row>
    <row r="91" spans="1:6" x14ac:dyDescent="0.15">
      <c r="A91" s="2" t="s">
        <v>95</v>
      </c>
      <c r="B91" s="2">
        <v>19724.849999999999</v>
      </c>
      <c r="C91" s="2">
        <v>54347.69</v>
      </c>
      <c r="D91" s="2">
        <v>176584.88</v>
      </c>
      <c r="E91" s="2">
        <v>249556.63</v>
      </c>
      <c r="F91" s="2">
        <v>292393.43</v>
      </c>
    </row>
    <row r="92" spans="1:6" x14ac:dyDescent="0.15">
      <c r="A92" s="2" t="s">
        <v>96</v>
      </c>
      <c r="B92" s="2">
        <v>19288.830000000002</v>
      </c>
      <c r="C92" s="2">
        <v>54350.12</v>
      </c>
      <c r="D92" s="2">
        <v>177724.91</v>
      </c>
      <c r="E92" s="2">
        <v>250141.54</v>
      </c>
      <c r="F92" s="2">
        <v>293286.62</v>
      </c>
    </row>
    <row r="93" spans="1:6" x14ac:dyDescent="0.15">
      <c r="A93" s="2" t="s">
        <v>97</v>
      </c>
      <c r="B93" s="2">
        <v>19365.86</v>
      </c>
      <c r="C93" s="2">
        <v>54946.87</v>
      </c>
      <c r="D93" s="2">
        <v>178119.73</v>
      </c>
      <c r="E93" s="2">
        <v>251315.68</v>
      </c>
      <c r="F93" s="2">
        <v>294537.96000000002</v>
      </c>
    </row>
    <row r="94" spans="1:6" x14ac:dyDescent="0.15">
      <c r="A94" s="2" t="s">
        <v>98</v>
      </c>
      <c r="B94" s="2">
        <v>19699.16</v>
      </c>
      <c r="C94" s="2">
        <v>55093.09</v>
      </c>
      <c r="D94" s="2">
        <v>179499.06</v>
      </c>
      <c r="E94" s="2">
        <v>252557.95</v>
      </c>
      <c r="F94" s="2">
        <v>296118.06</v>
      </c>
    </row>
    <row r="95" spans="1:6" x14ac:dyDescent="0.15">
      <c r="A95" s="2" t="s">
        <v>99</v>
      </c>
      <c r="B95" s="2">
        <v>19836.060000000001</v>
      </c>
      <c r="C95" s="2">
        <v>54498.51</v>
      </c>
      <c r="D95" s="2">
        <v>180244.34</v>
      </c>
      <c r="E95" s="2">
        <v>253584.84</v>
      </c>
      <c r="F95" s="2">
        <v>296618.62</v>
      </c>
    </row>
    <row r="96" spans="1:6" x14ac:dyDescent="0.15">
      <c r="A96" s="2" t="s">
        <v>100</v>
      </c>
      <c r="B96" s="2">
        <v>20296.060000000001</v>
      </c>
      <c r="C96" s="2">
        <v>54950.1</v>
      </c>
      <c r="D96" s="2">
        <v>181366.65</v>
      </c>
      <c r="E96" s="2">
        <v>255276.95</v>
      </c>
      <c r="F96" s="2">
        <v>299226.71999999997</v>
      </c>
    </row>
    <row r="97" spans="1:6" x14ac:dyDescent="0.15">
      <c r="A97" s="2" t="s">
        <v>101</v>
      </c>
      <c r="B97" s="2">
        <v>20545.349999999999</v>
      </c>
      <c r="C97" s="2">
        <v>54570</v>
      </c>
      <c r="D97" s="2">
        <v>180539.62</v>
      </c>
      <c r="E97" s="2">
        <v>254727.69</v>
      </c>
      <c r="F97" s="2">
        <v>298137.38</v>
      </c>
    </row>
    <row r="98" spans="1:6" x14ac:dyDescent="0.15">
      <c r="A98" s="2" t="s">
        <v>102</v>
      </c>
      <c r="B98" s="2">
        <v>19671.37</v>
      </c>
      <c r="C98" s="2">
        <v>53901.41</v>
      </c>
      <c r="D98" s="2">
        <v>183080.7</v>
      </c>
      <c r="E98" s="2">
        <v>255699.06</v>
      </c>
      <c r="F98" s="2">
        <v>299610.45</v>
      </c>
    </row>
    <row r="99" spans="1:6" x14ac:dyDescent="0.15">
      <c r="A99" s="2" t="s">
        <v>103</v>
      </c>
      <c r="B99" s="2">
        <v>20021.61</v>
      </c>
      <c r="C99" s="2">
        <v>54731.38</v>
      </c>
      <c r="D99" s="2">
        <v>183057.1</v>
      </c>
      <c r="E99" s="2">
        <v>256250.57</v>
      </c>
      <c r="F99" s="2">
        <v>301355.33</v>
      </c>
    </row>
    <row r="100" spans="1:6" x14ac:dyDescent="0.15">
      <c r="A100" s="2" t="s">
        <v>104</v>
      </c>
      <c r="B100" s="2">
        <v>20578.62</v>
      </c>
      <c r="C100" s="2">
        <v>54566.69</v>
      </c>
      <c r="D100" s="2">
        <v>183131.42</v>
      </c>
      <c r="E100" s="2">
        <v>256449.8</v>
      </c>
      <c r="F100" s="2">
        <v>301314.13</v>
      </c>
    </row>
    <row r="101" spans="1:6" x14ac:dyDescent="0.15">
      <c r="A101" s="2" t="s">
        <v>105</v>
      </c>
      <c r="B101" s="2">
        <v>20439.099999999999</v>
      </c>
      <c r="C101" s="2">
        <v>54442.49</v>
      </c>
      <c r="D101" s="2">
        <v>183312.98</v>
      </c>
      <c r="E101" s="2">
        <v>257676.99</v>
      </c>
      <c r="F101" s="2">
        <v>302313.7</v>
      </c>
    </row>
    <row r="102" spans="1:6" x14ac:dyDescent="0.15">
      <c r="A102" s="2" t="s">
        <v>106</v>
      </c>
      <c r="B102" s="2">
        <v>20600.27</v>
      </c>
      <c r="C102" s="2">
        <v>53415.59</v>
      </c>
      <c r="D102" s="2">
        <v>180381.02</v>
      </c>
      <c r="E102" s="2">
        <v>252174.13</v>
      </c>
      <c r="F102" s="2">
        <v>295448.31</v>
      </c>
    </row>
    <row r="103" spans="1:6" x14ac:dyDescent="0.15">
      <c r="A103" s="2" t="s">
        <v>187</v>
      </c>
      <c r="B103" s="2">
        <v>20973.72</v>
      </c>
      <c r="C103" s="2">
        <v>47610.97</v>
      </c>
      <c r="D103" s="2">
        <v>164194.57999999999</v>
      </c>
      <c r="E103" s="2">
        <v>230226.19</v>
      </c>
      <c r="F103" s="2">
        <v>269288.53999999998</v>
      </c>
    </row>
    <row r="104" spans="1:6" x14ac:dyDescent="0.15">
      <c r="A104" s="2" t="s">
        <v>188</v>
      </c>
      <c r="B104" s="2">
        <v>21093.5</v>
      </c>
      <c r="C104" s="2">
        <v>54329</v>
      </c>
      <c r="D104" s="2">
        <v>174374.2</v>
      </c>
      <c r="E104" s="2">
        <v>247563.98</v>
      </c>
      <c r="F104" s="2">
        <v>290207.63</v>
      </c>
    </row>
    <row r="105" spans="1:6" x14ac:dyDescent="0.15">
      <c r="A105" s="2" t="s">
        <v>191</v>
      </c>
      <c r="B105" s="2">
        <v>20867.919999999998</v>
      </c>
      <c r="C105" s="2">
        <v>54893.25</v>
      </c>
      <c r="D105" s="2">
        <v>179664.83</v>
      </c>
      <c r="E105" s="2">
        <v>254703.09</v>
      </c>
      <c r="F105" s="2">
        <v>299246.8</v>
      </c>
    </row>
    <row r="106" spans="1:6" x14ac:dyDescent="0.15">
      <c r="A106" s="2" t="s">
        <v>192</v>
      </c>
      <c r="B106" s="2">
        <v>21666.57</v>
      </c>
      <c r="C106" s="2">
        <v>55381.71</v>
      </c>
      <c r="D106" s="2">
        <v>181353.5</v>
      </c>
      <c r="E106" s="2">
        <v>258094.34</v>
      </c>
      <c r="F106" s="2">
        <v>303267.08</v>
      </c>
    </row>
    <row r="107" spans="1:6" x14ac:dyDescent="0.15">
      <c r="A107" s="2" t="s">
        <v>193</v>
      </c>
      <c r="B107" s="2">
        <v>21048.51</v>
      </c>
      <c r="C107" s="2">
        <v>55077.67</v>
      </c>
      <c r="D107" s="2">
        <v>182397.09</v>
      </c>
      <c r="E107" s="2">
        <v>257110.45</v>
      </c>
      <c r="F107" s="2">
        <v>302202.11</v>
      </c>
    </row>
    <row r="108" spans="1:6" x14ac:dyDescent="0.15">
      <c r="A108" s="2" t="s">
        <v>194</v>
      </c>
      <c r="B108" s="2">
        <v>19373</v>
      </c>
      <c r="C108" s="2">
        <v>55063.29</v>
      </c>
      <c r="D108" s="2">
        <v>184461.69</v>
      </c>
      <c r="E108" s="2">
        <v>256721.61</v>
      </c>
      <c r="F108" s="2">
        <v>301918.52</v>
      </c>
    </row>
    <row r="109" spans="1:6" x14ac:dyDescent="0.15">
      <c r="A109" s="2" t="s">
        <v>107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E3929-5BD4-4F80-BF19-56F0B42D363D}">
  <sheetPr codeName="Sheet4"/>
  <dimension ref="A1:G108"/>
  <sheetViews>
    <sheetView showGridLines="0" topLeftCell="A99" zoomScale="85" zoomScaleNormal="85" workbookViewId="0">
      <selection activeCell="E19" sqref="E19"/>
    </sheetView>
  </sheetViews>
  <sheetFormatPr baseColWidth="10" defaultColWidth="0" defaultRowHeight="11" x14ac:dyDescent="0.15"/>
  <cols>
    <col min="1" max="6" width="12" style="2" customWidth="1"/>
    <col min="7" max="7" width="8.83203125" style="2" customWidth="1"/>
    <col min="8" max="16384" width="8.83203125" style="2" hidden="1"/>
  </cols>
  <sheetData>
    <row r="1" spans="1:6" x14ac:dyDescent="0.15">
      <c r="A1" s="2" t="s">
        <v>0</v>
      </c>
    </row>
    <row r="2" spans="1:6" x14ac:dyDescent="0.15">
      <c r="A2" s="2" t="s">
        <v>1</v>
      </c>
    </row>
    <row r="3" spans="1:6" x14ac:dyDescent="0.15">
      <c r="A3" s="2" t="s">
        <v>2</v>
      </c>
    </row>
    <row r="4" spans="1:6" x14ac:dyDescent="0.15">
      <c r="A4" s="2" t="s">
        <v>3</v>
      </c>
      <c r="B4" s="2" t="s">
        <v>4</v>
      </c>
    </row>
    <row r="5" spans="1:6" x14ac:dyDescent="0.15">
      <c r="B5" s="2" t="s">
        <v>5</v>
      </c>
      <c r="C5" s="2" t="s">
        <v>6</v>
      </c>
      <c r="D5" s="2" t="s">
        <v>7</v>
      </c>
      <c r="E5" s="2" t="s">
        <v>8</v>
      </c>
      <c r="F5" s="2" t="s">
        <v>9</v>
      </c>
    </row>
    <row r="6" spans="1:6" x14ac:dyDescent="0.15">
      <c r="A6" s="2" t="s">
        <v>10</v>
      </c>
      <c r="B6" s="2">
        <v>8427.91</v>
      </c>
      <c r="C6" s="2">
        <v>41353.949999999997</v>
      </c>
      <c r="D6" s="2">
        <v>103263.7</v>
      </c>
      <c r="E6" s="2">
        <v>152555.87</v>
      </c>
      <c r="F6" s="2">
        <v>175700.84</v>
      </c>
    </row>
    <row r="7" spans="1:6" x14ac:dyDescent="0.15">
      <c r="A7" s="2" t="s">
        <v>11</v>
      </c>
      <c r="B7" s="2">
        <v>8543.31</v>
      </c>
      <c r="C7" s="2">
        <v>40263.21</v>
      </c>
      <c r="D7" s="2">
        <v>104709.6</v>
      </c>
      <c r="E7" s="2">
        <v>153570.32999999999</v>
      </c>
      <c r="F7" s="2">
        <v>177259.05</v>
      </c>
    </row>
    <row r="8" spans="1:6" x14ac:dyDescent="0.15">
      <c r="A8" s="2" t="s">
        <v>12</v>
      </c>
      <c r="B8" s="2">
        <v>9002.39</v>
      </c>
      <c r="C8" s="2">
        <v>43700.58</v>
      </c>
      <c r="D8" s="2">
        <v>106549.06</v>
      </c>
      <c r="E8" s="2">
        <v>159420.75</v>
      </c>
      <c r="F8" s="2">
        <v>184207.5</v>
      </c>
    </row>
    <row r="9" spans="1:6" x14ac:dyDescent="0.15">
      <c r="A9" s="2" t="s">
        <v>13</v>
      </c>
      <c r="B9" s="2">
        <v>11119.88</v>
      </c>
      <c r="C9" s="2">
        <v>41064.85</v>
      </c>
      <c r="D9" s="2">
        <v>104241.12</v>
      </c>
      <c r="E9" s="2">
        <v>155604.48000000001</v>
      </c>
      <c r="F9" s="2">
        <v>182316.41</v>
      </c>
    </row>
    <row r="10" spans="1:6" x14ac:dyDescent="0.15">
      <c r="A10" s="2" t="s">
        <v>14</v>
      </c>
      <c r="B10" s="2">
        <v>9013.7999999999993</v>
      </c>
      <c r="C10" s="2">
        <v>43298.04</v>
      </c>
      <c r="D10" s="2">
        <v>106447.8</v>
      </c>
      <c r="E10" s="2">
        <v>158330.98000000001</v>
      </c>
      <c r="F10" s="2">
        <v>184104.17</v>
      </c>
    </row>
    <row r="11" spans="1:6" x14ac:dyDescent="0.15">
      <c r="A11" s="2" t="s">
        <v>15</v>
      </c>
      <c r="B11" s="2">
        <v>8878.6200000000008</v>
      </c>
      <c r="C11" s="2">
        <v>43097.79</v>
      </c>
      <c r="D11" s="2">
        <v>107056.69</v>
      </c>
      <c r="E11" s="2">
        <v>159404.82</v>
      </c>
      <c r="F11" s="2">
        <v>185371.28</v>
      </c>
    </row>
    <row r="12" spans="1:6" x14ac:dyDescent="0.15">
      <c r="A12" s="2" t="s">
        <v>16</v>
      </c>
      <c r="B12" s="2">
        <v>9168.14</v>
      </c>
      <c r="C12" s="2">
        <v>43861.21</v>
      </c>
      <c r="D12" s="2">
        <v>107942.37</v>
      </c>
      <c r="E12" s="2">
        <v>160975.51</v>
      </c>
      <c r="F12" s="2">
        <v>187656.5</v>
      </c>
    </row>
    <row r="13" spans="1:6" x14ac:dyDescent="0.15">
      <c r="A13" s="2" t="s">
        <v>17</v>
      </c>
      <c r="B13" s="2">
        <v>9952.3799999999992</v>
      </c>
      <c r="C13" s="2">
        <v>43727.22</v>
      </c>
      <c r="D13" s="2">
        <v>109097.45</v>
      </c>
      <c r="E13" s="2">
        <v>162464.26999999999</v>
      </c>
      <c r="F13" s="2">
        <v>189110.61</v>
      </c>
    </row>
    <row r="14" spans="1:6" x14ac:dyDescent="0.15">
      <c r="A14" s="2" t="s">
        <v>18</v>
      </c>
      <c r="B14" s="2">
        <v>8861.39</v>
      </c>
      <c r="C14" s="2">
        <v>42910.68</v>
      </c>
      <c r="D14" s="2">
        <v>107901.06</v>
      </c>
      <c r="E14" s="2">
        <v>159733.59</v>
      </c>
      <c r="F14" s="2">
        <v>185481.57</v>
      </c>
    </row>
    <row r="15" spans="1:6" x14ac:dyDescent="0.15">
      <c r="A15" s="2" t="s">
        <v>19</v>
      </c>
      <c r="B15" s="2">
        <v>9969.4599999999991</v>
      </c>
      <c r="C15" s="2">
        <v>43333.37</v>
      </c>
      <c r="D15" s="2">
        <v>109043.37</v>
      </c>
      <c r="E15" s="2">
        <v>162390.70000000001</v>
      </c>
      <c r="F15" s="2">
        <v>188458.95</v>
      </c>
    </row>
    <row r="16" spans="1:6" x14ac:dyDescent="0.15">
      <c r="A16" s="2" t="s">
        <v>20</v>
      </c>
      <c r="B16" s="2">
        <v>9708.8799999999992</v>
      </c>
      <c r="C16" s="2">
        <v>42709</v>
      </c>
      <c r="D16" s="2">
        <v>109937.41</v>
      </c>
      <c r="E16" s="2">
        <v>162409.49</v>
      </c>
      <c r="F16" s="2">
        <v>188580.5</v>
      </c>
    </row>
    <row r="17" spans="1:6" x14ac:dyDescent="0.15">
      <c r="A17" s="2" t="s">
        <v>21</v>
      </c>
      <c r="B17" s="2">
        <v>9504.39</v>
      </c>
      <c r="C17" s="2">
        <v>41390.93</v>
      </c>
      <c r="D17" s="2">
        <v>109819.92</v>
      </c>
      <c r="E17" s="2">
        <v>160709.48000000001</v>
      </c>
      <c r="F17" s="2">
        <v>186345.53</v>
      </c>
    </row>
    <row r="18" spans="1:6" x14ac:dyDescent="0.15">
      <c r="A18" s="2" t="s">
        <v>22</v>
      </c>
      <c r="B18" s="2">
        <v>9908.74</v>
      </c>
      <c r="C18" s="2">
        <v>41197.94</v>
      </c>
      <c r="D18" s="2">
        <v>110831.74</v>
      </c>
      <c r="E18" s="2">
        <v>162252.43</v>
      </c>
      <c r="F18" s="2">
        <v>186960.79</v>
      </c>
    </row>
    <row r="19" spans="1:6" x14ac:dyDescent="0.15">
      <c r="A19" s="2" t="s">
        <v>23</v>
      </c>
      <c r="B19" s="2">
        <v>10079.57</v>
      </c>
      <c r="C19" s="2">
        <v>41398.300000000003</v>
      </c>
      <c r="D19" s="2">
        <v>110847.47</v>
      </c>
      <c r="E19" s="2">
        <v>162430.20000000001</v>
      </c>
      <c r="F19" s="2">
        <v>187411.08</v>
      </c>
    </row>
    <row r="20" spans="1:6" x14ac:dyDescent="0.15">
      <c r="A20" s="2" t="s">
        <v>24</v>
      </c>
      <c r="B20" s="2">
        <v>10129.450000000001</v>
      </c>
      <c r="C20" s="2">
        <v>41234.43</v>
      </c>
      <c r="D20" s="2">
        <v>110967.47</v>
      </c>
      <c r="E20" s="2">
        <v>162436.06</v>
      </c>
      <c r="F20" s="2">
        <v>187709.98</v>
      </c>
    </row>
    <row r="21" spans="1:6" x14ac:dyDescent="0.15">
      <c r="A21" s="2" t="s">
        <v>25</v>
      </c>
      <c r="B21" s="2">
        <v>10518.68</v>
      </c>
      <c r="C21" s="2">
        <v>42047.64</v>
      </c>
      <c r="D21" s="2">
        <v>112069.93</v>
      </c>
      <c r="E21" s="2">
        <v>164392.22</v>
      </c>
      <c r="F21" s="2">
        <v>190344.2</v>
      </c>
    </row>
    <row r="22" spans="1:6" x14ac:dyDescent="0.15">
      <c r="A22" s="2" t="s">
        <v>26</v>
      </c>
      <c r="B22" s="2">
        <v>10456.92</v>
      </c>
      <c r="C22" s="2">
        <v>42603.09</v>
      </c>
      <c r="D22" s="2">
        <v>112903.03</v>
      </c>
      <c r="E22" s="2">
        <v>165965.24</v>
      </c>
      <c r="F22" s="2">
        <v>192359.84</v>
      </c>
    </row>
    <row r="23" spans="1:6" x14ac:dyDescent="0.15">
      <c r="A23" s="2" t="s">
        <v>27</v>
      </c>
      <c r="B23" s="2">
        <v>10417.129999999999</v>
      </c>
      <c r="C23" s="2">
        <v>43092.65</v>
      </c>
      <c r="D23" s="2">
        <v>114493.29</v>
      </c>
      <c r="E23" s="2">
        <v>167950.41</v>
      </c>
      <c r="F23" s="2">
        <v>195056.5</v>
      </c>
    </row>
    <row r="24" spans="1:6" x14ac:dyDescent="0.15">
      <c r="A24" s="2" t="s">
        <v>28</v>
      </c>
      <c r="B24" s="2">
        <v>10320.81</v>
      </c>
      <c r="C24" s="2">
        <v>43432.53</v>
      </c>
      <c r="D24" s="2">
        <v>116066.66</v>
      </c>
      <c r="E24" s="2">
        <v>170028.79999999999</v>
      </c>
      <c r="F24" s="2">
        <v>197391.38</v>
      </c>
    </row>
    <row r="25" spans="1:6" x14ac:dyDescent="0.15">
      <c r="A25" s="2" t="s">
        <v>29</v>
      </c>
      <c r="B25" s="2">
        <v>10383.52</v>
      </c>
      <c r="C25" s="2">
        <v>44139.51</v>
      </c>
      <c r="D25" s="2">
        <v>117427.94</v>
      </c>
      <c r="E25" s="2">
        <v>172232.92</v>
      </c>
      <c r="F25" s="2">
        <v>199818.43</v>
      </c>
    </row>
    <row r="26" spans="1:6" x14ac:dyDescent="0.15">
      <c r="A26" s="2" t="s">
        <v>30</v>
      </c>
      <c r="B26" s="2">
        <v>10707.96</v>
      </c>
      <c r="C26" s="2">
        <v>44347.17</v>
      </c>
      <c r="D26" s="2">
        <v>116715.47</v>
      </c>
      <c r="E26" s="2">
        <v>172149.13</v>
      </c>
      <c r="F26" s="2">
        <v>200513.81</v>
      </c>
    </row>
    <row r="27" spans="1:6" x14ac:dyDescent="0.15">
      <c r="A27" s="2" t="s">
        <v>31</v>
      </c>
      <c r="B27" s="2">
        <v>10729</v>
      </c>
      <c r="C27" s="2">
        <v>43410.6</v>
      </c>
      <c r="D27" s="2">
        <v>118034.17</v>
      </c>
      <c r="E27" s="2">
        <v>172063.47</v>
      </c>
      <c r="F27" s="2">
        <v>199533.24</v>
      </c>
    </row>
    <row r="28" spans="1:6" x14ac:dyDescent="0.15">
      <c r="A28" s="2" t="s">
        <v>32</v>
      </c>
      <c r="B28" s="2">
        <v>10971.62</v>
      </c>
      <c r="C28" s="2">
        <v>42218.03</v>
      </c>
      <c r="D28" s="2">
        <v>118185.25</v>
      </c>
      <c r="E28" s="2">
        <v>171543.04000000001</v>
      </c>
      <c r="F28" s="2">
        <v>198530.43</v>
      </c>
    </row>
    <row r="29" spans="1:6" x14ac:dyDescent="0.15">
      <c r="A29" s="2" t="s">
        <v>33</v>
      </c>
      <c r="B29" s="2">
        <v>11542.47</v>
      </c>
      <c r="C29" s="2">
        <v>42021.42</v>
      </c>
      <c r="D29" s="2">
        <v>118421.2</v>
      </c>
      <c r="E29" s="2">
        <v>171655.07</v>
      </c>
      <c r="F29" s="2">
        <v>197943.03</v>
      </c>
    </row>
    <row r="30" spans="1:6" x14ac:dyDescent="0.15">
      <c r="A30" s="2" t="s">
        <v>34</v>
      </c>
      <c r="B30" s="2">
        <v>11208.15</v>
      </c>
      <c r="C30" s="2">
        <v>44048.45</v>
      </c>
      <c r="D30" s="2">
        <v>120355.02</v>
      </c>
      <c r="E30" s="2">
        <v>175537.46</v>
      </c>
      <c r="F30" s="2">
        <v>202509.02</v>
      </c>
    </row>
    <row r="31" spans="1:6" x14ac:dyDescent="0.15">
      <c r="A31" s="2" t="s">
        <v>35</v>
      </c>
      <c r="B31" s="2">
        <v>11474.22</v>
      </c>
      <c r="C31" s="2">
        <v>44174.15</v>
      </c>
      <c r="D31" s="2">
        <v>120794.85</v>
      </c>
      <c r="E31" s="2">
        <v>176674.88</v>
      </c>
      <c r="F31" s="2">
        <v>203672.62</v>
      </c>
    </row>
    <row r="32" spans="1:6" x14ac:dyDescent="0.15">
      <c r="A32" s="2" t="s">
        <v>36</v>
      </c>
      <c r="B32" s="2">
        <v>12279.68</v>
      </c>
      <c r="C32" s="2">
        <v>44473.41</v>
      </c>
      <c r="D32" s="2">
        <v>122094.62</v>
      </c>
      <c r="E32" s="2">
        <v>178762.62</v>
      </c>
      <c r="F32" s="2">
        <v>206153.98</v>
      </c>
    </row>
    <row r="33" spans="1:6" x14ac:dyDescent="0.15">
      <c r="A33" s="2" t="s">
        <v>37</v>
      </c>
      <c r="B33" s="2">
        <v>12628.99</v>
      </c>
      <c r="C33" s="2">
        <v>45832.959999999999</v>
      </c>
      <c r="D33" s="2">
        <v>122827.89</v>
      </c>
      <c r="E33" s="2">
        <v>180883.36</v>
      </c>
      <c r="F33" s="2">
        <v>208240.39</v>
      </c>
    </row>
    <row r="34" spans="1:6" x14ac:dyDescent="0.15">
      <c r="A34" s="2" t="s">
        <v>38</v>
      </c>
      <c r="B34" s="2">
        <v>12920.8</v>
      </c>
      <c r="C34" s="2">
        <v>43781.37</v>
      </c>
      <c r="D34" s="2">
        <v>122496.12</v>
      </c>
      <c r="E34" s="2">
        <v>179773.27</v>
      </c>
      <c r="F34" s="2">
        <v>207391.28</v>
      </c>
    </row>
    <row r="35" spans="1:6" x14ac:dyDescent="0.15">
      <c r="A35" s="2" t="s">
        <v>39</v>
      </c>
      <c r="B35" s="2">
        <v>12915.64</v>
      </c>
      <c r="C35" s="2">
        <v>43811.9</v>
      </c>
      <c r="D35" s="2">
        <v>121662.54</v>
      </c>
      <c r="E35" s="2">
        <v>178436.58</v>
      </c>
      <c r="F35" s="2">
        <v>205567.11</v>
      </c>
    </row>
    <row r="36" spans="1:6" x14ac:dyDescent="0.15">
      <c r="A36" s="2" t="s">
        <v>40</v>
      </c>
      <c r="B36" s="2">
        <v>12543.53</v>
      </c>
      <c r="C36" s="2">
        <v>45288.01</v>
      </c>
      <c r="D36" s="2">
        <v>122784.67</v>
      </c>
      <c r="E36" s="2">
        <v>180501.93</v>
      </c>
      <c r="F36" s="2">
        <v>207506.02</v>
      </c>
    </row>
    <row r="37" spans="1:6" x14ac:dyDescent="0.15">
      <c r="A37" s="2" t="s">
        <v>41</v>
      </c>
      <c r="B37" s="2">
        <v>12760.14</v>
      </c>
      <c r="C37" s="2">
        <v>45825.71</v>
      </c>
      <c r="D37" s="2">
        <v>124047.87</v>
      </c>
      <c r="E37" s="2">
        <v>182028.82</v>
      </c>
      <c r="F37" s="2">
        <v>209657.66</v>
      </c>
    </row>
    <row r="38" spans="1:6" x14ac:dyDescent="0.15">
      <c r="A38" s="2" t="s">
        <v>42</v>
      </c>
      <c r="B38" s="2">
        <v>12911.3</v>
      </c>
      <c r="C38" s="2">
        <v>46586.21</v>
      </c>
      <c r="D38" s="2">
        <v>124963.09</v>
      </c>
      <c r="E38" s="2">
        <v>184714.56</v>
      </c>
      <c r="F38" s="2">
        <v>212635.06</v>
      </c>
    </row>
    <row r="39" spans="1:6" x14ac:dyDescent="0.15">
      <c r="A39" s="2" t="s">
        <v>43</v>
      </c>
      <c r="B39" s="2">
        <v>13134.41</v>
      </c>
      <c r="C39" s="2">
        <v>47759.09</v>
      </c>
      <c r="D39" s="2">
        <v>128215.74</v>
      </c>
      <c r="E39" s="2">
        <v>189424.06</v>
      </c>
      <c r="F39" s="2">
        <v>218449.4</v>
      </c>
    </row>
    <row r="40" spans="1:6" x14ac:dyDescent="0.15">
      <c r="A40" s="2" t="s">
        <v>44</v>
      </c>
      <c r="B40" s="2">
        <v>13133.39</v>
      </c>
      <c r="C40" s="2">
        <v>49443.94</v>
      </c>
      <c r="D40" s="2">
        <v>129312.93</v>
      </c>
      <c r="E40" s="2">
        <v>191789.13</v>
      </c>
      <c r="F40" s="2">
        <v>221169.96</v>
      </c>
    </row>
    <row r="41" spans="1:6" x14ac:dyDescent="0.15">
      <c r="A41" s="2" t="s">
        <v>45</v>
      </c>
      <c r="B41" s="2">
        <v>12978.94</v>
      </c>
      <c r="C41" s="2">
        <v>49354.26</v>
      </c>
      <c r="D41" s="2">
        <v>131557.87</v>
      </c>
      <c r="E41" s="2">
        <v>193222.39</v>
      </c>
      <c r="F41" s="2">
        <v>222874.05</v>
      </c>
    </row>
    <row r="42" spans="1:6" x14ac:dyDescent="0.15">
      <c r="A42" s="2" t="s">
        <v>46</v>
      </c>
      <c r="B42" s="2">
        <v>13306.75</v>
      </c>
      <c r="C42" s="2">
        <v>49159.98</v>
      </c>
      <c r="D42" s="2">
        <v>132019.21</v>
      </c>
      <c r="E42" s="2">
        <v>194708.76</v>
      </c>
      <c r="F42" s="2">
        <v>224545.93</v>
      </c>
    </row>
    <row r="43" spans="1:6" x14ac:dyDescent="0.15">
      <c r="A43" s="2" t="s">
        <v>47</v>
      </c>
      <c r="B43" s="2">
        <v>13481.57</v>
      </c>
      <c r="C43" s="2">
        <v>49924.23</v>
      </c>
      <c r="D43" s="2">
        <v>133384.13</v>
      </c>
      <c r="E43" s="2">
        <v>197483.66</v>
      </c>
      <c r="F43" s="2">
        <v>227675.07</v>
      </c>
    </row>
    <row r="44" spans="1:6" x14ac:dyDescent="0.15">
      <c r="A44" s="2" t="s">
        <v>48</v>
      </c>
      <c r="B44" s="2">
        <v>12846.12</v>
      </c>
      <c r="C44" s="2">
        <v>48835.5</v>
      </c>
      <c r="D44" s="2">
        <v>133968.71</v>
      </c>
      <c r="E44" s="2">
        <v>195399.48</v>
      </c>
      <c r="F44" s="2">
        <v>225884.32</v>
      </c>
    </row>
    <row r="45" spans="1:6" x14ac:dyDescent="0.15">
      <c r="A45" s="2" t="s">
        <v>49</v>
      </c>
      <c r="B45" s="2">
        <v>12959.7</v>
      </c>
      <c r="C45" s="2">
        <v>49655.61</v>
      </c>
      <c r="D45" s="2">
        <v>135339.96</v>
      </c>
      <c r="E45" s="2">
        <v>197511.86</v>
      </c>
      <c r="F45" s="2">
        <v>228776.5</v>
      </c>
    </row>
    <row r="46" spans="1:6" x14ac:dyDescent="0.15">
      <c r="A46" s="2" t="s">
        <v>50</v>
      </c>
      <c r="B46" s="2">
        <v>13399.23</v>
      </c>
      <c r="C46" s="2">
        <v>50057.19</v>
      </c>
      <c r="D46" s="2">
        <v>137688.17000000001</v>
      </c>
      <c r="E46" s="2">
        <v>201239.1</v>
      </c>
      <c r="F46" s="2">
        <v>232637.51</v>
      </c>
    </row>
    <row r="47" spans="1:6" x14ac:dyDescent="0.15">
      <c r="A47" s="2" t="s">
        <v>51</v>
      </c>
      <c r="B47" s="2">
        <v>13554.44</v>
      </c>
      <c r="C47" s="2">
        <v>49407.59</v>
      </c>
      <c r="D47" s="2">
        <v>138368.14000000001</v>
      </c>
      <c r="E47" s="2">
        <v>200969.95</v>
      </c>
      <c r="F47" s="2">
        <v>233230.47</v>
      </c>
    </row>
    <row r="48" spans="1:6" x14ac:dyDescent="0.15">
      <c r="A48" s="2" t="s">
        <v>52</v>
      </c>
      <c r="B48" s="2">
        <v>14139.44</v>
      </c>
      <c r="C48" s="2">
        <v>50357.54</v>
      </c>
      <c r="D48" s="2">
        <v>140119.44</v>
      </c>
      <c r="E48" s="2">
        <v>204424.89</v>
      </c>
      <c r="F48" s="2">
        <v>237054.5</v>
      </c>
    </row>
    <row r="49" spans="1:6" x14ac:dyDescent="0.15">
      <c r="A49" s="2" t="s">
        <v>53</v>
      </c>
      <c r="B49" s="2">
        <v>14211.61</v>
      </c>
      <c r="C49" s="2">
        <v>51768.51</v>
      </c>
      <c r="D49" s="2">
        <v>141680.54</v>
      </c>
      <c r="E49" s="2">
        <v>207390.29</v>
      </c>
      <c r="F49" s="2">
        <v>239877.5</v>
      </c>
    </row>
    <row r="50" spans="1:6" x14ac:dyDescent="0.15">
      <c r="A50" s="2" t="s">
        <v>54</v>
      </c>
      <c r="B50" s="2">
        <v>13983.82</v>
      </c>
      <c r="C50" s="2">
        <v>51919.87</v>
      </c>
      <c r="D50" s="2">
        <v>145333.63</v>
      </c>
      <c r="E50" s="2">
        <v>211352.95</v>
      </c>
      <c r="F50" s="2">
        <v>244604.44</v>
      </c>
    </row>
    <row r="51" spans="1:6" x14ac:dyDescent="0.15">
      <c r="A51" s="2" t="s">
        <v>55</v>
      </c>
      <c r="B51" s="2">
        <v>13696.65</v>
      </c>
      <c r="C51" s="2">
        <v>53721.67</v>
      </c>
      <c r="D51" s="2">
        <v>146557.62</v>
      </c>
      <c r="E51" s="2">
        <v>213772.02</v>
      </c>
      <c r="F51" s="2">
        <v>248432.54</v>
      </c>
    </row>
    <row r="52" spans="1:6" x14ac:dyDescent="0.15">
      <c r="A52" s="2" t="s">
        <v>56</v>
      </c>
      <c r="B52" s="2">
        <v>14729.21</v>
      </c>
      <c r="C52" s="2">
        <v>54004.29</v>
      </c>
      <c r="D52" s="2">
        <v>147616.53</v>
      </c>
      <c r="E52" s="2">
        <v>216293.88</v>
      </c>
      <c r="F52" s="2">
        <v>251019.92</v>
      </c>
    </row>
    <row r="53" spans="1:6" x14ac:dyDescent="0.15">
      <c r="A53" s="2" t="s">
        <v>57</v>
      </c>
      <c r="B53" s="2">
        <v>14733.04</v>
      </c>
      <c r="C53" s="2">
        <v>54223.89</v>
      </c>
      <c r="D53" s="2">
        <v>150495.65</v>
      </c>
      <c r="E53" s="2">
        <v>219035.09</v>
      </c>
      <c r="F53" s="2">
        <v>254870.24</v>
      </c>
    </row>
    <row r="54" spans="1:6" x14ac:dyDescent="0.15">
      <c r="A54" s="2" t="s">
        <v>58</v>
      </c>
      <c r="B54" s="2">
        <v>14713.27</v>
      </c>
      <c r="C54" s="2">
        <v>55674.51</v>
      </c>
      <c r="D54" s="2">
        <v>151381.32</v>
      </c>
      <c r="E54" s="2">
        <v>221464.61</v>
      </c>
      <c r="F54" s="2">
        <v>257762.65</v>
      </c>
    </row>
    <row r="55" spans="1:6" x14ac:dyDescent="0.15">
      <c r="A55" s="2" t="s">
        <v>59</v>
      </c>
      <c r="B55" s="2">
        <v>15192.62</v>
      </c>
      <c r="C55" s="2">
        <v>56077.77</v>
      </c>
      <c r="D55" s="2">
        <v>155014.13</v>
      </c>
      <c r="E55" s="2">
        <v>226454.51</v>
      </c>
      <c r="F55" s="2">
        <v>263784.78999999998</v>
      </c>
    </row>
    <row r="56" spans="1:6" x14ac:dyDescent="0.15">
      <c r="A56" s="2" t="s">
        <v>60</v>
      </c>
      <c r="B56" s="2">
        <v>15482.46</v>
      </c>
      <c r="C56" s="2">
        <v>57585.61</v>
      </c>
      <c r="D56" s="2">
        <v>156474.62</v>
      </c>
      <c r="E56" s="2">
        <v>229236.49</v>
      </c>
      <c r="F56" s="2">
        <v>267591.90000000002</v>
      </c>
    </row>
    <row r="57" spans="1:6" x14ac:dyDescent="0.15">
      <c r="A57" s="2" t="s">
        <v>61</v>
      </c>
      <c r="B57" s="2">
        <v>14868.21</v>
      </c>
      <c r="C57" s="2">
        <v>53018.68</v>
      </c>
      <c r="D57" s="2">
        <v>153779.20000000001</v>
      </c>
      <c r="E57" s="2">
        <v>220884.97</v>
      </c>
      <c r="F57" s="2">
        <v>257487.35</v>
      </c>
    </row>
    <row r="58" spans="1:6" x14ac:dyDescent="0.15">
      <c r="A58" s="2" t="s">
        <v>62</v>
      </c>
      <c r="B58" s="2">
        <v>14466.03</v>
      </c>
      <c r="C58" s="2">
        <v>49900.59</v>
      </c>
      <c r="D58" s="2">
        <v>154615.97</v>
      </c>
      <c r="E58" s="2">
        <v>218839.75</v>
      </c>
      <c r="F58" s="2">
        <v>253970.61</v>
      </c>
    </row>
    <row r="59" spans="1:6" x14ac:dyDescent="0.15">
      <c r="A59" s="2" t="s">
        <v>63</v>
      </c>
      <c r="B59" s="2">
        <v>14307.38</v>
      </c>
      <c r="C59" s="2">
        <v>51988.24</v>
      </c>
      <c r="D59" s="2">
        <v>156071.43</v>
      </c>
      <c r="E59" s="2">
        <v>221844.46</v>
      </c>
      <c r="F59" s="2">
        <v>258494.27</v>
      </c>
    </row>
    <row r="60" spans="1:6" x14ac:dyDescent="0.15">
      <c r="A60" s="2" t="s">
        <v>64</v>
      </c>
      <c r="B60" s="2">
        <v>14442.1</v>
      </c>
      <c r="C60" s="2">
        <v>54073.71</v>
      </c>
      <c r="D60" s="2">
        <v>158692.51999999999</v>
      </c>
      <c r="E60" s="2">
        <v>226809.14</v>
      </c>
      <c r="F60" s="2">
        <v>264556.77</v>
      </c>
    </row>
    <row r="61" spans="1:6" x14ac:dyDescent="0.15">
      <c r="A61" s="2" t="s">
        <v>65</v>
      </c>
      <c r="B61" s="2">
        <v>15059.22</v>
      </c>
      <c r="C61" s="2">
        <v>56242.93</v>
      </c>
      <c r="D61" s="2">
        <v>161645.73000000001</v>
      </c>
      <c r="E61" s="2">
        <v>232230.35</v>
      </c>
      <c r="F61" s="2">
        <v>271272.71999999997</v>
      </c>
    </row>
    <row r="62" spans="1:6" x14ac:dyDescent="0.15">
      <c r="A62" s="2" t="s">
        <v>66</v>
      </c>
      <c r="B62" s="2">
        <v>15349.42</v>
      </c>
      <c r="C62" s="2">
        <v>56989.25</v>
      </c>
      <c r="D62" s="2">
        <v>164226.14000000001</v>
      </c>
      <c r="E62" s="2">
        <v>237117.61</v>
      </c>
      <c r="F62" s="2">
        <v>277473.49</v>
      </c>
    </row>
    <row r="63" spans="1:6" x14ac:dyDescent="0.15">
      <c r="A63" s="2" t="s">
        <v>67</v>
      </c>
      <c r="B63" s="2">
        <v>15716.82</v>
      </c>
      <c r="C63" s="2">
        <v>58646.18</v>
      </c>
      <c r="D63" s="2">
        <v>165468.23000000001</v>
      </c>
      <c r="E63" s="2">
        <v>239583.01</v>
      </c>
      <c r="F63" s="2">
        <v>280163.26</v>
      </c>
    </row>
    <row r="64" spans="1:6" x14ac:dyDescent="0.15">
      <c r="A64" s="2" t="s">
        <v>68</v>
      </c>
      <c r="B64" s="2">
        <v>15363.05</v>
      </c>
      <c r="C64" s="2">
        <v>58715.79</v>
      </c>
      <c r="D64" s="2">
        <v>167862.01</v>
      </c>
      <c r="E64" s="2">
        <v>241390.87</v>
      </c>
      <c r="F64" s="2">
        <v>283008.27</v>
      </c>
    </row>
    <row r="65" spans="1:6" x14ac:dyDescent="0.15">
      <c r="A65" s="2" t="s">
        <v>69</v>
      </c>
      <c r="B65" s="2">
        <v>15623.89</v>
      </c>
      <c r="C65" s="2">
        <v>59530.97</v>
      </c>
      <c r="D65" s="2">
        <v>170115.21</v>
      </c>
      <c r="E65" s="2">
        <v>244653.85</v>
      </c>
      <c r="F65" s="2">
        <v>286870.11</v>
      </c>
    </row>
    <row r="66" spans="1:6" x14ac:dyDescent="0.15">
      <c r="A66" s="2" t="s">
        <v>70</v>
      </c>
      <c r="B66" s="2">
        <v>15993.5</v>
      </c>
      <c r="C66" s="2">
        <v>59949.08</v>
      </c>
      <c r="D66" s="2">
        <v>171915</v>
      </c>
      <c r="E66" s="2">
        <v>248244.99</v>
      </c>
      <c r="F66" s="2">
        <v>291064.38</v>
      </c>
    </row>
    <row r="67" spans="1:6" x14ac:dyDescent="0.15">
      <c r="A67" s="2" t="s">
        <v>71</v>
      </c>
      <c r="B67" s="2">
        <v>15842.32</v>
      </c>
      <c r="C67" s="2">
        <v>61660.92</v>
      </c>
      <c r="D67" s="2">
        <v>172726.55</v>
      </c>
      <c r="E67" s="2">
        <v>249987.03</v>
      </c>
      <c r="F67" s="2">
        <v>293810.56</v>
      </c>
    </row>
    <row r="68" spans="1:6" x14ac:dyDescent="0.15">
      <c r="A68" s="2" t="s">
        <v>72</v>
      </c>
      <c r="B68" s="2">
        <v>16655.05</v>
      </c>
      <c r="C68" s="2">
        <v>61080.42</v>
      </c>
      <c r="D68" s="2">
        <v>172675.48</v>
      </c>
      <c r="E68" s="2">
        <v>249719.28</v>
      </c>
      <c r="F68" s="2">
        <v>293196.84000000003</v>
      </c>
    </row>
    <row r="69" spans="1:6" x14ac:dyDescent="0.15">
      <c r="A69" s="2" t="s">
        <v>73</v>
      </c>
      <c r="B69" s="2">
        <v>17457.57</v>
      </c>
      <c r="C69" s="2">
        <v>61021.74</v>
      </c>
      <c r="D69" s="2">
        <v>173918.64</v>
      </c>
      <c r="E69" s="2">
        <v>251862.35</v>
      </c>
      <c r="F69" s="2">
        <v>295687.02</v>
      </c>
    </row>
    <row r="70" spans="1:6" x14ac:dyDescent="0.15">
      <c r="A70" s="2" t="s">
        <v>74</v>
      </c>
      <c r="B70" s="2">
        <v>14044.46</v>
      </c>
      <c r="C70" s="2">
        <v>60850.720000000001</v>
      </c>
      <c r="D70" s="2">
        <v>173520.45</v>
      </c>
      <c r="E70" s="2">
        <v>248196.89</v>
      </c>
      <c r="F70" s="2">
        <v>291835.64</v>
      </c>
    </row>
    <row r="71" spans="1:6" x14ac:dyDescent="0.15">
      <c r="A71" s="2" t="s">
        <v>75</v>
      </c>
      <c r="B71" s="2">
        <v>15795.35</v>
      </c>
      <c r="C71" s="2">
        <v>59752.46</v>
      </c>
      <c r="D71" s="2">
        <v>176967.72</v>
      </c>
      <c r="E71" s="2">
        <v>252010.04</v>
      </c>
      <c r="F71" s="2">
        <v>296810.65999999997</v>
      </c>
    </row>
    <row r="72" spans="1:6" x14ac:dyDescent="0.15">
      <c r="A72" s="2" t="s">
        <v>76</v>
      </c>
      <c r="B72" s="2">
        <v>17579.259999999998</v>
      </c>
      <c r="C72" s="2">
        <v>60954.84</v>
      </c>
      <c r="D72" s="2">
        <v>178835.37</v>
      </c>
      <c r="E72" s="2">
        <v>256603.38</v>
      </c>
      <c r="F72" s="2">
        <v>302039.14</v>
      </c>
    </row>
    <row r="73" spans="1:6" x14ac:dyDescent="0.15">
      <c r="A73" s="2" t="s">
        <v>77</v>
      </c>
      <c r="B73" s="2">
        <v>16648.16</v>
      </c>
      <c r="C73" s="2">
        <v>60114.71</v>
      </c>
      <c r="D73" s="2">
        <v>179850.18</v>
      </c>
      <c r="E73" s="2">
        <v>256026.39</v>
      </c>
      <c r="F73" s="2">
        <v>301931.82</v>
      </c>
    </row>
    <row r="74" spans="1:6" x14ac:dyDescent="0.15">
      <c r="A74" s="2" t="s">
        <v>78</v>
      </c>
      <c r="B74" s="2">
        <v>16801.400000000001</v>
      </c>
      <c r="C74" s="2">
        <v>60483.5</v>
      </c>
      <c r="D74" s="2">
        <v>180401.91</v>
      </c>
      <c r="E74" s="2">
        <v>257214.1</v>
      </c>
      <c r="F74" s="2">
        <v>303296.24</v>
      </c>
    </row>
    <row r="75" spans="1:6" x14ac:dyDescent="0.15">
      <c r="A75" s="2" t="s">
        <v>79</v>
      </c>
      <c r="B75" s="2">
        <v>17374.669999999998</v>
      </c>
      <c r="C75" s="2">
        <v>62137.31</v>
      </c>
      <c r="D75" s="2">
        <v>182509.48</v>
      </c>
      <c r="E75" s="2">
        <v>261833.41</v>
      </c>
      <c r="F75" s="2">
        <v>308440.94</v>
      </c>
    </row>
    <row r="76" spans="1:6" x14ac:dyDescent="0.15">
      <c r="A76" s="2" t="s">
        <v>80</v>
      </c>
      <c r="B76" s="2">
        <v>17321.3</v>
      </c>
      <c r="C76" s="2">
        <v>62488.98</v>
      </c>
      <c r="D76" s="2">
        <v>183431.41</v>
      </c>
      <c r="E76" s="2">
        <v>262299.28000000003</v>
      </c>
      <c r="F76" s="2">
        <v>309395.42</v>
      </c>
    </row>
    <row r="77" spans="1:6" x14ac:dyDescent="0.15">
      <c r="A77" s="2" t="s">
        <v>81</v>
      </c>
      <c r="B77" s="2">
        <v>17532.689999999999</v>
      </c>
      <c r="C77" s="2">
        <v>61879.32</v>
      </c>
      <c r="D77" s="2">
        <v>184108.05</v>
      </c>
      <c r="E77" s="2">
        <v>262811.53000000003</v>
      </c>
      <c r="F77" s="2">
        <v>309752.63</v>
      </c>
    </row>
    <row r="78" spans="1:6" x14ac:dyDescent="0.15">
      <c r="A78" s="2" t="s">
        <v>82</v>
      </c>
      <c r="B78" s="2">
        <v>17671.18</v>
      </c>
      <c r="C78" s="2">
        <v>62114.46</v>
      </c>
      <c r="D78" s="2">
        <v>185462.39999999999</v>
      </c>
      <c r="E78" s="2">
        <v>265271.71999999997</v>
      </c>
      <c r="F78" s="2">
        <v>312601.78000000003</v>
      </c>
    </row>
    <row r="79" spans="1:6" x14ac:dyDescent="0.15">
      <c r="A79" s="2" t="s">
        <v>83</v>
      </c>
      <c r="B79" s="2">
        <v>17375.87</v>
      </c>
      <c r="C79" s="2">
        <v>60443.9</v>
      </c>
      <c r="D79" s="2">
        <v>183752.95999999999</v>
      </c>
      <c r="E79" s="2">
        <v>260832.63</v>
      </c>
      <c r="F79" s="2">
        <v>307781.88</v>
      </c>
    </row>
    <row r="80" spans="1:6" x14ac:dyDescent="0.15">
      <c r="A80" s="2" t="s">
        <v>84</v>
      </c>
      <c r="B80" s="2">
        <v>17751.95</v>
      </c>
      <c r="C80" s="2">
        <v>60148.800000000003</v>
      </c>
      <c r="D80" s="2">
        <v>184145.95</v>
      </c>
      <c r="E80" s="2">
        <v>260945.17</v>
      </c>
      <c r="F80" s="2">
        <v>307705.44</v>
      </c>
    </row>
    <row r="81" spans="1:6" x14ac:dyDescent="0.15">
      <c r="A81" s="2" t="s">
        <v>85</v>
      </c>
      <c r="B81" s="2">
        <v>18213.36</v>
      </c>
      <c r="C81" s="2">
        <v>60532.05</v>
      </c>
      <c r="D81" s="2">
        <v>184423.17</v>
      </c>
      <c r="E81" s="2">
        <v>262081.7</v>
      </c>
      <c r="F81" s="2">
        <v>309243.56</v>
      </c>
    </row>
    <row r="82" spans="1:6" x14ac:dyDescent="0.15">
      <c r="A82" s="2" t="s">
        <v>86</v>
      </c>
      <c r="B82" s="2">
        <v>18645.259999999998</v>
      </c>
      <c r="C82" s="2">
        <v>59480.959999999999</v>
      </c>
      <c r="D82" s="2">
        <v>183207.13</v>
      </c>
      <c r="E82" s="2">
        <v>260822.32</v>
      </c>
      <c r="F82" s="2">
        <v>307252.3</v>
      </c>
    </row>
    <row r="83" spans="1:6" x14ac:dyDescent="0.15">
      <c r="A83" s="2" t="s">
        <v>87</v>
      </c>
      <c r="B83" s="2">
        <v>18104.03</v>
      </c>
      <c r="C83" s="2">
        <v>57685.98</v>
      </c>
      <c r="D83" s="2">
        <v>179740.63</v>
      </c>
      <c r="E83" s="2">
        <v>254435.92</v>
      </c>
      <c r="F83" s="2">
        <v>299214.55</v>
      </c>
    </row>
    <row r="84" spans="1:6" x14ac:dyDescent="0.15">
      <c r="A84" s="2" t="s">
        <v>88</v>
      </c>
      <c r="B84" s="2">
        <v>17967.009999999998</v>
      </c>
      <c r="C84" s="2">
        <v>56545.48</v>
      </c>
      <c r="D84" s="2">
        <v>177811.81</v>
      </c>
      <c r="E84" s="2">
        <v>251140.68</v>
      </c>
      <c r="F84" s="2">
        <v>294713</v>
      </c>
    </row>
    <row r="85" spans="1:6" x14ac:dyDescent="0.15">
      <c r="A85" s="2" t="s">
        <v>89</v>
      </c>
      <c r="B85" s="2">
        <v>18347.46</v>
      </c>
      <c r="C85" s="2">
        <v>55458.62</v>
      </c>
      <c r="D85" s="2">
        <v>177011.75</v>
      </c>
      <c r="E85" s="2">
        <v>249726.78</v>
      </c>
      <c r="F85" s="2">
        <v>292404.68</v>
      </c>
    </row>
    <row r="86" spans="1:6" x14ac:dyDescent="0.15">
      <c r="A86" s="2" t="s">
        <v>90</v>
      </c>
      <c r="B86" s="2">
        <v>17049.310000000001</v>
      </c>
      <c r="C86" s="2">
        <v>55258.62</v>
      </c>
      <c r="D86" s="2">
        <v>175222.84</v>
      </c>
      <c r="E86" s="2">
        <v>245684.94</v>
      </c>
      <c r="F86" s="2">
        <v>287764.02</v>
      </c>
    </row>
    <row r="87" spans="1:6" x14ac:dyDescent="0.15">
      <c r="A87" s="2" t="s">
        <v>91</v>
      </c>
      <c r="B87" s="2">
        <v>17067.23</v>
      </c>
      <c r="C87" s="2">
        <v>55090.879999999997</v>
      </c>
      <c r="D87" s="2">
        <v>175959.54</v>
      </c>
      <c r="E87" s="2">
        <v>247467.44</v>
      </c>
      <c r="F87" s="2">
        <v>289417.76</v>
      </c>
    </row>
    <row r="88" spans="1:6" x14ac:dyDescent="0.15">
      <c r="A88" s="2" t="s">
        <v>92</v>
      </c>
      <c r="B88" s="2">
        <v>17349.7</v>
      </c>
      <c r="C88" s="2">
        <v>54535.09</v>
      </c>
      <c r="D88" s="2">
        <v>174828.76</v>
      </c>
      <c r="E88" s="2">
        <v>245736.23</v>
      </c>
      <c r="F88" s="2">
        <v>287513.32</v>
      </c>
    </row>
    <row r="89" spans="1:6" x14ac:dyDescent="0.15">
      <c r="A89" s="2" t="s">
        <v>93</v>
      </c>
      <c r="B89" s="2">
        <v>18160.95</v>
      </c>
      <c r="C89" s="2">
        <v>53689.84</v>
      </c>
      <c r="D89" s="2">
        <v>173998.36</v>
      </c>
      <c r="E89" s="2">
        <v>245339.46</v>
      </c>
      <c r="F89" s="2">
        <v>287075.36</v>
      </c>
    </row>
    <row r="90" spans="1:6" x14ac:dyDescent="0.15">
      <c r="A90" s="2" t="s">
        <v>94</v>
      </c>
      <c r="B90" s="2">
        <v>20385.34</v>
      </c>
      <c r="C90" s="2">
        <v>53967.360000000001</v>
      </c>
      <c r="D90" s="2">
        <v>174815.53</v>
      </c>
      <c r="E90" s="2">
        <v>248487.67999999999</v>
      </c>
      <c r="F90" s="2">
        <v>290288.83</v>
      </c>
    </row>
    <row r="91" spans="1:6" x14ac:dyDescent="0.15">
      <c r="A91" s="2" t="s">
        <v>95</v>
      </c>
      <c r="B91" s="2">
        <v>19741.400000000001</v>
      </c>
      <c r="C91" s="2">
        <v>54253.05</v>
      </c>
      <c r="D91" s="2">
        <v>176549.64</v>
      </c>
      <c r="E91" s="2">
        <v>249589.5</v>
      </c>
      <c r="F91" s="2">
        <v>292405.14</v>
      </c>
    </row>
    <row r="92" spans="1:6" x14ac:dyDescent="0.15">
      <c r="A92" s="2" t="s">
        <v>96</v>
      </c>
      <c r="B92" s="2">
        <v>19267.36</v>
      </c>
      <c r="C92" s="2">
        <v>54552</v>
      </c>
      <c r="D92" s="2">
        <v>177694.89</v>
      </c>
      <c r="E92" s="2">
        <v>250129.45</v>
      </c>
      <c r="F92" s="2">
        <v>293251.17</v>
      </c>
    </row>
    <row r="93" spans="1:6" x14ac:dyDescent="0.15">
      <c r="A93" s="2" t="s">
        <v>97</v>
      </c>
      <c r="B93" s="2">
        <v>19312.68</v>
      </c>
      <c r="C93" s="2">
        <v>54979.89</v>
      </c>
      <c r="D93" s="2">
        <v>178190.98</v>
      </c>
      <c r="E93" s="2">
        <v>251285.16</v>
      </c>
      <c r="F93" s="2">
        <v>294513.02</v>
      </c>
    </row>
    <row r="94" spans="1:6" x14ac:dyDescent="0.15">
      <c r="A94" s="2" t="s">
        <v>98</v>
      </c>
      <c r="B94" s="2">
        <v>19732.82</v>
      </c>
      <c r="C94" s="2">
        <v>55044.76</v>
      </c>
      <c r="D94" s="2">
        <v>179500.92</v>
      </c>
      <c r="E94" s="2">
        <v>252507.75</v>
      </c>
      <c r="F94" s="2">
        <v>296131.06</v>
      </c>
    </row>
    <row r="95" spans="1:6" x14ac:dyDescent="0.15">
      <c r="A95" s="2" t="s">
        <v>99</v>
      </c>
      <c r="B95" s="2">
        <v>19865.060000000001</v>
      </c>
      <c r="C95" s="2">
        <v>54425.919999999998</v>
      </c>
      <c r="D95" s="2">
        <v>180067.61</v>
      </c>
      <c r="E95" s="2">
        <v>253532.3</v>
      </c>
      <c r="F95" s="2">
        <v>296623.13</v>
      </c>
    </row>
    <row r="96" spans="1:6" x14ac:dyDescent="0.15">
      <c r="A96" s="2" t="s">
        <v>100</v>
      </c>
      <c r="B96" s="2">
        <v>20228.54</v>
      </c>
      <c r="C96" s="2">
        <v>55143.29</v>
      </c>
      <c r="D96" s="2">
        <v>181355.84</v>
      </c>
      <c r="E96" s="2">
        <v>255200.94</v>
      </c>
      <c r="F96" s="2">
        <v>299141</v>
      </c>
    </row>
    <row r="97" spans="1:6" x14ac:dyDescent="0.15">
      <c r="A97" s="2" t="s">
        <v>101</v>
      </c>
      <c r="B97" s="2">
        <v>20429.46</v>
      </c>
      <c r="C97" s="2">
        <v>54481.06</v>
      </c>
      <c r="D97" s="2">
        <v>180738.19</v>
      </c>
      <c r="E97" s="2">
        <v>254842.72</v>
      </c>
      <c r="F97" s="2">
        <v>298124.69</v>
      </c>
    </row>
    <row r="98" spans="1:6" x14ac:dyDescent="0.15">
      <c r="A98" s="2" t="s">
        <v>102</v>
      </c>
      <c r="B98" s="2">
        <v>19839.34</v>
      </c>
      <c r="C98" s="2">
        <v>54526.18</v>
      </c>
      <c r="D98" s="2">
        <v>183373.3</v>
      </c>
      <c r="E98" s="2">
        <v>256458.89</v>
      </c>
      <c r="F98" s="2">
        <v>300259.19</v>
      </c>
    </row>
    <row r="99" spans="1:6" x14ac:dyDescent="0.15">
      <c r="A99" s="2" t="s">
        <v>103</v>
      </c>
      <c r="B99" s="2">
        <v>20101.990000000002</v>
      </c>
      <c r="C99" s="2">
        <v>55169.09</v>
      </c>
      <c r="D99" s="2">
        <v>183038.27</v>
      </c>
      <c r="E99" s="2">
        <v>257109.84</v>
      </c>
      <c r="F99" s="2">
        <v>301877.51</v>
      </c>
    </row>
    <row r="100" spans="1:6" x14ac:dyDescent="0.15">
      <c r="A100" s="2" t="s">
        <v>104</v>
      </c>
      <c r="B100" s="2">
        <v>20468.36</v>
      </c>
      <c r="C100" s="2">
        <v>55247.75</v>
      </c>
      <c r="D100" s="2">
        <v>183446.77</v>
      </c>
      <c r="E100" s="2">
        <v>257254.51</v>
      </c>
      <c r="F100" s="2">
        <v>301787.96000000002</v>
      </c>
    </row>
    <row r="101" spans="1:6" x14ac:dyDescent="0.15">
      <c r="A101" s="2" t="s">
        <v>105</v>
      </c>
      <c r="B101" s="2">
        <v>20243.11</v>
      </c>
      <c r="C101" s="2">
        <v>54956.18</v>
      </c>
      <c r="D101" s="2">
        <v>183775.94</v>
      </c>
      <c r="E101" s="2">
        <v>258661.75</v>
      </c>
      <c r="F101" s="2">
        <v>302844.15000000002</v>
      </c>
    </row>
    <row r="102" spans="1:6" x14ac:dyDescent="0.15">
      <c r="A102" s="2" t="s">
        <v>106</v>
      </c>
      <c r="B102" s="2">
        <v>20538.53</v>
      </c>
      <c r="C102" s="2">
        <v>54089.68</v>
      </c>
      <c r="D102" s="2">
        <v>180114.39</v>
      </c>
      <c r="E102" s="2">
        <v>252668.74</v>
      </c>
      <c r="F102" s="2">
        <v>295755.65999999997</v>
      </c>
    </row>
    <row r="103" spans="1:6" x14ac:dyDescent="0.15">
      <c r="A103" s="2" t="s">
        <v>187</v>
      </c>
      <c r="B103" s="2">
        <v>20616.13</v>
      </c>
      <c r="C103" s="2">
        <v>47536.59</v>
      </c>
      <c r="D103" s="2">
        <v>164362.15</v>
      </c>
      <c r="E103" s="2">
        <v>230765.02</v>
      </c>
      <c r="F103" s="2">
        <v>269253.07</v>
      </c>
    </row>
    <row r="104" spans="1:6" x14ac:dyDescent="0.15">
      <c r="A104" s="2" t="s">
        <v>188</v>
      </c>
      <c r="B104" s="2">
        <v>20609</v>
      </c>
      <c r="C104" s="2">
        <v>54739.95</v>
      </c>
      <c r="D104" s="2">
        <v>174700.28</v>
      </c>
      <c r="E104" s="2">
        <v>247727.94</v>
      </c>
      <c r="F104" s="2">
        <v>290024.44</v>
      </c>
    </row>
    <row r="105" spans="1:6" x14ac:dyDescent="0.15">
      <c r="A105" s="2" t="s">
        <v>191</v>
      </c>
      <c r="B105" s="2">
        <v>20205.96</v>
      </c>
      <c r="C105" s="2">
        <v>55578.84</v>
      </c>
      <c r="D105" s="2">
        <v>179608.04</v>
      </c>
      <c r="E105" s="2">
        <v>254906.72</v>
      </c>
      <c r="F105" s="2">
        <v>299070.87</v>
      </c>
    </row>
    <row r="106" spans="1:6" x14ac:dyDescent="0.15">
      <c r="A106" s="2" t="s">
        <v>192</v>
      </c>
      <c r="B106" s="2">
        <v>21511.43</v>
      </c>
      <c r="C106" s="2">
        <v>55988.43</v>
      </c>
      <c r="D106" s="2">
        <v>180854.31</v>
      </c>
      <c r="E106" s="2">
        <v>257897.15</v>
      </c>
      <c r="F106" s="2">
        <v>302691.67</v>
      </c>
    </row>
    <row r="107" spans="1:6" x14ac:dyDescent="0.15">
      <c r="A107" s="2" t="s">
        <v>193</v>
      </c>
      <c r="B107" s="2">
        <v>20903.849999999999</v>
      </c>
      <c r="C107" s="2">
        <v>55850.96</v>
      </c>
      <c r="D107" s="2">
        <v>182106.84</v>
      </c>
      <c r="E107" s="2">
        <v>257973.2</v>
      </c>
      <c r="F107" s="2">
        <v>302528.18</v>
      </c>
    </row>
    <row r="108" spans="1:6" x14ac:dyDescent="0.15">
      <c r="A108" s="2" t="s">
        <v>107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8D5EC-086C-47DD-90FC-2D728069F4EF}">
  <sheetPr codeName="Sheet2"/>
  <dimension ref="A1:AO126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4" sqref="B4"/>
    </sheetView>
  </sheetViews>
  <sheetFormatPr baseColWidth="10" defaultColWidth="8.83203125" defaultRowHeight="11" x14ac:dyDescent="0.15"/>
  <cols>
    <col min="1" max="1" width="8.83203125" style="2"/>
    <col min="2" max="7" width="12.83203125" style="2" customWidth="1"/>
    <col min="8" max="8" width="4.1640625" style="2" customWidth="1"/>
    <col min="9" max="9" width="11.83203125" style="2" customWidth="1"/>
    <col min="10" max="14" width="10.1640625" style="2" customWidth="1"/>
    <col min="15" max="15" width="4.1640625" style="2" customWidth="1"/>
    <col min="16" max="16" width="11.83203125" style="2" customWidth="1"/>
    <col min="17" max="19" width="10.1640625" style="2" customWidth="1"/>
    <col min="20" max="20" width="4.1640625" style="2" customWidth="1"/>
    <col min="21" max="21" width="11.83203125" style="2" customWidth="1"/>
    <col min="22" max="23" width="10.1640625" style="2" customWidth="1"/>
    <col min="24" max="24" width="11.6640625" style="2" customWidth="1"/>
    <col min="25" max="25" width="10.1640625" style="2" customWidth="1"/>
    <col min="26" max="26" width="4.1640625" style="2" customWidth="1"/>
    <col min="27" max="27" width="8.83203125" style="2"/>
    <col min="28" max="28" width="10" style="2" bestFit="1" customWidth="1"/>
    <col min="29" max="16384" width="8.83203125" style="2"/>
  </cols>
  <sheetData>
    <row r="1" spans="1:35" x14ac:dyDescent="0.15">
      <c r="A1" s="1" t="s">
        <v>112</v>
      </c>
      <c r="B1" s="1"/>
      <c r="C1" s="1"/>
      <c r="D1" s="1"/>
      <c r="E1" s="1"/>
      <c r="F1" s="1"/>
      <c r="G1" s="1"/>
      <c r="I1" s="1" t="s">
        <v>113</v>
      </c>
      <c r="J1" s="1"/>
      <c r="K1" s="1"/>
      <c r="L1" s="1"/>
      <c r="M1" s="1"/>
      <c r="N1" s="1"/>
      <c r="P1" s="1" t="s">
        <v>115</v>
      </c>
      <c r="Q1" s="1"/>
      <c r="R1" s="1"/>
      <c r="S1" s="1"/>
      <c r="U1" s="63" t="s">
        <v>195</v>
      </c>
      <c r="V1" s="1"/>
      <c r="W1" s="1"/>
      <c r="X1" s="1"/>
      <c r="Y1" s="1"/>
    </row>
    <row r="2" spans="1:35" x14ac:dyDescent="0.15">
      <c r="A2" s="2" t="s">
        <v>111</v>
      </c>
      <c r="B2" s="3" t="s">
        <v>108</v>
      </c>
      <c r="C2" s="3" t="s">
        <v>116</v>
      </c>
      <c r="D2" s="3" t="s">
        <v>109</v>
      </c>
      <c r="E2" s="3" t="s">
        <v>114</v>
      </c>
      <c r="F2" s="3" t="s">
        <v>117</v>
      </c>
      <c r="G2" s="3" t="s">
        <v>110</v>
      </c>
      <c r="I2" s="3" t="s">
        <v>108</v>
      </c>
      <c r="J2" s="3" t="s">
        <v>116</v>
      </c>
      <c r="K2" s="3" t="s">
        <v>109</v>
      </c>
      <c r="L2" s="3" t="s">
        <v>114</v>
      </c>
      <c r="M2" s="3" t="s">
        <v>117</v>
      </c>
      <c r="N2" s="3" t="s">
        <v>110</v>
      </c>
      <c r="P2" s="3" t="s">
        <v>108</v>
      </c>
      <c r="Q2" s="3" t="s">
        <v>116</v>
      </c>
      <c r="R2" s="3" t="s">
        <v>109</v>
      </c>
      <c r="S2" s="3" t="s">
        <v>117</v>
      </c>
      <c r="U2" s="3" t="s">
        <v>108</v>
      </c>
      <c r="V2" s="3" t="s">
        <v>116</v>
      </c>
      <c r="W2" s="3" t="s">
        <v>109</v>
      </c>
      <c r="X2" s="64" t="s">
        <v>196</v>
      </c>
      <c r="Y2" s="3" t="s">
        <v>110</v>
      </c>
    </row>
    <row r="3" spans="1:35" x14ac:dyDescent="0.15">
      <c r="A3" s="8">
        <v>35125</v>
      </c>
      <c r="B3" s="5" cm="1">
        <f t="array" aca="1" ref="B3" ca="1">OFFSET('Input IBGE'!$A$5,ROW()-2,COLUMN()-1,,)</f>
        <v>8434.1200000000008</v>
      </c>
      <c r="C3" s="5" cm="1">
        <f t="array" aca="1" ref="C3" ca="1">OFFSET('Input IBGE'!$A$5,ROW()-2,COLUMN()-1,,)</f>
        <v>41667.01</v>
      </c>
      <c r="D3" s="5" cm="1">
        <f t="array" aca="1" ref="D3" ca="1">OFFSET('Input IBGE'!$A$5,ROW()-2,COLUMN()-1,,)</f>
        <v>103507.88</v>
      </c>
      <c r="E3" s="5" cm="1">
        <f t="array" aca="1" ref="E3" ca="1">OFFSET('Input IBGE'!$A$5,ROW()-2,COLUMN()-1,,)</f>
        <v>152563.74</v>
      </c>
      <c r="F3" s="5">
        <f ca="1">G3-E3</f>
        <v>23135.23000000001</v>
      </c>
      <c r="G3" s="5" cm="1">
        <f t="array" aca="1" ref="G3" ca="1">OFFSET('Input IBGE'!$A$5,ROW()-2,COLUMN()-2,,)</f>
        <v>175698.97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P3" s="4">
        <f ca="1">B3/$G3/(SUM($B3:$D3,$F3)/$G3)*100</f>
        <v>4.7719348590935686</v>
      </c>
      <c r="Q3" s="4">
        <f t="shared" ref="Q3:R3" ca="1" si="0">C3/$G3/(SUM($B3:$D3,$F3)/$G3)*100</f>
        <v>23.574748461392574</v>
      </c>
      <c r="R3" s="4">
        <f t="shared" ca="1" si="0"/>
        <v>58.563651070043342</v>
      </c>
      <c r="S3" s="4">
        <f ca="1">F3/$G3/(SUM($B3:$D3,$F3)/$G3)*100</f>
        <v>13.089665609470503</v>
      </c>
      <c r="U3" s="3">
        <v>1</v>
      </c>
      <c r="V3" s="3">
        <v>1</v>
      </c>
      <c r="W3" s="3">
        <v>1</v>
      </c>
      <c r="X3" s="3">
        <v>1</v>
      </c>
      <c r="Y3" s="3">
        <v>1</v>
      </c>
    </row>
    <row r="4" spans="1:35" x14ac:dyDescent="0.15">
      <c r="A4" s="8">
        <f>EOMONTH(A3,3)</f>
        <v>35246</v>
      </c>
      <c r="B4" s="5" cm="1">
        <f t="array" aca="1" ref="B4" ca="1">OFFSET('Input IBGE'!$A$5,ROW()-2,COLUMN()-1,,)</f>
        <v>8542.84</v>
      </c>
      <c r="C4" s="5" cm="1">
        <f t="array" aca="1" ref="C4" ca="1">OFFSET('Input IBGE'!$A$5,ROW()-2,COLUMN()-1,,)</f>
        <v>40181.870000000003</v>
      </c>
      <c r="D4" s="5" cm="1">
        <f t="array" aca="1" ref="D4" ca="1">OFFSET('Input IBGE'!$A$5,ROW()-2,COLUMN()-1,,)</f>
        <v>104800.29</v>
      </c>
      <c r="E4" s="5" cm="1">
        <f t="array" aca="1" ref="E4" ca="1">OFFSET('Input IBGE'!$A$5,ROW()-2,COLUMN()-1,,)</f>
        <v>153572.20000000001</v>
      </c>
      <c r="F4" s="5">
        <f t="shared" ref="F4:F67" ca="1" si="1">G4-E4</f>
        <v>23697.859999999986</v>
      </c>
      <c r="G4" s="5" cm="1">
        <f t="array" aca="1" ref="G4" ca="1">OFFSET('Input IBGE'!$A$5,ROW()-2,COLUMN()-2,,)</f>
        <v>177270.06</v>
      </c>
      <c r="I4" s="4">
        <f ca="1">100*(B4/B3-1)</f>
        <v>1.289049717101487</v>
      </c>
      <c r="J4" s="4">
        <f t="shared" ref="J4:N4" ca="1" si="2">100*(C4/C3-1)</f>
        <v>-3.5643066301133675</v>
      </c>
      <c r="K4" s="4">
        <f t="shared" ca="1" si="2"/>
        <v>1.2486102507364594</v>
      </c>
      <c r="L4" s="4">
        <f t="shared" ca="1" si="2"/>
        <v>0.6610089658263707</v>
      </c>
      <c r="M4" s="4">
        <f t="shared" ca="1" si="2"/>
        <v>2.4319187663143005</v>
      </c>
      <c r="N4" s="4">
        <f t="shared" ca="1" si="2"/>
        <v>0.89419420045546705</v>
      </c>
      <c r="P4" s="4">
        <f t="shared" ref="P4:P67" ca="1" si="3">B4/$G4/(SUM($B4:$D4,$F4)/$G4)*100</f>
        <v>4.8203939378926624</v>
      </c>
      <c r="Q4" s="4">
        <f t="shared" ref="Q4:Q67" ca="1" si="4">C4/$G4/(SUM($B4:$D4,$F4)/$G4)*100</f>
        <v>22.673073891257598</v>
      </c>
      <c r="R4" s="4">
        <f t="shared" ref="R4:R67" ca="1" si="5">D4/$G4/(SUM($B4:$D4,$F4)/$G4)*100</f>
        <v>59.134747063668883</v>
      </c>
      <c r="S4" s="4">
        <f t="shared" ref="S4:S67" ca="1" si="6">F4/$G4/(SUM($B4:$D4,$F4)/$G4)*100</f>
        <v>13.371785107180861</v>
      </c>
      <c r="U4" s="4">
        <f ca="1">B4/B3*U3</f>
        <v>1.0128904971710149</v>
      </c>
      <c r="V4" s="4">
        <f t="shared" ref="V4:X4" ca="1" si="7">C4/C3*V3</f>
        <v>0.96435693369886633</v>
      </c>
      <c r="W4" s="4">
        <f t="shared" ca="1" si="7"/>
        <v>1.0124861025073646</v>
      </c>
      <c r="X4" s="4">
        <f t="shared" ca="1" si="7"/>
        <v>1.0066100896582637</v>
      </c>
      <c r="Y4" s="4">
        <f ca="1">G4/G3*Y3</f>
        <v>1.0089419420045547</v>
      </c>
    </row>
    <row r="5" spans="1:35" x14ac:dyDescent="0.15">
      <c r="A5" s="8">
        <f t="shared" ref="A5:A68" si="8">EOMONTH(A4,3)</f>
        <v>35338</v>
      </c>
      <c r="B5" s="5" cm="1">
        <f t="array" aca="1" ref="B5" ca="1">OFFSET('Input IBGE'!$A$5,ROW()-2,COLUMN()-1,,)</f>
        <v>9005.68</v>
      </c>
      <c r="C5" s="5" cm="1">
        <f t="array" aca="1" ref="C5" ca="1">OFFSET('Input IBGE'!$A$5,ROW()-2,COLUMN()-1,,)</f>
        <v>43756.3</v>
      </c>
      <c r="D5" s="5" cm="1">
        <f t="array" aca="1" ref="D5" ca="1">OFFSET('Input IBGE'!$A$5,ROW()-2,COLUMN()-1,,)</f>
        <v>106330.66</v>
      </c>
      <c r="E5" s="5" cm="1">
        <f t="array" aca="1" ref="E5" ca="1">OFFSET('Input IBGE'!$A$5,ROW()-2,COLUMN()-1,,)</f>
        <v>159426.10999999999</v>
      </c>
      <c r="F5" s="5">
        <f t="shared" ca="1" si="1"/>
        <v>24786.47</v>
      </c>
      <c r="G5" s="5" cm="1">
        <f t="array" aca="1" ref="G5" ca="1">OFFSET('Input IBGE'!$A$5,ROW()-2,COLUMN()-2,,)</f>
        <v>184212.58</v>
      </c>
      <c r="I5" s="4">
        <f t="shared" ref="I5:I68" ca="1" si="9">100*(B5/B4-1)</f>
        <v>5.4178704037533221</v>
      </c>
      <c r="J5" s="4">
        <f t="shared" ref="J5:J68" ca="1" si="10">100*(C5/C4-1)</f>
        <v>8.8956287997547179</v>
      </c>
      <c r="K5" s="4">
        <f t="shared" ref="K5:K68" ca="1" si="11">100*(D5/D4-1)</f>
        <v>1.4602726767263707</v>
      </c>
      <c r="L5" s="4">
        <f t="shared" ref="L5:L68" ca="1" si="12">100*(E5/E4-1)</f>
        <v>3.8118292242997009</v>
      </c>
      <c r="M5" s="4">
        <f t="shared" ref="M5:M68" ca="1" si="13">100*(F5/F4-1)</f>
        <v>4.5937059295650062</v>
      </c>
      <c r="N5" s="4">
        <f t="shared" ref="N5:N68" ca="1" si="14">100*(G5/G4-1)</f>
        <v>3.9163522593719469</v>
      </c>
      <c r="P5" s="4">
        <f t="shared" ca="1" si="3"/>
        <v>4.8976090867527038</v>
      </c>
      <c r="Q5" s="4">
        <f t="shared" ca="1" si="4"/>
        <v>23.796232209303167</v>
      </c>
      <c r="R5" s="4">
        <f t="shared" ca="1" si="5"/>
        <v>57.826394743807498</v>
      </c>
      <c r="S5" s="4">
        <f t="shared" ca="1" si="6"/>
        <v>13.479763960136633</v>
      </c>
      <c r="U5" s="4">
        <f t="shared" ref="U5:U68" ca="1" si="15">B5/B4*U4</f>
        <v>1.0677675916396732</v>
      </c>
      <c r="V5" s="4">
        <f t="shared" ref="V5:V68" ca="1" si="16">C5/C4*V4</f>
        <v>1.0501425468254142</v>
      </c>
      <c r="W5" s="4">
        <f t="shared" ref="W5:W68" ca="1" si="17">D5/D4*W4</f>
        <v>1.0272711604179314</v>
      </c>
      <c r="X5" s="4">
        <f t="shared" ref="X5:X68" ca="1" si="18">E5/E4*X4</f>
        <v>1.0449803472306067</v>
      </c>
      <c r="Y5" s="4">
        <f t="shared" ref="Y5:Y68" ca="1" si="19">F5/F4*Y4</f>
        <v>1.0552897678202862</v>
      </c>
    </row>
    <row r="6" spans="1:35" x14ac:dyDescent="0.15">
      <c r="A6" s="8">
        <f t="shared" si="8"/>
        <v>35430</v>
      </c>
      <c r="B6" s="5" cm="1">
        <f t="array" aca="1" ref="B6" ca="1">OFFSET('Input IBGE'!$A$5,ROW()-2,COLUMN()-1,,)</f>
        <v>11103.54</v>
      </c>
      <c r="C6" s="5" cm="1">
        <f t="array" aca="1" ref="C6" ca="1">OFFSET('Input IBGE'!$A$5,ROW()-2,COLUMN()-1,,)</f>
        <v>41096.019999999997</v>
      </c>
      <c r="D6" s="5" cm="1">
        <f t="array" aca="1" ref="D6" ca="1">OFFSET('Input IBGE'!$A$5,ROW()-2,COLUMN()-1,,)</f>
        <v>104152.97</v>
      </c>
      <c r="E6" s="5" cm="1">
        <f t="array" aca="1" ref="E6" ca="1">OFFSET('Input IBGE'!$A$5,ROW()-2,COLUMN()-1,,)</f>
        <v>155610.46</v>
      </c>
      <c r="F6" s="5">
        <f t="shared" ca="1" si="1"/>
        <v>26711.460000000021</v>
      </c>
      <c r="G6" s="5" cm="1">
        <f t="array" aca="1" ref="G6" ca="1">OFFSET('Input IBGE'!$A$5,ROW()-2,COLUMN()-2,,)</f>
        <v>182321.92000000001</v>
      </c>
      <c r="I6" s="4">
        <f t="shared" ca="1" si="9"/>
        <v>23.294853914418457</v>
      </c>
      <c r="J6" s="4">
        <f t="shared" ca="1" si="10"/>
        <v>-6.0797645139100132</v>
      </c>
      <c r="K6" s="4">
        <f t="shared" ca="1" si="11"/>
        <v>-2.0480358158220802</v>
      </c>
      <c r="L6" s="4">
        <f t="shared" ca="1" si="12"/>
        <v>-2.3933658043842398</v>
      </c>
      <c r="M6" s="4">
        <f t="shared" ca="1" si="13"/>
        <v>7.7662934657497296</v>
      </c>
      <c r="N6" s="4">
        <f t="shared" ca="1" si="14"/>
        <v>-1.0263468434131728</v>
      </c>
      <c r="P6" s="4">
        <f t="shared" ca="1" si="3"/>
        <v>6.0653872998179494</v>
      </c>
      <c r="Q6" s="4">
        <f t="shared" ca="1" si="4"/>
        <v>22.448991743269659</v>
      </c>
      <c r="R6" s="4">
        <f t="shared" ca="1" si="5"/>
        <v>56.894296906781058</v>
      </c>
      <c r="S6" s="4">
        <f t="shared" ca="1" si="6"/>
        <v>14.591324050131332</v>
      </c>
      <c r="U6" s="4">
        <f t="shared" ca="1" si="15"/>
        <v>1.3165024922576392</v>
      </c>
      <c r="V6" s="4">
        <f t="shared" ca="1" si="16"/>
        <v>0.98629635291805184</v>
      </c>
      <c r="W6" s="4">
        <f t="shared" ca="1" si="17"/>
        <v>1.0062322791269611</v>
      </c>
      <c r="X6" s="4">
        <f t="shared" ca="1" si="18"/>
        <v>1.0199701449374536</v>
      </c>
      <c r="Y6" s="4">
        <f t="shared" ca="1" si="19"/>
        <v>1.1372466681032385</v>
      </c>
    </row>
    <row r="7" spans="1:35" x14ac:dyDescent="0.15">
      <c r="A7" s="8">
        <f t="shared" si="8"/>
        <v>35520</v>
      </c>
      <c r="B7" s="5" cm="1">
        <f t="array" aca="1" ref="B7" ca="1">OFFSET('Input IBGE'!$A$5,ROW()-2,COLUMN()-1,,)</f>
        <v>9020.16</v>
      </c>
      <c r="C7" s="5" cm="1">
        <f t="array" aca="1" ref="C7" ca="1">OFFSET('Input IBGE'!$A$5,ROW()-2,COLUMN()-1,,)</f>
        <v>43229.93</v>
      </c>
      <c r="D7" s="5" cm="1">
        <f t="array" aca="1" ref="D7" ca="1">OFFSET('Input IBGE'!$A$5,ROW()-2,COLUMN()-1,,)</f>
        <v>106679.85</v>
      </c>
      <c r="E7" s="5" cm="1">
        <f t="array" aca="1" ref="E7" ca="1">OFFSET('Input IBGE'!$A$5,ROW()-2,COLUMN()-1,,)</f>
        <v>158328.79999999999</v>
      </c>
      <c r="F7" s="5">
        <f t="shared" ca="1" si="1"/>
        <v>25784.910000000003</v>
      </c>
      <c r="G7" s="5" cm="1">
        <f t="array" aca="1" ref="G7" ca="1">OFFSET('Input IBGE'!$A$5,ROW()-2,COLUMN()-2,,)</f>
        <v>184113.71</v>
      </c>
      <c r="I7" s="4">
        <f t="shared" ca="1" si="9"/>
        <v>-18.763205248056035</v>
      </c>
      <c r="J7" s="4">
        <f t="shared" ca="1" si="10"/>
        <v>5.1924979596564391</v>
      </c>
      <c r="K7" s="4">
        <f t="shared" ca="1" si="11"/>
        <v>2.4261238061670243</v>
      </c>
      <c r="L7" s="4">
        <f t="shared" ca="1" si="12"/>
        <v>1.7468877092195356</v>
      </c>
      <c r="M7" s="4">
        <f t="shared" ca="1" si="13"/>
        <v>-3.4687358908873422</v>
      </c>
      <c r="N7" s="4">
        <f t="shared" ca="1" si="14"/>
        <v>0.98276169974513827</v>
      </c>
      <c r="P7" s="4">
        <f t="shared" ca="1" si="3"/>
        <v>4.8832890263018918</v>
      </c>
      <c r="Q7" s="4">
        <f t="shared" ca="1" si="4"/>
        <v>23.403602904693372</v>
      </c>
      <c r="R7" s="4">
        <f t="shared" ca="1" si="5"/>
        <v>57.753802685598913</v>
      </c>
      <c r="S7" s="4">
        <f t="shared" ca="1" si="6"/>
        <v>13.959305383405828</v>
      </c>
      <c r="U7" s="4">
        <f t="shared" ca="1" si="15"/>
        <v>1.0694844275395652</v>
      </c>
      <c r="V7" s="4">
        <f t="shared" ca="1" si="16"/>
        <v>1.0375097709194876</v>
      </c>
      <c r="W7" s="4">
        <f t="shared" ca="1" si="17"/>
        <v>1.0306447199961974</v>
      </c>
      <c r="X7" s="4">
        <f t="shared" ca="1" si="18"/>
        <v>1.0377878780370746</v>
      </c>
      <c r="Y7" s="4">
        <f t="shared" ca="1" si="19"/>
        <v>1.097798584758821</v>
      </c>
    </row>
    <row r="8" spans="1:35" ht="12" x14ac:dyDescent="0.15">
      <c r="A8" s="8">
        <f t="shared" si="8"/>
        <v>35611</v>
      </c>
      <c r="B8" s="5" cm="1">
        <f t="array" aca="1" ref="B8" ca="1">OFFSET('Input IBGE'!$A$5,ROW()-2,COLUMN()-1,,)</f>
        <v>8877.92</v>
      </c>
      <c r="C8" s="5" cm="1">
        <f t="array" aca="1" ref="C8" ca="1">OFFSET('Input IBGE'!$A$5,ROW()-2,COLUMN()-1,,)</f>
        <v>43076.68</v>
      </c>
      <c r="D8" s="5" cm="1">
        <f t="array" aca="1" ref="D8" ca="1">OFFSET('Input IBGE'!$A$5,ROW()-2,COLUMN()-1,,)</f>
        <v>107138.66</v>
      </c>
      <c r="E8" s="5" cm="1">
        <f t="array" aca="1" ref="E8" ca="1">OFFSET('Input IBGE'!$A$5,ROW()-2,COLUMN()-1,,)</f>
        <v>159404.88</v>
      </c>
      <c r="F8" s="5">
        <f t="shared" ca="1" si="1"/>
        <v>25955.329999999987</v>
      </c>
      <c r="G8" s="5" cm="1">
        <f t="array" aca="1" ref="G8" ca="1">OFFSET('Input IBGE'!$A$5,ROW()-2,COLUMN()-2,,)</f>
        <v>185360.21</v>
      </c>
      <c r="I8" s="4">
        <f t="shared" ca="1" si="9"/>
        <v>-1.5769121612033477</v>
      </c>
      <c r="J8" s="4">
        <f t="shared" ca="1" si="10"/>
        <v>-0.35449976439934083</v>
      </c>
      <c r="K8" s="4">
        <f t="shared" ca="1" si="11"/>
        <v>0.43008121964924761</v>
      </c>
      <c r="L8" s="4">
        <f t="shared" ca="1" si="12"/>
        <v>0.6796489331063027</v>
      </c>
      <c r="M8" s="4">
        <f t="shared" ca="1" si="13"/>
        <v>0.66092920239002595</v>
      </c>
      <c r="N8" s="4">
        <f t="shared" ca="1" si="14"/>
        <v>0.67702725668827846</v>
      </c>
      <c r="P8" s="4">
        <f t="shared" ca="1" si="3"/>
        <v>4.7976155884246401</v>
      </c>
      <c r="Q8" s="4">
        <f t="shared" ca="1" si="4"/>
        <v>23.278577804888975</v>
      </c>
      <c r="R8" s="4">
        <f t="shared" ca="1" si="5"/>
        <v>57.897582467394116</v>
      </c>
      <c r="S8" s="4">
        <f t="shared" ca="1" si="6"/>
        <v>14.026224139292273</v>
      </c>
      <c r="U8" s="4">
        <f t="shared" ca="1" si="15"/>
        <v>1.0526195975395178</v>
      </c>
      <c r="V8" s="4">
        <f t="shared" ca="1" si="16"/>
        <v>1.033831801225958</v>
      </c>
      <c r="W8" s="4">
        <f t="shared" ca="1" si="17"/>
        <v>1.0350773293782076</v>
      </c>
      <c r="X8" s="4">
        <f t="shared" ca="1" si="18"/>
        <v>1.04484119227806</v>
      </c>
      <c r="Y8" s="4">
        <f t="shared" ca="1" si="19"/>
        <v>1.1050542561889165</v>
      </c>
      <c r="AH8" s="75" t="s">
        <v>111</v>
      </c>
      <c r="AI8" s="75" t="s">
        <v>202</v>
      </c>
    </row>
    <row r="9" spans="1:35" x14ac:dyDescent="0.15">
      <c r="A9" s="8">
        <f t="shared" si="8"/>
        <v>35703</v>
      </c>
      <c r="B9" s="5" cm="1">
        <f t="array" aca="1" ref="B9" ca="1">OFFSET('Input IBGE'!$A$5,ROW()-2,COLUMN()-1,,)</f>
        <v>9170.32</v>
      </c>
      <c r="C9" s="5" cm="1">
        <f t="array" aca="1" ref="C9" ca="1">OFFSET('Input IBGE'!$A$5,ROW()-2,COLUMN()-1,,)</f>
        <v>43921.86</v>
      </c>
      <c r="D9" s="5" cm="1">
        <f t="array" aca="1" ref="D9" ca="1">OFFSET('Input IBGE'!$A$5,ROW()-2,COLUMN()-1,,)</f>
        <v>107741.2</v>
      </c>
      <c r="E9" s="5" cm="1">
        <f t="array" aca="1" ref="E9" ca="1">OFFSET('Input IBGE'!$A$5,ROW()-2,COLUMN()-1,,)</f>
        <v>160981.85999999999</v>
      </c>
      <c r="F9" s="5">
        <f t="shared" ca="1" si="1"/>
        <v>26680.690000000002</v>
      </c>
      <c r="G9" s="5" cm="1">
        <f t="array" aca="1" ref="G9" ca="1">OFFSET('Input IBGE'!$A$5,ROW()-2,COLUMN()-2,,)</f>
        <v>187662.55</v>
      </c>
      <c r="I9" s="4">
        <f t="shared" ca="1" si="9"/>
        <v>3.2935642582947233</v>
      </c>
      <c r="J9" s="4">
        <f t="shared" ca="1" si="10"/>
        <v>1.9620360714892593</v>
      </c>
      <c r="K9" s="4">
        <f t="shared" ca="1" si="11"/>
        <v>0.56239269746325427</v>
      </c>
      <c r="L9" s="4">
        <f t="shared" ca="1" si="12"/>
        <v>0.98929217223462373</v>
      </c>
      <c r="M9" s="4">
        <f t="shared" ca="1" si="13"/>
        <v>2.7946475733501286</v>
      </c>
      <c r="N9" s="4">
        <f t="shared" ca="1" si="14"/>
        <v>1.2420896588323904</v>
      </c>
      <c r="P9" s="4">
        <f t="shared" ca="1" si="3"/>
        <v>4.8904703524380855</v>
      </c>
      <c r="Q9" s="4">
        <f t="shared" ca="1" si="4"/>
        <v>23.42323432049659</v>
      </c>
      <c r="R9" s="4">
        <f t="shared" ca="1" si="5"/>
        <v>57.457661710398575</v>
      </c>
      <c r="S9" s="4">
        <f t="shared" ca="1" si="6"/>
        <v>14.228633616666739</v>
      </c>
      <c r="U9" s="4">
        <f t="shared" ca="1" si="15"/>
        <v>1.0872883003798852</v>
      </c>
      <c r="V9" s="4">
        <f t="shared" ca="1" si="16"/>
        <v>1.0541159540845384</v>
      </c>
      <c r="W9" s="4">
        <f t="shared" ca="1" si="17"/>
        <v>1.0408985286917283</v>
      </c>
      <c r="X9" s="4">
        <f t="shared" ca="1" si="18"/>
        <v>1.0551777244055498</v>
      </c>
      <c r="Y9" s="4">
        <f t="shared" ca="1" si="19"/>
        <v>1.1359366281437024</v>
      </c>
      <c r="AH9" s="73" t="s">
        <v>201</v>
      </c>
      <c r="AI9" s="74">
        <v>0.74801841789644552</v>
      </c>
    </row>
    <row r="10" spans="1:35" x14ac:dyDescent="0.15">
      <c r="A10" s="8">
        <f t="shared" si="8"/>
        <v>35795</v>
      </c>
      <c r="B10" s="5" cm="1">
        <f t="array" aca="1" ref="B10" ca="1">OFFSET('Input IBGE'!$A$5,ROW()-2,COLUMN()-1,,)</f>
        <v>9942.0499999999993</v>
      </c>
      <c r="C10" s="5" cm="1">
        <f t="array" aca="1" ref="C10" ca="1">OFFSET('Input IBGE'!$A$5,ROW()-2,COLUMN()-1,,)</f>
        <v>43768.07</v>
      </c>
      <c r="D10" s="5" cm="1">
        <f t="array" aca="1" ref="D10" ca="1">OFFSET('Input IBGE'!$A$5,ROW()-2,COLUMN()-1,,)</f>
        <v>109008.63</v>
      </c>
      <c r="E10" s="5" cm="1">
        <f t="array" aca="1" ref="E10" ca="1">OFFSET('Input IBGE'!$A$5,ROW()-2,COLUMN()-1,,)</f>
        <v>162473.25</v>
      </c>
      <c r="F10" s="5">
        <f t="shared" ca="1" si="1"/>
        <v>26644.190000000002</v>
      </c>
      <c r="G10" s="5" cm="1">
        <f t="array" aca="1" ref="G10" ca="1">OFFSET('Input IBGE'!$A$5,ROW()-2,COLUMN()-2,,)</f>
        <v>189117.44</v>
      </c>
      <c r="I10" s="4">
        <f t="shared" ca="1" si="9"/>
        <v>8.4155187605230672</v>
      </c>
      <c r="J10" s="4">
        <f t="shared" ca="1" si="10"/>
        <v>-0.350144552166054</v>
      </c>
      <c r="K10" s="4">
        <f t="shared" ca="1" si="11"/>
        <v>1.1763652159062721</v>
      </c>
      <c r="L10" s="4">
        <f t="shared" ca="1" si="12"/>
        <v>0.92643357456549946</v>
      </c>
      <c r="M10" s="4">
        <f t="shared" ca="1" si="13"/>
        <v>-0.13680305869151477</v>
      </c>
      <c r="N10" s="4">
        <f t="shared" ca="1" si="14"/>
        <v>0.77526922659849618</v>
      </c>
      <c r="P10" s="4">
        <f t="shared" ca="1" si="3"/>
        <v>5.2502617460417538</v>
      </c>
      <c r="Q10" s="4">
        <f t="shared" ca="1" si="4"/>
        <v>23.113324074921945</v>
      </c>
      <c r="R10" s="4">
        <f t="shared" ca="1" si="5"/>
        <v>57.565978855207888</v>
      </c>
      <c r="S10" s="4">
        <f t="shared" ca="1" si="6"/>
        <v>14.070435323828413</v>
      </c>
      <c r="U10" s="4">
        <f t="shared" ca="1" si="15"/>
        <v>1.1787892512793268</v>
      </c>
      <c r="V10" s="4">
        <f t="shared" ca="1" si="16"/>
        <v>1.0504250244977982</v>
      </c>
      <c r="W10" s="4">
        <f t="shared" ca="1" si="17"/>
        <v>1.0531432969161378</v>
      </c>
      <c r="X10" s="4">
        <f t="shared" ca="1" si="18"/>
        <v>1.064953245115779</v>
      </c>
      <c r="Y10" s="4">
        <f t="shared" ca="1" si="19"/>
        <v>1.1343826320916046</v>
      </c>
      <c r="AH10" s="73" t="s">
        <v>204</v>
      </c>
      <c r="AI10" s="74">
        <v>0.89419420045546705</v>
      </c>
    </row>
    <row r="11" spans="1:35" x14ac:dyDescent="0.15">
      <c r="A11" s="8">
        <f t="shared" si="8"/>
        <v>35885</v>
      </c>
      <c r="B11" s="5" cm="1">
        <f t="array" aca="1" ref="B11" ca="1">OFFSET('Input IBGE'!$A$5,ROW()-2,COLUMN()-1,,)</f>
        <v>8866.11</v>
      </c>
      <c r="C11" s="5" cm="1">
        <f t="array" aca="1" ref="C11" ca="1">OFFSET('Input IBGE'!$A$5,ROW()-2,COLUMN()-1,,)</f>
        <v>42753.82</v>
      </c>
      <c r="D11" s="5" cm="1">
        <f t="array" aca="1" ref="D11" ca="1">OFFSET('Input IBGE'!$A$5,ROW()-2,COLUMN()-1,,)</f>
        <v>108135.86</v>
      </c>
      <c r="E11" s="5" cm="1">
        <f t="array" aca="1" ref="E11" ca="1">OFFSET('Input IBGE'!$A$5,ROW()-2,COLUMN()-1,,)</f>
        <v>159729.69</v>
      </c>
      <c r="F11" s="5">
        <f t="shared" ca="1" si="1"/>
        <v>25733.600000000006</v>
      </c>
      <c r="G11" s="5" cm="1">
        <f t="array" aca="1" ref="G11" ca="1">OFFSET('Input IBGE'!$A$5,ROW()-2,COLUMN()-2,,)</f>
        <v>185463.29</v>
      </c>
      <c r="I11" s="4">
        <f t="shared" ca="1" si="9"/>
        <v>-10.822114151507979</v>
      </c>
      <c r="J11" s="4">
        <f t="shared" ca="1" si="10"/>
        <v>-2.3173285913680952</v>
      </c>
      <c r="K11" s="4">
        <f t="shared" ca="1" si="11"/>
        <v>-0.80064303165722217</v>
      </c>
      <c r="L11" s="4">
        <f t="shared" ca="1" si="12"/>
        <v>-1.6886225886415085</v>
      </c>
      <c r="M11" s="4">
        <f t="shared" ca="1" si="13"/>
        <v>-3.4175931037873419</v>
      </c>
      <c r="N11" s="4">
        <f t="shared" ca="1" si="14"/>
        <v>-1.9322120688604838</v>
      </c>
      <c r="P11" s="4">
        <f t="shared" ca="1" si="3"/>
        <v>4.779847515806698</v>
      </c>
      <c r="Q11" s="4">
        <f t="shared" ca="1" si="4"/>
        <v>23.04919974128978</v>
      </c>
      <c r="R11" s="4">
        <f t="shared" ca="1" si="5"/>
        <v>58.297598585018783</v>
      </c>
      <c r="S11" s="4">
        <f t="shared" ca="1" si="6"/>
        <v>13.873354157884718</v>
      </c>
      <c r="U11" s="4">
        <f t="shared" ca="1" si="15"/>
        <v>1.0512193329001718</v>
      </c>
      <c r="V11" s="4">
        <f t="shared" ca="1" si="16"/>
        <v>1.0260832250742253</v>
      </c>
      <c r="W11" s="4">
        <f t="shared" ca="1" si="17"/>
        <v>1.0447113784960136</v>
      </c>
      <c r="X11" s="4">
        <f t="shared" ca="1" si="18"/>
        <v>1.0469702040602833</v>
      </c>
      <c r="Y11" s="4">
        <f t="shared" ca="1" si="19"/>
        <v>1.0956140494866806</v>
      </c>
      <c r="AH11" s="73" t="s">
        <v>205</v>
      </c>
      <c r="AI11" s="74">
        <v>1.0820189083938447</v>
      </c>
    </row>
    <row r="12" spans="1:35" x14ac:dyDescent="0.15">
      <c r="A12" s="8">
        <f t="shared" si="8"/>
        <v>35976</v>
      </c>
      <c r="B12" s="5" cm="1">
        <f t="array" aca="1" ref="B12" ca="1">OFFSET('Input IBGE'!$A$5,ROW()-2,COLUMN()-1,,)</f>
        <v>9968.36</v>
      </c>
      <c r="C12" s="5" cm="1">
        <f t="array" aca="1" ref="C12" ca="1">OFFSET('Input IBGE'!$A$5,ROW()-2,COLUMN()-1,,)</f>
        <v>43382.19</v>
      </c>
      <c r="D12" s="5" cm="1">
        <f t="array" aca="1" ref="D12" ca="1">OFFSET('Input IBGE'!$A$5,ROW()-2,COLUMN()-1,,)</f>
        <v>109077.64</v>
      </c>
      <c r="E12" s="5" cm="1">
        <f t="array" aca="1" ref="E12" ca="1">OFFSET('Input IBGE'!$A$5,ROW()-2,COLUMN()-1,,)</f>
        <v>162387.97</v>
      </c>
      <c r="F12" s="5">
        <f t="shared" ca="1" si="1"/>
        <v>26085.03</v>
      </c>
      <c r="G12" s="5" cm="1">
        <f t="array" aca="1" ref="G12" ca="1">OFFSET('Input IBGE'!$A$5,ROW()-2,COLUMN()-2,,)</f>
        <v>188473</v>
      </c>
      <c r="I12" s="4">
        <f t="shared" ca="1" si="9"/>
        <v>12.432171493473465</v>
      </c>
      <c r="J12" s="4">
        <f t="shared" ca="1" si="10"/>
        <v>1.4697400138747874</v>
      </c>
      <c r="K12" s="4">
        <f t="shared" ca="1" si="11"/>
        <v>0.87092292972932306</v>
      </c>
      <c r="L12" s="4">
        <f t="shared" ca="1" si="12"/>
        <v>1.6642366237610506</v>
      </c>
      <c r="M12" s="4">
        <f t="shared" ca="1" si="13"/>
        <v>1.3656464699847382</v>
      </c>
      <c r="N12" s="4">
        <f t="shared" ca="1" si="14"/>
        <v>1.6228063246370716</v>
      </c>
      <c r="P12" s="4">
        <f t="shared" ca="1" si="3"/>
        <v>5.2878837887337555</v>
      </c>
      <c r="Q12" s="4">
        <f t="shared" ca="1" si="4"/>
        <v>23.012810454354341</v>
      </c>
      <c r="R12" s="4">
        <f t="shared" ca="1" si="5"/>
        <v>57.862063997421508</v>
      </c>
      <c r="S12" s="4">
        <f t="shared" ca="1" si="6"/>
        <v>13.837241759490396</v>
      </c>
      <c r="U12" s="4">
        <f t="shared" ca="1" si="15"/>
        <v>1.181908723138869</v>
      </c>
      <c r="V12" s="4">
        <f t="shared" ca="1" si="16"/>
        <v>1.041163980808798</v>
      </c>
      <c r="W12" s="4">
        <f t="shared" ca="1" si="17"/>
        <v>1.0538100094408267</v>
      </c>
      <c r="X12" s="4">
        <f t="shared" ca="1" si="18"/>
        <v>1.0643942656361203</v>
      </c>
      <c r="Y12" s="4">
        <f t="shared" ca="1" si="19"/>
        <v>1.1105762640781522</v>
      </c>
      <c r="AH12" s="73" t="s">
        <v>203</v>
      </c>
      <c r="AI12" s="74">
        <v>0.42666112760276764</v>
      </c>
    </row>
    <row r="13" spans="1:35" x14ac:dyDescent="0.15">
      <c r="A13" s="8">
        <f t="shared" si="8"/>
        <v>36068</v>
      </c>
      <c r="B13" s="5" cm="1">
        <f t="array" aca="1" ref="B13" ca="1">OFFSET('Input IBGE'!$A$5,ROW()-2,COLUMN()-1,,)</f>
        <v>9710.09</v>
      </c>
      <c r="C13" s="5" cm="1">
        <f t="array" aca="1" ref="C13" ca="1">OFFSET('Input IBGE'!$A$5,ROW()-2,COLUMN()-1,,)</f>
        <v>42780.11</v>
      </c>
      <c r="D13" s="5" cm="1">
        <f t="array" aca="1" ref="D13" ca="1">OFFSET('Input IBGE'!$A$5,ROW()-2,COLUMN()-1,,)</f>
        <v>109777.93</v>
      </c>
      <c r="E13" s="5" cm="1">
        <f t="array" aca="1" ref="E13" ca="1">OFFSET('Input IBGE'!$A$5,ROW()-2,COLUMN()-1,,)</f>
        <v>162414.82999999999</v>
      </c>
      <c r="F13" s="5">
        <f t="shared" ca="1" si="1"/>
        <v>26174.040000000008</v>
      </c>
      <c r="G13" s="5" cm="1">
        <f t="array" aca="1" ref="G13" ca="1">OFFSET('Input IBGE'!$A$5,ROW()-2,COLUMN()-2,,)</f>
        <v>188588.87</v>
      </c>
      <c r="I13" s="4">
        <f t="shared" ca="1" si="9"/>
        <v>-2.5908976000064254</v>
      </c>
      <c r="J13" s="4">
        <f t="shared" ca="1" si="10"/>
        <v>-1.3878506364017218</v>
      </c>
      <c r="K13" s="4">
        <f t="shared" ca="1" si="11"/>
        <v>0.64201058988808679</v>
      </c>
      <c r="L13" s="4">
        <f t="shared" ca="1" si="12"/>
        <v>1.6540634136874566E-2</v>
      </c>
      <c r="M13" s="4">
        <f t="shared" ca="1" si="13"/>
        <v>0.34123019985028424</v>
      </c>
      <c r="N13" s="4">
        <f t="shared" ca="1" si="14"/>
        <v>6.1478301931838786E-2</v>
      </c>
      <c r="P13" s="4">
        <f t="shared" ca="1" si="3"/>
        <v>5.1528222159615336</v>
      </c>
      <c r="Q13" s="4">
        <f t="shared" ca="1" si="4"/>
        <v>22.701983319338762</v>
      </c>
      <c r="R13" s="4">
        <f t="shared" ca="1" si="5"/>
        <v>58.255500878598454</v>
      </c>
      <c r="S13" s="4">
        <f t="shared" ca="1" si="6"/>
        <v>13.889693586101245</v>
      </c>
      <c r="U13" s="4">
        <f t="shared" ca="1" si="15"/>
        <v>1.1512866783967974</v>
      </c>
      <c r="V13" s="4">
        <f t="shared" ca="1" si="16"/>
        <v>1.0267141798751576</v>
      </c>
      <c r="W13" s="4">
        <f t="shared" ca="1" si="17"/>
        <v>1.0605755812987374</v>
      </c>
      <c r="X13" s="4">
        <f t="shared" ca="1" si="18"/>
        <v>1.0645703231973731</v>
      </c>
      <c r="Y13" s="4">
        <f t="shared" ca="1" si="19"/>
        <v>1.1143658856835559</v>
      </c>
    </row>
    <row r="14" spans="1:35" x14ac:dyDescent="0.15">
      <c r="A14" s="8">
        <f t="shared" si="8"/>
        <v>36160</v>
      </c>
      <c r="B14" s="5" cm="1">
        <f t="array" aca="1" ref="B14" ca="1">OFFSET('Input IBGE'!$A$5,ROW()-2,COLUMN()-1,,)</f>
        <v>9499.43</v>
      </c>
      <c r="C14" s="5" cm="1">
        <f t="array" aca="1" ref="C14" ca="1">OFFSET('Input IBGE'!$A$5,ROW()-2,COLUMN()-1,,)</f>
        <v>41447.15</v>
      </c>
      <c r="D14" s="5" cm="1">
        <f t="array" aca="1" ref="D14" ca="1">OFFSET('Input IBGE'!$A$5,ROW()-2,COLUMN()-1,,)</f>
        <v>109751.23</v>
      </c>
      <c r="E14" s="5" cm="1">
        <f t="array" aca="1" ref="E14" ca="1">OFFSET('Input IBGE'!$A$5,ROW()-2,COLUMN()-1,,)</f>
        <v>160727.32999999999</v>
      </c>
      <c r="F14" s="5">
        <f t="shared" ca="1" si="1"/>
        <v>25625.660000000003</v>
      </c>
      <c r="G14" s="5" cm="1">
        <f t="array" aca="1" ref="G14" ca="1">OFFSET('Input IBGE'!$A$5,ROW()-2,COLUMN()-2,,)</f>
        <v>186352.99</v>
      </c>
      <c r="I14" s="4">
        <f t="shared" ca="1" si="9"/>
        <v>-2.1694958543123644</v>
      </c>
      <c r="J14" s="4">
        <f t="shared" ca="1" si="10"/>
        <v>-3.1158405156040958</v>
      </c>
      <c r="K14" s="4">
        <f t="shared" ca="1" si="11"/>
        <v>-2.4321828622564379E-2</v>
      </c>
      <c r="L14" s="4">
        <f t="shared" ca="1" si="12"/>
        <v>-1.0390061055385202</v>
      </c>
      <c r="M14" s="4">
        <f t="shared" ca="1" si="13"/>
        <v>-2.0951293724622011</v>
      </c>
      <c r="N14" s="4">
        <f t="shared" ca="1" si="14"/>
        <v>-1.185584281829577</v>
      </c>
      <c r="P14" s="4">
        <f t="shared" ca="1" si="3"/>
        <v>5.0983539540134162</v>
      </c>
      <c r="Q14" s="4">
        <f t="shared" ca="1" si="4"/>
        <v>22.244728482139152</v>
      </c>
      <c r="R14" s="4">
        <f t="shared" ca="1" si="5"/>
        <v>58.903599208408899</v>
      </c>
      <c r="S14" s="4">
        <f t="shared" ca="1" si="6"/>
        <v>13.753318355438532</v>
      </c>
      <c r="U14" s="4">
        <f t="shared" ca="1" si="15"/>
        <v>1.1263095616377283</v>
      </c>
      <c r="V14" s="4">
        <f t="shared" ca="1" si="16"/>
        <v>0.99472340347915511</v>
      </c>
      <c r="W14" s="4">
        <f t="shared" ca="1" si="17"/>
        <v>1.0603176299234411</v>
      </c>
      <c r="X14" s="4">
        <f t="shared" ca="1" si="18"/>
        <v>1.0535093725416012</v>
      </c>
      <c r="Y14" s="4">
        <f t="shared" ca="1" si="19"/>
        <v>1.0910184786959012</v>
      </c>
    </row>
    <row r="15" spans="1:35" x14ac:dyDescent="0.15">
      <c r="A15" s="8">
        <f t="shared" si="8"/>
        <v>36250</v>
      </c>
      <c r="B15" s="5" cm="1">
        <f t="array" aca="1" ref="B15" ca="1">OFFSET('Input IBGE'!$A$5,ROW()-2,COLUMN()-1,,)</f>
        <v>9911.52</v>
      </c>
      <c r="C15" s="5" cm="1">
        <f t="array" aca="1" ref="C15" ca="1">OFFSET('Input IBGE'!$A$5,ROW()-2,COLUMN()-1,,)</f>
        <v>41278.68</v>
      </c>
      <c r="D15" s="5" cm="1">
        <f t="array" aca="1" ref="D15" ca="1">OFFSET('Input IBGE'!$A$5,ROW()-2,COLUMN()-1,,)</f>
        <v>111045.26</v>
      </c>
      <c r="E15" s="5" cm="1">
        <f t="array" aca="1" ref="E15" ca="1">OFFSET('Input IBGE'!$A$5,ROW()-2,COLUMN()-1,,)</f>
        <v>162242.57</v>
      </c>
      <c r="F15" s="5">
        <f t="shared" ca="1" si="1"/>
        <v>24717.289999999979</v>
      </c>
      <c r="G15" s="5" cm="1">
        <f t="array" aca="1" ref="G15" ca="1">OFFSET('Input IBGE'!$A$5,ROW()-2,COLUMN()-2,,)</f>
        <v>186959.86</v>
      </c>
      <c r="I15" s="4">
        <f t="shared" ca="1" si="9"/>
        <v>4.3380497566696041</v>
      </c>
      <c r="J15" s="4">
        <f t="shared" ca="1" si="10"/>
        <v>-0.40646944361675263</v>
      </c>
      <c r="K15" s="4">
        <f t="shared" ca="1" si="11"/>
        <v>1.1790574009967747</v>
      </c>
      <c r="L15" s="4">
        <f t="shared" ca="1" si="12"/>
        <v>0.94273948307361799</v>
      </c>
      <c r="M15" s="4">
        <f t="shared" ca="1" si="13"/>
        <v>-3.5447672372146632</v>
      </c>
      <c r="N15" s="4">
        <f t="shared" ca="1" si="14"/>
        <v>0.3256561646797218</v>
      </c>
      <c r="P15" s="4">
        <f t="shared" ca="1" si="3"/>
        <v>5.3016176547282683</v>
      </c>
      <c r="Q15" s="4">
        <f t="shared" ca="1" si="4"/>
        <v>22.079739399393702</v>
      </c>
      <c r="R15" s="4">
        <f t="shared" ca="1" si="5"/>
        <v>59.397500170497644</v>
      </c>
      <c r="S15" s="4">
        <f t="shared" ca="1" si="6"/>
        <v>13.2211427753804</v>
      </c>
      <c r="U15" s="4">
        <f t="shared" ca="1" si="15"/>
        <v>1.1751694308357004</v>
      </c>
      <c r="V15" s="4">
        <f t="shared" ca="1" si="16"/>
        <v>0.9906801567955078</v>
      </c>
      <c r="W15" s="4">
        <f t="shared" ca="1" si="17"/>
        <v>1.072819383413127</v>
      </c>
      <c r="X15" s="4">
        <f t="shared" ca="1" si="18"/>
        <v>1.063441221354432</v>
      </c>
      <c r="Y15" s="4">
        <f t="shared" ca="1" si="19"/>
        <v>1.052344413111131</v>
      </c>
    </row>
    <row r="16" spans="1:35" x14ac:dyDescent="0.15">
      <c r="A16" s="8">
        <f t="shared" si="8"/>
        <v>36341</v>
      </c>
      <c r="B16" s="5" cm="1">
        <f t="array" aca="1" ref="B16" ca="1">OFFSET('Input IBGE'!$A$5,ROW()-2,COLUMN()-1,,)</f>
        <v>10078.9</v>
      </c>
      <c r="C16" s="5" cm="1">
        <f t="array" aca="1" ref="C16" ca="1">OFFSET('Input IBGE'!$A$5,ROW()-2,COLUMN()-1,,)</f>
        <v>41179.9</v>
      </c>
      <c r="D16" s="5" cm="1">
        <f t="array" aca="1" ref="D16" ca="1">OFFSET('Input IBGE'!$A$5,ROW()-2,COLUMN()-1,,)</f>
        <v>110837.03</v>
      </c>
      <c r="E16" s="5" cm="1">
        <f t="array" aca="1" ref="E16" ca="1">OFFSET('Input IBGE'!$A$5,ROW()-2,COLUMN()-1,,)</f>
        <v>162424.59</v>
      </c>
      <c r="F16" s="5">
        <f t="shared" ca="1" si="1"/>
        <v>24979.709999999992</v>
      </c>
      <c r="G16" s="5" cm="1">
        <f t="array" aca="1" ref="G16" ca="1">OFFSET('Input IBGE'!$A$5,ROW()-2,COLUMN()-2,,)</f>
        <v>187404.3</v>
      </c>
      <c r="I16" s="4">
        <f t="shared" ca="1" si="9"/>
        <v>1.6887419891197242</v>
      </c>
      <c r="J16" s="4">
        <f t="shared" ca="1" si="10"/>
        <v>-0.23930028770299261</v>
      </c>
      <c r="K16" s="4">
        <f t="shared" ca="1" si="11"/>
        <v>-0.18751813449758847</v>
      </c>
      <c r="L16" s="4">
        <f t="shared" ca="1" si="12"/>
        <v>0.11219003742357625</v>
      </c>
      <c r="M16" s="4">
        <f t="shared" ca="1" si="13"/>
        <v>1.0616859696188863</v>
      </c>
      <c r="N16" s="4">
        <f t="shared" ca="1" si="14"/>
        <v>0.2377194762554824</v>
      </c>
      <c r="P16" s="4">
        <f t="shared" ca="1" si="3"/>
        <v>5.3876097324107679</v>
      </c>
      <c r="Q16" s="4">
        <f t="shared" ca="1" si="4"/>
        <v>22.012444812400382</v>
      </c>
      <c r="R16" s="4">
        <f t="shared" ca="1" si="5"/>
        <v>59.247205700969772</v>
      </c>
      <c r="S16" s="4">
        <f t="shared" ca="1" si="6"/>
        <v>13.352739754219067</v>
      </c>
      <c r="U16" s="4">
        <f t="shared" ca="1" si="15"/>
        <v>1.1950150104575221</v>
      </c>
      <c r="V16" s="4">
        <f t="shared" ca="1" si="16"/>
        <v>0.98830945633007972</v>
      </c>
      <c r="W16" s="4">
        <f t="shared" ca="1" si="17"/>
        <v>1.0708076525188222</v>
      </c>
      <c r="X16" s="4">
        <f t="shared" ca="1" si="18"/>
        <v>1.0646342964586473</v>
      </c>
      <c r="Y16" s="4">
        <f t="shared" ca="1" si="19"/>
        <v>1.0635170060972001</v>
      </c>
    </row>
    <row r="17" spans="1:41" x14ac:dyDescent="0.15">
      <c r="A17" s="8">
        <f t="shared" si="8"/>
        <v>36433</v>
      </c>
      <c r="B17" s="5" cm="1">
        <f t="array" aca="1" ref="B17" ca="1">OFFSET('Input IBGE'!$A$5,ROW()-2,COLUMN()-1,,)</f>
        <v>10129.540000000001</v>
      </c>
      <c r="C17" s="5" cm="1">
        <f t="array" aca="1" ref="C17" ca="1">OFFSET('Input IBGE'!$A$5,ROW()-2,COLUMN()-1,,)</f>
        <v>41320.769999999997</v>
      </c>
      <c r="D17" s="5" cm="1">
        <f t="array" aca="1" ref="D17" ca="1">OFFSET('Input IBGE'!$A$5,ROW()-2,COLUMN()-1,,)</f>
        <v>110860.6</v>
      </c>
      <c r="E17" s="5" cm="1">
        <f t="array" aca="1" ref="E17" ca="1">OFFSET('Input IBGE'!$A$5,ROW()-2,COLUMN()-1,,)</f>
        <v>162439.49</v>
      </c>
      <c r="F17" s="5">
        <f t="shared" ca="1" si="1"/>
        <v>25281.24000000002</v>
      </c>
      <c r="G17" s="5" cm="1">
        <f t="array" aca="1" ref="G17" ca="1">OFFSET('Input IBGE'!$A$5,ROW()-2,COLUMN()-2,,)</f>
        <v>187720.73</v>
      </c>
      <c r="I17" s="4">
        <f t="shared" ca="1" si="9"/>
        <v>0.50243578168254199</v>
      </c>
      <c r="J17" s="4">
        <f t="shared" ca="1" si="10"/>
        <v>0.3420843664020401</v>
      </c>
      <c r="K17" s="4">
        <f t="shared" ca="1" si="11"/>
        <v>2.1265456138630512E-2</v>
      </c>
      <c r="L17" s="4">
        <f t="shared" ca="1" si="12"/>
        <v>9.1734878320925972E-3</v>
      </c>
      <c r="M17" s="4">
        <f t="shared" ca="1" si="13"/>
        <v>1.2070996821021085</v>
      </c>
      <c r="N17" s="4">
        <f t="shared" ca="1" si="14"/>
        <v>0.16884884711825254</v>
      </c>
      <c r="P17" s="4">
        <f t="shared" ca="1" si="3"/>
        <v>5.3997675275857757</v>
      </c>
      <c r="Q17" s="4">
        <f t="shared" ca="1" si="4"/>
        <v>22.026918503786</v>
      </c>
      <c r="R17" s="4">
        <f t="shared" ca="1" si="5"/>
        <v>59.096609319739656</v>
      </c>
      <c r="S17" s="4">
        <f t="shared" ca="1" si="6"/>
        <v>13.476704648888568</v>
      </c>
      <c r="U17" s="4">
        <f t="shared" ca="1" si="15"/>
        <v>1.2010191934665382</v>
      </c>
      <c r="V17" s="4">
        <f t="shared" ca="1" si="16"/>
        <v>0.99169030847185791</v>
      </c>
      <c r="W17" s="4">
        <f t="shared" ca="1" si="17"/>
        <v>1.0710353646504975</v>
      </c>
      <c r="X17" s="4">
        <f t="shared" ca="1" si="18"/>
        <v>1.0647319605562893</v>
      </c>
      <c r="Y17" s="4">
        <f t="shared" ca="1" si="19"/>
        <v>1.0763547164969014</v>
      </c>
    </row>
    <row r="18" spans="1:41" x14ac:dyDescent="0.15">
      <c r="A18" s="8">
        <f t="shared" si="8"/>
        <v>36525</v>
      </c>
      <c r="B18" s="5" cm="1">
        <f t="array" aca="1" ref="B18" ca="1">OFFSET('Input IBGE'!$A$5,ROW()-2,COLUMN()-1,,)</f>
        <v>10517.49</v>
      </c>
      <c r="C18" s="5" cm="1">
        <f t="array" aca="1" ref="C18" ca="1">OFFSET('Input IBGE'!$A$5,ROW()-2,COLUMN()-1,,)</f>
        <v>42120.160000000003</v>
      </c>
      <c r="D18" s="5" cm="1">
        <f t="array" aca="1" ref="D18" ca="1">OFFSET('Input IBGE'!$A$5,ROW()-2,COLUMN()-1,,)</f>
        <v>112012.78</v>
      </c>
      <c r="E18" s="5" cm="1">
        <f t="array" aca="1" ref="E18" ca="1">OFFSET('Input IBGE'!$A$5,ROW()-2,COLUMN()-1,,)</f>
        <v>164422.18</v>
      </c>
      <c r="F18" s="5">
        <f t="shared" ca="1" si="1"/>
        <v>25930.200000000012</v>
      </c>
      <c r="G18" s="5" cm="1">
        <f t="array" aca="1" ref="G18" ca="1">OFFSET('Input IBGE'!$A$5,ROW()-2,COLUMN()-2,,)</f>
        <v>190352.38</v>
      </c>
      <c r="I18" s="4">
        <f t="shared" ca="1" si="9"/>
        <v>3.8298876355688405</v>
      </c>
      <c r="J18" s="4">
        <f t="shared" ca="1" si="10"/>
        <v>1.9345960881174351</v>
      </c>
      <c r="K18" s="4">
        <f t="shared" ca="1" si="11"/>
        <v>1.0393052175434736</v>
      </c>
      <c r="L18" s="4">
        <f t="shared" ca="1" si="12"/>
        <v>1.2205714263200385</v>
      </c>
      <c r="M18" s="4">
        <f t="shared" ca="1" si="13"/>
        <v>2.5669626964499814</v>
      </c>
      <c r="N18" s="4">
        <f t="shared" ca="1" si="14"/>
        <v>1.4018963169384557</v>
      </c>
      <c r="P18" s="4">
        <f t="shared" ca="1" si="3"/>
        <v>5.5186563293446973</v>
      </c>
      <c r="Q18" s="4">
        <f t="shared" ca="1" si="4"/>
        <v>22.100965874653681</v>
      </c>
      <c r="R18" s="4">
        <f t="shared" ca="1" si="5"/>
        <v>58.774483010156906</v>
      </c>
      <c r="S18" s="4">
        <f t="shared" ca="1" si="6"/>
        <v>13.605894785844717</v>
      </c>
      <c r="U18" s="4">
        <f t="shared" ca="1" si="15"/>
        <v>1.2470168790579217</v>
      </c>
      <c r="V18" s="4">
        <f t="shared" ca="1" si="16"/>
        <v>1.0108755103857943</v>
      </c>
      <c r="W18" s="4">
        <f t="shared" ca="1" si="17"/>
        <v>1.082166691077046</v>
      </c>
      <c r="X18" s="4">
        <f t="shared" ca="1" si="18"/>
        <v>1.0777277746337364</v>
      </c>
      <c r="Y18" s="4">
        <f t="shared" ca="1" si="19"/>
        <v>1.1039843405508567</v>
      </c>
    </row>
    <row r="19" spans="1:41" x14ac:dyDescent="0.15">
      <c r="A19" s="8">
        <f t="shared" si="8"/>
        <v>36616</v>
      </c>
      <c r="B19" s="5" cm="1">
        <f t="array" aca="1" ref="B19" ca="1">OFFSET('Input IBGE'!$A$5,ROW()-2,COLUMN()-1,,)</f>
        <v>10457.73</v>
      </c>
      <c r="C19" s="5" cm="1">
        <f t="array" aca="1" ref="C19" ca="1">OFFSET('Input IBGE'!$A$5,ROW()-2,COLUMN()-1,,)</f>
        <v>42672.12</v>
      </c>
      <c r="D19" s="5" cm="1">
        <f t="array" aca="1" ref="D19" ca="1">OFFSET('Input IBGE'!$A$5,ROW()-2,COLUMN()-1,,)</f>
        <v>113095.71</v>
      </c>
      <c r="E19" s="5" cm="1">
        <f t="array" aca="1" ref="E19" ca="1">OFFSET('Input IBGE'!$A$5,ROW()-2,COLUMN()-1,,)</f>
        <v>165958.82</v>
      </c>
      <c r="F19" s="5">
        <f t="shared" ca="1" si="1"/>
        <v>26392.399999999994</v>
      </c>
      <c r="G19" s="5" cm="1">
        <f t="array" aca="1" ref="G19" ca="1">OFFSET('Input IBGE'!$A$5,ROW()-2,COLUMN()-2,,)</f>
        <v>192351.22</v>
      </c>
      <c r="I19" s="4">
        <f t="shared" ca="1" si="9"/>
        <v>-0.56819640427516749</v>
      </c>
      <c r="J19" s="4">
        <f t="shared" ca="1" si="10"/>
        <v>1.3104413658447722</v>
      </c>
      <c r="K19" s="4">
        <f t="shared" ca="1" si="11"/>
        <v>0.96679146790215054</v>
      </c>
      <c r="L19" s="4">
        <f t="shared" ca="1" si="12"/>
        <v>0.93456977641339645</v>
      </c>
      <c r="M19" s="4">
        <f t="shared" ca="1" si="13"/>
        <v>1.7824775744112342</v>
      </c>
      <c r="N19" s="4">
        <f t="shared" ca="1" si="14"/>
        <v>1.0500735530598604</v>
      </c>
      <c r="P19" s="4">
        <f t="shared" ca="1" si="3"/>
        <v>5.4292600752287061</v>
      </c>
      <c r="Q19" s="4">
        <f t="shared" ca="1" si="4"/>
        <v>22.153759701327957</v>
      </c>
      <c r="R19" s="4">
        <f t="shared" ca="1" si="5"/>
        <v>58.715038826078327</v>
      </c>
      <c r="S19" s="4">
        <f t="shared" ca="1" si="6"/>
        <v>13.701941397365022</v>
      </c>
      <c r="U19" s="4">
        <f t="shared" ca="1" si="15"/>
        <v>1.2399313739904101</v>
      </c>
      <c r="V19" s="4">
        <f t="shared" ca="1" si="16"/>
        <v>1.0241224412310841</v>
      </c>
      <c r="W19" s="4">
        <f t="shared" ca="1" si="17"/>
        <v>1.0926289863148579</v>
      </c>
      <c r="X19" s="4">
        <f t="shared" ca="1" si="18"/>
        <v>1.0877998926874759</v>
      </c>
      <c r="Y19" s="4">
        <f t="shared" ca="1" si="19"/>
        <v>1.1236626138461874</v>
      </c>
    </row>
    <row r="20" spans="1:41" x14ac:dyDescent="0.15">
      <c r="A20" s="8">
        <f t="shared" si="8"/>
        <v>36707</v>
      </c>
      <c r="B20" s="5" cm="1">
        <f t="array" aca="1" ref="B20" ca="1">OFFSET('Input IBGE'!$A$5,ROW()-2,COLUMN()-1,,)</f>
        <v>10416.780000000001</v>
      </c>
      <c r="C20" s="5" cm="1">
        <f t="array" aca="1" ref="C20" ca="1">OFFSET('Input IBGE'!$A$5,ROW()-2,COLUMN()-1,,)</f>
        <v>43167.37</v>
      </c>
      <c r="D20" s="5" cm="1">
        <f t="array" aca="1" ref="D20" ca="1">OFFSET('Input IBGE'!$A$5,ROW()-2,COLUMN()-1,,)</f>
        <v>114443.96</v>
      </c>
      <c r="E20" s="5" cm="1">
        <f t="array" aca="1" ref="E20" ca="1">OFFSET('Input IBGE'!$A$5,ROW()-2,COLUMN()-1,,)</f>
        <v>167941.72</v>
      </c>
      <c r="F20" s="5">
        <f t="shared" ca="1" si="1"/>
        <v>27123.72</v>
      </c>
      <c r="G20" s="5" cm="1">
        <f t="array" aca="1" ref="G20" ca="1">OFFSET('Input IBGE'!$A$5,ROW()-2,COLUMN()-2,,)</f>
        <v>195065.44</v>
      </c>
      <c r="I20" s="4">
        <f t="shared" ca="1" si="9"/>
        <v>-0.3915763746051848</v>
      </c>
      <c r="J20" s="4">
        <f t="shared" ca="1" si="10"/>
        <v>1.1605938490986567</v>
      </c>
      <c r="K20" s="4">
        <f t="shared" ca="1" si="11"/>
        <v>1.1921318677781789</v>
      </c>
      <c r="L20" s="4">
        <f t="shared" ca="1" si="12"/>
        <v>1.1948144726505072</v>
      </c>
      <c r="M20" s="4">
        <f t="shared" ca="1" si="13"/>
        <v>2.7709492126521518</v>
      </c>
      <c r="N20" s="4">
        <f t="shared" ca="1" si="14"/>
        <v>1.4110750116375748</v>
      </c>
      <c r="P20" s="4">
        <f t="shared" ca="1" si="3"/>
        <v>5.3377823820560639</v>
      </c>
      <c r="Q20" s="4">
        <f t="shared" ca="1" si="4"/>
        <v>22.119889933904282</v>
      </c>
      <c r="R20" s="4">
        <f t="shared" ca="1" si="5"/>
        <v>58.643549486571558</v>
      </c>
      <c r="S20" s="4">
        <f t="shared" ca="1" si="6"/>
        <v>13.898778197468095</v>
      </c>
      <c r="U20" s="4">
        <f t="shared" ca="1" si="15"/>
        <v>1.2350760956685463</v>
      </c>
      <c r="V20" s="4">
        <f t="shared" ca="1" si="16"/>
        <v>1.036008343291251</v>
      </c>
      <c r="W20" s="4">
        <f t="shared" ca="1" si="17"/>
        <v>1.1056545646572991</v>
      </c>
      <c r="X20" s="4">
        <f t="shared" ca="1" si="18"/>
        <v>1.1007970832387826</v>
      </c>
      <c r="Y20" s="4">
        <f t="shared" ca="1" si="19"/>
        <v>1.1547987341974248</v>
      </c>
    </row>
    <row r="21" spans="1:41" x14ac:dyDescent="0.15">
      <c r="A21" s="8">
        <f t="shared" si="8"/>
        <v>36799</v>
      </c>
      <c r="B21" s="5" cm="1">
        <f t="array" aca="1" ref="B21" ca="1">OFFSET('Input IBGE'!$A$5,ROW()-2,COLUMN()-1,,)</f>
        <v>10320.94</v>
      </c>
      <c r="C21" s="5" cm="1">
        <f t="array" aca="1" ref="C21" ca="1">OFFSET('Input IBGE'!$A$5,ROW()-2,COLUMN()-1,,)</f>
        <v>43314.73</v>
      </c>
      <c r="D21" s="5" cm="1">
        <f t="array" aca="1" ref="D21" ca="1">OFFSET('Input IBGE'!$A$5,ROW()-2,COLUMN()-1,,)</f>
        <v>115991.09</v>
      </c>
      <c r="E21" s="5" cm="1">
        <f t="array" aca="1" ref="E21" ca="1">OFFSET('Input IBGE'!$A$5,ROW()-2,COLUMN()-1,,)</f>
        <v>169991.6</v>
      </c>
      <c r="F21" s="5">
        <f t="shared" ca="1" si="1"/>
        <v>27375.350000000006</v>
      </c>
      <c r="G21" s="5" cm="1">
        <f t="array" aca="1" ref="G21" ca="1">OFFSET('Input IBGE'!$A$5,ROW()-2,COLUMN()-2,,)</f>
        <v>197366.95</v>
      </c>
      <c r="I21" s="4">
        <f t="shared" ca="1" si="9"/>
        <v>-0.92005398981259701</v>
      </c>
      <c r="J21" s="4">
        <f t="shared" ca="1" si="10"/>
        <v>0.34136895530119116</v>
      </c>
      <c r="K21" s="4">
        <f t="shared" ca="1" si="11"/>
        <v>1.3518668875141859</v>
      </c>
      <c r="L21" s="4">
        <f t="shared" ca="1" si="12"/>
        <v>1.2205900951830273</v>
      </c>
      <c r="M21" s="4">
        <f t="shared" ca="1" si="13"/>
        <v>0.92771198051007087</v>
      </c>
      <c r="N21" s="4">
        <f t="shared" ca="1" si="14"/>
        <v>1.1798655876715136</v>
      </c>
      <c r="P21" s="4">
        <f t="shared" ca="1" si="3"/>
        <v>5.2389997244191955</v>
      </c>
      <c r="Q21" s="4">
        <f t="shared" ca="1" si="4"/>
        <v>21.986937094227059</v>
      </c>
      <c r="R21" s="4">
        <f t="shared" ca="1" si="5"/>
        <v>58.878095265071018</v>
      </c>
      <c r="S21" s="4">
        <f t="shared" ca="1" si="6"/>
        <v>13.895967916282725</v>
      </c>
      <c r="U21" s="4">
        <f t="shared" ca="1" si="15"/>
        <v>1.2237127287731262</v>
      </c>
      <c r="V21" s="4">
        <f t="shared" ca="1" si="16"/>
        <v>1.0395449541495776</v>
      </c>
      <c r="W21" s="4">
        <f t="shared" ca="1" si="17"/>
        <v>1.1206015426071902</v>
      </c>
      <c r="X21" s="4">
        <f t="shared" ca="1" si="18"/>
        <v>1.1142333034048588</v>
      </c>
      <c r="Y21" s="4">
        <f t="shared" ca="1" si="19"/>
        <v>1.1655119404053531</v>
      </c>
    </row>
    <row r="22" spans="1:41" x14ac:dyDescent="0.15">
      <c r="A22" s="8">
        <f t="shared" si="8"/>
        <v>36891</v>
      </c>
      <c r="B22" s="5" cm="1">
        <f t="array" aca="1" ref="B22" ca="1">OFFSET('Input IBGE'!$A$5,ROW()-2,COLUMN()-1,,)</f>
        <v>10383.31</v>
      </c>
      <c r="C22" s="5" cm="1">
        <f t="array" aca="1" ref="C22" ca="1">OFFSET('Input IBGE'!$A$5,ROW()-2,COLUMN()-1,,)</f>
        <v>44011.64</v>
      </c>
      <c r="D22" s="5" cm="1">
        <f t="array" aca="1" ref="D22" ca="1">OFFSET('Input IBGE'!$A$5,ROW()-2,COLUMN()-1,,)</f>
        <v>117380.78</v>
      </c>
      <c r="E22" s="5" cm="1">
        <f t="array" aca="1" ref="E22" ca="1">OFFSET('Input IBGE'!$A$5,ROW()-2,COLUMN()-1,,)</f>
        <v>172236.28</v>
      </c>
      <c r="F22" s="5">
        <f t="shared" ca="1" si="1"/>
        <v>27552.369999999995</v>
      </c>
      <c r="G22" s="5" cm="1">
        <f t="array" aca="1" ref="G22" ca="1">OFFSET('Input IBGE'!$A$5,ROW()-2,COLUMN()-2,,)</f>
        <v>199788.65</v>
      </c>
      <c r="I22" s="4">
        <f t="shared" ca="1" si="9"/>
        <v>0.6043054217929722</v>
      </c>
      <c r="J22" s="4">
        <f t="shared" ca="1" si="10"/>
        <v>1.6089445784378542</v>
      </c>
      <c r="K22" s="4">
        <f t="shared" ca="1" si="11"/>
        <v>1.198100647213507</v>
      </c>
      <c r="L22" s="4">
        <f t="shared" ca="1" si="12"/>
        <v>1.3204652465180544</v>
      </c>
      <c r="M22" s="4">
        <f t="shared" ca="1" si="13"/>
        <v>0.64664013428135103</v>
      </c>
      <c r="N22" s="4">
        <f t="shared" ca="1" si="14"/>
        <v>1.227003811935079</v>
      </c>
      <c r="P22" s="4">
        <f t="shared" ca="1" si="3"/>
        <v>5.2091551567490981</v>
      </c>
      <c r="Q22" s="4">
        <f t="shared" ca="1" si="4"/>
        <v>22.079997752449358</v>
      </c>
      <c r="R22" s="4">
        <f t="shared" ca="1" si="5"/>
        <v>58.888224991860149</v>
      </c>
      <c r="S22" s="4">
        <f t="shared" ca="1" si="6"/>
        <v>13.822622098941393</v>
      </c>
      <c r="U22" s="4">
        <f t="shared" ca="1" si="15"/>
        <v>1.231107691140273</v>
      </c>
      <c r="V22" s="4">
        <f t="shared" ca="1" si="16"/>
        <v>1.0562706563297914</v>
      </c>
      <c r="W22" s="4">
        <f t="shared" ca="1" si="17"/>
        <v>1.1340274769418515</v>
      </c>
      <c r="X22" s="4">
        <f t="shared" ca="1" si="18"/>
        <v>1.1289463669414501</v>
      </c>
      <c r="Y22" s="4">
        <f t="shared" ca="1" si="19"/>
        <v>1.1730486083818554</v>
      </c>
    </row>
    <row r="23" spans="1:41" x14ac:dyDescent="0.15">
      <c r="A23" s="8">
        <f t="shared" si="8"/>
        <v>36981</v>
      </c>
      <c r="B23" s="5" cm="1">
        <f t="array" aca="1" ref="B23" ca="1">OFFSET('Input IBGE'!$A$5,ROW()-2,COLUMN()-1,,)</f>
        <v>10708.01</v>
      </c>
      <c r="C23" s="5" cm="1">
        <f t="array" aca="1" ref="C23" ca="1">OFFSET('Input IBGE'!$A$5,ROW()-2,COLUMN()-1,,)</f>
        <v>44294.83</v>
      </c>
      <c r="D23" s="5" cm="1">
        <f t="array" aca="1" ref="D23" ca="1">OFFSET('Input IBGE'!$A$5,ROW()-2,COLUMN()-1,,)</f>
        <v>116869.71</v>
      </c>
      <c r="E23" s="5" cm="1">
        <f t="array" aca="1" ref="E23" ca="1">OFFSET('Input IBGE'!$A$5,ROW()-2,COLUMN()-1,,)</f>
        <v>172164.19</v>
      </c>
      <c r="F23" s="5">
        <f t="shared" ca="1" si="1"/>
        <v>28369.290000000008</v>
      </c>
      <c r="G23" s="5" cm="1">
        <f t="array" aca="1" ref="G23" ca="1">OFFSET('Input IBGE'!$A$5,ROW()-2,COLUMN()-2,,)</f>
        <v>200533.48</v>
      </c>
      <c r="I23" s="4">
        <f t="shared" ca="1" si="9"/>
        <v>3.1271338330455478</v>
      </c>
      <c r="J23" s="4">
        <f t="shared" ca="1" si="10"/>
        <v>0.64344341633260083</v>
      </c>
      <c r="K23" s="4">
        <f t="shared" ca="1" si="11"/>
        <v>-0.43539495989035615</v>
      </c>
      <c r="L23" s="4">
        <f t="shared" ca="1" si="12"/>
        <v>-4.1855293205350641E-2</v>
      </c>
      <c r="M23" s="4">
        <f t="shared" ca="1" si="13"/>
        <v>2.9649717973445178</v>
      </c>
      <c r="N23" s="4">
        <f t="shared" ca="1" si="14"/>
        <v>0.37280896587470469</v>
      </c>
      <c r="P23" s="4">
        <f t="shared" ca="1" si="3"/>
        <v>5.3475387561360801</v>
      </c>
      <c r="Q23" s="4">
        <f t="shared" ca="1" si="4"/>
        <v>22.120666689838643</v>
      </c>
      <c r="R23" s="4">
        <f t="shared" ca="1" si="5"/>
        <v>58.364280911521782</v>
      </c>
      <c r="S23" s="4">
        <f t="shared" ca="1" si="6"/>
        <v>14.167513642503488</v>
      </c>
      <c r="U23" s="4">
        <f t="shared" ca="1" si="15"/>
        <v>1.2696060762711463</v>
      </c>
      <c r="V23" s="4">
        <f t="shared" ca="1" si="16"/>
        <v>1.0630671603265986</v>
      </c>
      <c r="W23" s="4">
        <f t="shared" ca="1" si="17"/>
        <v>1.1290899784634749</v>
      </c>
      <c r="X23" s="4">
        <f t="shared" ca="1" si="18"/>
        <v>1.1284738431294357</v>
      </c>
      <c r="Y23" s="4">
        <f t="shared" ca="1" si="19"/>
        <v>1.2078291687895197</v>
      </c>
    </row>
    <row r="24" spans="1:41" x14ac:dyDescent="0.15">
      <c r="A24" s="8">
        <f t="shared" si="8"/>
        <v>37072</v>
      </c>
      <c r="B24" s="5" cm="1">
        <f t="array" aca="1" ref="B24" ca="1">OFFSET('Input IBGE'!$A$5,ROW()-2,COLUMN()-1,,)</f>
        <v>10729.08</v>
      </c>
      <c r="C24" s="5" cm="1">
        <f t="array" aca="1" ref="C24" ca="1">OFFSET('Input IBGE'!$A$5,ROW()-2,COLUMN()-1,,)</f>
        <v>43488.34</v>
      </c>
      <c r="D24" s="5" cm="1">
        <f t="array" aca="1" ref="D24" ca="1">OFFSET('Input IBGE'!$A$5,ROW()-2,COLUMN()-1,,)</f>
        <v>117982</v>
      </c>
      <c r="E24" s="5" cm="1">
        <f t="array" aca="1" ref="E24" ca="1">OFFSET('Input IBGE'!$A$5,ROW()-2,COLUMN()-1,,)</f>
        <v>172052.33</v>
      </c>
      <c r="F24" s="5">
        <f t="shared" ca="1" si="1"/>
        <v>27487.920000000013</v>
      </c>
      <c r="G24" s="5" cm="1">
        <f t="array" aca="1" ref="G24" ca="1">OFFSET('Input IBGE'!$A$5,ROW()-2,COLUMN()-2,,)</f>
        <v>199540.25</v>
      </c>
      <c r="I24" s="4">
        <f t="shared" ca="1" si="9"/>
        <v>0.19676858725383717</v>
      </c>
      <c r="J24" s="4">
        <f t="shared" ca="1" si="10"/>
        <v>-1.8207316745543545</v>
      </c>
      <c r="K24" s="4">
        <f t="shared" ca="1" si="11"/>
        <v>0.95173505607226705</v>
      </c>
      <c r="L24" s="4">
        <f t="shared" ca="1" si="12"/>
        <v>-6.4972861081047384E-2</v>
      </c>
      <c r="M24" s="4">
        <f t="shared" ca="1" si="13"/>
        <v>-3.1067749668743705</v>
      </c>
      <c r="N24" s="4">
        <f t="shared" ca="1" si="14"/>
        <v>-0.49529385317604868</v>
      </c>
      <c r="P24" s="4">
        <f t="shared" ca="1" si="3"/>
        <v>5.3729395163459035</v>
      </c>
      <c r="Q24" s="4">
        <f t="shared" ca="1" si="4"/>
        <v>21.778215884892852</v>
      </c>
      <c r="R24" s="4">
        <f t="shared" ca="1" si="5"/>
        <v>59.083365024542864</v>
      </c>
      <c r="S24" s="4">
        <f t="shared" ca="1" si="6"/>
        <v>13.765479574218384</v>
      </c>
      <c r="U24" s="4">
        <f t="shared" ca="1" si="15"/>
        <v>1.2721042622111138</v>
      </c>
      <c r="V24" s="4">
        <f t="shared" ca="1" si="16"/>
        <v>1.0437115598167468</v>
      </c>
      <c r="W24" s="4">
        <f t="shared" ca="1" si="17"/>
        <v>1.1398359236031106</v>
      </c>
      <c r="X24" s="4">
        <f t="shared" ca="1" si="18"/>
        <v>1.1277406413870033</v>
      </c>
      <c r="Y24" s="4">
        <f t="shared" ca="1" si="19"/>
        <v>1.1703046345309602</v>
      </c>
      <c r="AA24" s="12" t="s">
        <v>197</v>
      </c>
    </row>
    <row r="25" spans="1:41" x14ac:dyDescent="0.15">
      <c r="A25" s="8">
        <f t="shared" si="8"/>
        <v>37164</v>
      </c>
      <c r="B25" s="5" cm="1">
        <f t="array" aca="1" ref="B25" ca="1">OFFSET('Input IBGE'!$A$5,ROW()-2,COLUMN()-1,,)</f>
        <v>10971.61</v>
      </c>
      <c r="C25" s="5" cm="1">
        <f t="array" aca="1" ref="C25" ca="1">OFFSET('Input IBGE'!$A$5,ROW()-2,COLUMN()-1,,)</f>
        <v>42107.47</v>
      </c>
      <c r="D25" s="5" cm="1">
        <f t="array" aca="1" ref="D25" ca="1">OFFSET('Input IBGE'!$A$5,ROW()-2,COLUMN()-1,,)</f>
        <v>118137.65</v>
      </c>
      <c r="E25" s="5" cm="1">
        <f t="array" aca="1" ref="E25" ca="1">OFFSET('Input IBGE'!$A$5,ROW()-2,COLUMN()-1,,)</f>
        <v>171505.46</v>
      </c>
      <c r="F25" s="5">
        <f t="shared" ca="1" si="1"/>
        <v>27000.920000000013</v>
      </c>
      <c r="G25" s="5" cm="1">
        <f t="array" aca="1" ref="G25" ca="1">OFFSET('Input IBGE'!$A$5,ROW()-2,COLUMN()-2,,)</f>
        <v>198506.38</v>
      </c>
      <c r="I25" s="4">
        <f t="shared" ca="1" si="9"/>
        <v>2.2604920459163402</v>
      </c>
      <c r="J25" s="4">
        <f t="shared" ca="1" si="10"/>
        <v>-3.1752649100885377</v>
      </c>
      <c r="K25" s="4">
        <f t="shared" ca="1" si="11"/>
        <v>0.13192690410401831</v>
      </c>
      <c r="L25" s="4">
        <f t="shared" ca="1" si="12"/>
        <v>-0.31785097010891272</v>
      </c>
      <c r="M25" s="4">
        <f t="shared" ca="1" si="13"/>
        <v>-1.7716873448409332</v>
      </c>
      <c r="N25" s="4">
        <f t="shared" ca="1" si="14"/>
        <v>-0.51812604223959724</v>
      </c>
      <c r="P25" s="4">
        <f t="shared" ca="1" si="3"/>
        <v>5.5351327190086259</v>
      </c>
      <c r="Q25" s="4">
        <f t="shared" ca="1" si="4"/>
        <v>21.243047730613295</v>
      </c>
      <c r="R25" s="4">
        <f t="shared" ca="1" si="5"/>
        <v>59.599964987981643</v>
      </c>
      <c r="S25" s="4">
        <f t="shared" ca="1" si="6"/>
        <v>13.621854562396443</v>
      </c>
      <c r="U25" s="4">
        <f t="shared" ca="1" si="15"/>
        <v>1.3008600778741588</v>
      </c>
      <c r="V25" s="4">
        <f t="shared" ca="1" si="16"/>
        <v>1.0105709528953479</v>
      </c>
      <c r="W25" s="4">
        <f t="shared" ca="1" si="17"/>
        <v>1.1413396738489856</v>
      </c>
      <c r="X25" s="4">
        <f t="shared" ca="1" si="18"/>
        <v>1.1241561068180421</v>
      </c>
      <c r="Y25" s="4">
        <f t="shared" ca="1" si="19"/>
        <v>1.1495704954248882</v>
      </c>
      <c r="AA25" s="65" t="s">
        <v>198</v>
      </c>
      <c r="AE25" s="65"/>
      <c r="AM25" s="65"/>
    </row>
    <row r="26" spans="1:41" x14ac:dyDescent="0.15">
      <c r="A26" s="8">
        <f t="shared" si="8"/>
        <v>37256</v>
      </c>
      <c r="B26" s="5" cm="1">
        <f t="array" aca="1" ref="B26" ca="1">OFFSET('Input IBGE'!$A$5,ROW()-2,COLUMN()-1,,)</f>
        <v>11542.24</v>
      </c>
      <c r="C26" s="5" cm="1">
        <f t="array" aca="1" ref="C26" ca="1">OFFSET('Input IBGE'!$A$5,ROW()-2,COLUMN()-1,,)</f>
        <v>42107.13</v>
      </c>
      <c r="D26" s="5" cm="1">
        <f t="array" aca="1" ref="D26" ca="1">OFFSET('Input IBGE'!$A$5,ROW()-2,COLUMN()-1,,)</f>
        <v>118386.89</v>
      </c>
      <c r="E26" s="5" cm="1">
        <f t="array" aca="1" ref="E26" ca="1">OFFSET('Input IBGE'!$A$5,ROW()-2,COLUMN()-1,,)</f>
        <v>171701.43</v>
      </c>
      <c r="F26" s="5">
        <f t="shared" ca="1" si="1"/>
        <v>26250.23000000001</v>
      </c>
      <c r="G26" s="5" cm="1">
        <f t="array" aca="1" ref="G26" ca="1">OFFSET('Input IBGE'!$A$5,ROW()-2,COLUMN()-2,,)</f>
        <v>197951.66</v>
      </c>
      <c r="I26" s="4">
        <f t="shared" ca="1" si="9"/>
        <v>5.2009686818980994</v>
      </c>
      <c r="J26" s="4">
        <f t="shared" ca="1" si="10"/>
        <v>-8.0745767913059652E-4</v>
      </c>
      <c r="K26" s="4">
        <f t="shared" ca="1" si="11"/>
        <v>0.21097423217746325</v>
      </c>
      <c r="L26" s="4">
        <f t="shared" ca="1" si="12"/>
        <v>0.11426458376311288</v>
      </c>
      <c r="M26" s="4">
        <f t="shared" ca="1" si="13"/>
        <v>-2.7802385992773626</v>
      </c>
      <c r="N26" s="4">
        <f t="shared" ca="1" si="14"/>
        <v>-0.27944693767525397</v>
      </c>
      <c r="P26" s="4">
        <f t="shared" ca="1" si="3"/>
        <v>5.8209916368987109</v>
      </c>
      <c r="Q26" s="4">
        <f t="shared" ca="1" si="4"/>
        <v>21.235501218464247</v>
      </c>
      <c r="R26" s="4">
        <f t="shared" ca="1" si="5"/>
        <v>59.704970318451842</v>
      </c>
      <c r="S26" s="4">
        <f t="shared" ca="1" si="6"/>
        <v>13.238536826185188</v>
      </c>
      <c r="U26" s="4">
        <f t="shared" ca="1" si="15"/>
        <v>1.3685174031197089</v>
      </c>
      <c r="V26" s="4">
        <f t="shared" ca="1" si="16"/>
        <v>1.0105627929625858</v>
      </c>
      <c r="W26" s="4">
        <f t="shared" ca="1" si="17"/>
        <v>1.1437476064624252</v>
      </c>
      <c r="X26" s="4">
        <f t="shared" ca="1" si="18"/>
        <v>1.1254406191143453</v>
      </c>
      <c r="Y26" s="4">
        <f t="shared" ca="1" si="19"/>
        <v>1.1176096927851815</v>
      </c>
      <c r="AA26" s="70" t="s">
        <v>199</v>
      </c>
      <c r="AB26" s="72">
        <f ca="1">MAX($N$3:$N$105)-MIN($N$3:$N$105)</f>
        <v>16.622543684595016</v>
      </c>
      <c r="AE26" s="65"/>
      <c r="AF26" s="66"/>
      <c r="AJ26" s="66"/>
      <c r="AM26" s="65"/>
      <c r="AN26" s="66"/>
    </row>
    <row r="27" spans="1:41" x14ac:dyDescent="0.15">
      <c r="A27" s="8">
        <f t="shared" si="8"/>
        <v>37346</v>
      </c>
      <c r="B27" s="5" cm="1">
        <f t="array" aca="1" ref="B27" ca="1">OFFSET('Input IBGE'!$A$5,ROW()-2,COLUMN()-1,,)</f>
        <v>11208.26</v>
      </c>
      <c r="C27" s="5" cm="1">
        <f t="array" aca="1" ref="C27" ca="1">OFFSET('Input IBGE'!$A$5,ROW()-2,COLUMN()-1,,)</f>
        <v>43845.87</v>
      </c>
      <c r="D27" s="5" cm="1">
        <f t="array" aca="1" ref="D27" ca="1">OFFSET('Input IBGE'!$A$5,ROW()-2,COLUMN()-1,,)</f>
        <v>120478.68</v>
      </c>
      <c r="E27" s="5" cm="1">
        <f t="array" aca="1" ref="E27" ca="1">OFFSET('Input IBGE'!$A$5,ROW()-2,COLUMN()-1,,)</f>
        <v>175511.69</v>
      </c>
      <c r="F27" s="5">
        <f t="shared" ca="1" si="1"/>
        <v>27009.790000000008</v>
      </c>
      <c r="G27" s="5" cm="1">
        <f t="array" aca="1" ref="G27" ca="1">OFFSET('Input IBGE'!$A$5,ROW()-2,COLUMN()-2,,)</f>
        <v>202521.48</v>
      </c>
      <c r="I27" s="4">
        <f t="shared" ca="1" si="9"/>
        <v>-2.8935457935374775</v>
      </c>
      <c r="J27" s="4">
        <f t="shared" ca="1" si="10"/>
        <v>4.1293244160787168</v>
      </c>
      <c r="K27" s="4">
        <f t="shared" ca="1" si="11"/>
        <v>1.7669101705433787</v>
      </c>
      <c r="L27" s="4">
        <f t="shared" ca="1" si="12"/>
        <v>2.2191195495576244</v>
      </c>
      <c r="M27" s="4">
        <f t="shared" ca="1" si="13"/>
        <v>2.8935365518702127</v>
      </c>
      <c r="N27" s="4">
        <f t="shared" ca="1" si="14"/>
        <v>2.3085535125090706</v>
      </c>
      <c r="P27" s="4">
        <f t="shared" ca="1" si="3"/>
        <v>5.533779066724728</v>
      </c>
      <c r="Q27" s="4">
        <f t="shared" ca="1" si="4"/>
        <v>21.647727441042033</v>
      </c>
      <c r="R27" s="4">
        <f t="shared" ca="1" si="5"/>
        <v>59.483130956154397</v>
      </c>
      <c r="S27" s="4">
        <f t="shared" ca="1" si="6"/>
        <v>13.335362536078833</v>
      </c>
      <c r="U27" s="4">
        <f t="shared" ca="1" si="15"/>
        <v>1.3289187253679102</v>
      </c>
      <c r="V27" s="4">
        <f t="shared" ca="1" si="16"/>
        <v>1.0522922091121969</v>
      </c>
      <c r="W27" s="4">
        <f t="shared" ca="1" si="17"/>
        <v>1.1639565992463563</v>
      </c>
      <c r="X27" s="4">
        <f t="shared" ca="1" si="18"/>
        <v>1.1504154919117742</v>
      </c>
      <c r="Y27" s="4">
        <f t="shared" ca="1" si="19"/>
        <v>1.1499481377531651</v>
      </c>
      <c r="AA27" s="70" t="s">
        <v>200</v>
      </c>
      <c r="AB27" s="71">
        <v>7</v>
      </c>
      <c r="AE27" s="65"/>
      <c r="AM27" s="65"/>
    </row>
    <row r="28" spans="1:41" x14ac:dyDescent="0.15">
      <c r="A28" s="8">
        <f t="shared" si="8"/>
        <v>37437</v>
      </c>
      <c r="B28" s="5" cm="1">
        <f t="array" aca="1" ref="B28" ca="1">OFFSET('Input IBGE'!$A$5,ROW()-2,COLUMN()-1,,)</f>
        <v>11474.24</v>
      </c>
      <c r="C28" s="5" cm="1">
        <f t="array" aca="1" ref="C28" ca="1">OFFSET('Input IBGE'!$A$5,ROW()-2,COLUMN()-1,,)</f>
        <v>44183.88</v>
      </c>
      <c r="D28" s="5" cm="1">
        <f t="array" aca="1" ref="D28" ca="1">OFFSET('Input IBGE'!$A$5,ROW()-2,COLUMN()-1,,)</f>
        <v>120741</v>
      </c>
      <c r="E28" s="5" cm="1">
        <f t="array" aca="1" ref="E28" ca="1">OFFSET('Input IBGE'!$A$5,ROW()-2,COLUMN()-1,,)</f>
        <v>176661.5</v>
      </c>
      <c r="F28" s="5">
        <f t="shared" ca="1" si="1"/>
        <v>26985.850000000006</v>
      </c>
      <c r="G28" s="5" cm="1">
        <f t="array" aca="1" ref="G28" ca="1">OFFSET('Input IBGE'!$A$5,ROW()-2,COLUMN()-2,,)</f>
        <v>203647.35</v>
      </c>
      <c r="I28" s="4">
        <f t="shared" ca="1" si="9"/>
        <v>2.3730712884961536</v>
      </c>
      <c r="J28" s="4">
        <f t="shared" ca="1" si="10"/>
        <v>0.77090499059544459</v>
      </c>
      <c r="K28" s="4">
        <f t="shared" ca="1" si="11"/>
        <v>0.21773146916947983</v>
      </c>
      <c r="L28" s="4">
        <f t="shared" ca="1" si="12"/>
        <v>0.65511875590735791</v>
      </c>
      <c r="M28" s="4">
        <f t="shared" ca="1" si="13"/>
        <v>-8.8634528443209959E-2</v>
      </c>
      <c r="N28" s="4">
        <f t="shared" ca="1" si="14"/>
        <v>0.55592621582658541</v>
      </c>
      <c r="P28" s="4">
        <f t="shared" ca="1" si="3"/>
        <v>5.641636154333332</v>
      </c>
      <c r="Q28" s="4">
        <f t="shared" ca="1" si="4"/>
        <v>21.724260155507068</v>
      </c>
      <c r="R28" s="4">
        <f t="shared" ca="1" si="5"/>
        <v>59.365743692859908</v>
      </c>
      <c r="S28" s="4">
        <f t="shared" ca="1" si="6"/>
        <v>13.268359997299706</v>
      </c>
      <c r="U28" s="4">
        <f t="shared" ca="1" si="15"/>
        <v>1.3604549140870652</v>
      </c>
      <c r="V28" s="4">
        <f t="shared" ca="1" si="16"/>
        <v>1.0604043822678899</v>
      </c>
      <c r="W28" s="4">
        <f t="shared" ca="1" si="17"/>
        <v>1.1664908990503906</v>
      </c>
      <c r="X28" s="4">
        <f t="shared" ca="1" si="18"/>
        <v>1.1579520795701521</v>
      </c>
      <c r="Y28" s="4">
        <f t="shared" ca="1" si="19"/>
        <v>1.148928886643926</v>
      </c>
    </row>
    <row r="29" spans="1:41" x14ac:dyDescent="0.15">
      <c r="A29" s="8">
        <f t="shared" si="8"/>
        <v>37529</v>
      </c>
      <c r="B29" s="5" cm="1">
        <f t="array" aca="1" ref="B29" ca="1">OFFSET('Input IBGE'!$A$5,ROW()-2,COLUMN()-1,,)</f>
        <v>12279.7</v>
      </c>
      <c r="C29" s="5" cm="1">
        <f t="array" aca="1" ref="C29" ca="1">OFFSET('Input IBGE'!$A$5,ROW()-2,COLUMN()-1,,)</f>
        <v>44573.82</v>
      </c>
      <c r="D29" s="5" cm="1">
        <f t="array" aca="1" ref="D29" ca="1">OFFSET('Input IBGE'!$A$5,ROW()-2,COLUMN()-1,,)</f>
        <v>122070.44</v>
      </c>
      <c r="E29" s="5" cm="1">
        <f t="array" aca="1" ref="E29" ca="1">OFFSET('Input IBGE'!$A$5,ROW()-2,COLUMN()-1,,)</f>
        <v>178765.28</v>
      </c>
      <c r="F29" s="5">
        <f t="shared" ca="1" si="1"/>
        <v>27403.850000000006</v>
      </c>
      <c r="G29" s="5" cm="1">
        <f t="array" aca="1" ref="G29" ca="1">OFFSET('Input IBGE'!$A$5,ROW()-2,COLUMN()-2,,)</f>
        <v>206169.13</v>
      </c>
      <c r="I29" s="4">
        <f t="shared" ca="1" si="9"/>
        <v>7.0197241821680745</v>
      </c>
      <c r="J29" s="4">
        <f t="shared" ca="1" si="10"/>
        <v>0.88253906175737029</v>
      </c>
      <c r="K29" s="4">
        <f t="shared" ca="1" si="11"/>
        <v>1.1010675743947873</v>
      </c>
      <c r="L29" s="4">
        <f t="shared" ca="1" si="12"/>
        <v>1.1908536947778714</v>
      </c>
      <c r="M29" s="4">
        <f t="shared" ca="1" si="13"/>
        <v>1.5489599178828861</v>
      </c>
      <c r="N29" s="4">
        <f t="shared" ca="1" si="14"/>
        <v>1.2383072993584321</v>
      </c>
      <c r="P29" s="4">
        <f t="shared" ca="1" si="3"/>
        <v>5.9515486545415275</v>
      </c>
      <c r="Q29" s="4">
        <f t="shared" ca="1" si="4"/>
        <v>21.60339897951711</v>
      </c>
      <c r="R29" s="4">
        <f t="shared" ca="1" si="5"/>
        <v>59.163347878310738</v>
      </c>
      <c r="S29" s="4">
        <f t="shared" ca="1" si="6"/>
        <v>13.281704487630632</v>
      </c>
      <c r="U29" s="4">
        <f t="shared" ca="1" si="15"/>
        <v>1.4559550966787289</v>
      </c>
      <c r="V29" s="4">
        <f t="shared" ca="1" si="16"/>
        <v>1.069762865153991</v>
      </c>
      <c r="W29" s="4">
        <f t="shared" ca="1" si="17"/>
        <v>1.1793347520981008</v>
      </c>
      <c r="X29" s="4">
        <f t="shared" ca="1" si="18"/>
        <v>1.1717415946934704</v>
      </c>
      <c r="Y29" s="4">
        <f t="shared" ca="1" si="19"/>
        <v>1.1667253345830184</v>
      </c>
      <c r="AA29" s="65"/>
      <c r="AB29" s="64" t="s">
        <v>200</v>
      </c>
      <c r="AC29" s="64" t="s">
        <v>201</v>
      </c>
      <c r="AD29" s="64" t="s">
        <v>204</v>
      </c>
      <c r="AE29" s="64" t="s">
        <v>205</v>
      </c>
      <c r="AF29" s="64" t="s">
        <v>203</v>
      </c>
      <c r="AG29" s="65"/>
      <c r="AI29" s="76">
        <f>100*((1+AI12/100)^4-1)</f>
        <v>1.7175979943264474</v>
      </c>
      <c r="AJ29" s="64"/>
      <c r="AK29" s="65"/>
      <c r="AM29" s="65"/>
      <c r="AN29" s="64"/>
      <c r="AO29" s="65"/>
    </row>
    <row r="30" spans="1:41" x14ac:dyDescent="0.15">
      <c r="A30" s="8">
        <f t="shared" si="8"/>
        <v>37621</v>
      </c>
      <c r="B30" s="5" cm="1">
        <f t="array" aca="1" ref="B30" ca="1">OFFSET('Input IBGE'!$A$5,ROW()-2,COLUMN()-1,,)</f>
        <v>12628.74</v>
      </c>
      <c r="C30" s="5" cm="1">
        <f t="array" aca="1" ref="C30" ca="1">OFFSET('Input IBGE'!$A$5,ROW()-2,COLUMN()-1,,)</f>
        <v>45921.06</v>
      </c>
      <c r="D30" s="5" cm="1">
        <f t="array" aca="1" ref="D30" ca="1">OFFSET('Input IBGE'!$A$5,ROW()-2,COLUMN()-1,,)</f>
        <v>122807.74</v>
      </c>
      <c r="E30" s="5" cm="1">
        <f t="array" aca="1" ref="E30" ca="1">OFFSET('Input IBGE'!$A$5,ROW()-2,COLUMN()-1,,)</f>
        <v>180931.45</v>
      </c>
      <c r="F30" s="5">
        <f t="shared" ca="1" si="1"/>
        <v>27318.319999999978</v>
      </c>
      <c r="G30" s="5" cm="1">
        <f t="array" aca="1" ref="G30" ca="1">OFFSET('Input IBGE'!$A$5,ROW()-2,COLUMN()-2,,)</f>
        <v>208249.77</v>
      </c>
      <c r="I30" s="4">
        <f t="shared" ca="1" si="9"/>
        <v>2.8424147169719083</v>
      </c>
      <c r="J30" s="4">
        <f t="shared" ca="1" si="10"/>
        <v>3.0224916778503585</v>
      </c>
      <c r="K30" s="4">
        <f t="shared" ca="1" si="11"/>
        <v>0.60399552913874555</v>
      </c>
      <c r="L30" s="4">
        <f t="shared" ca="1" si="12"/>
        <v>1.2117397740769364</v>
      </c>
      <c r="M30" s="4">
        <f t="shared" ca="1" si="13"/>
        <v>-0.31210942987948131</v>
      </c>
      <c r="N30" s="4">
        <f t="shared" ca="1" si="14"/>
        <v>1.0091908521901338</v>
      </c>
      <c r="P30" s="4">
        <f t="shared" ca="1" si="3"/>
        <v>6.0518451918683835</v>
      </c>
      <c r="Q30" s="4">
        <f t="shared" ca="1" si="4"/>
        <v>22.005928237219198</v>
      </c>
      <c r="R30" s="4">
        <f t="shared" ca="1" si="5"/>
        <v>58.850956694272163</v>
      </c>
      <c r="S30" s="4">
        <f t="shared" ca="1" si="6"/>
        <v>13.091269876640249</v>
      </c>
      <c r="U30" s="4">
        <f t="shared" ca="1" si="15"/>
        <v>1.4973393786192277</v>
      </c>
      <c r="V30" s="4">
        <f t="shared" ca="1" si="16"/>
        <v>1.102096358726004</v>
      </c>
      <c r="W30" s="4">
        <f t="shared" ca="1" si="17"/>
        <v>1.1864578812743529</v>
      </c>
      <c r="X30" s="4">
        <f t="shared" ca="1" si="18"/>
        <v>1.1859400536457745</v>
      </c>
      <c r="Y30" s="4">
        <f t="shared" ca="1" si="19"/>
        <v>1.1630838747929919</v>
      </c>
      <c r="AA30" s="4">
        <f ca="1">MIN($N$3:$N$105)+$AB$26/($AB$27-1)</f>
        <v>-6.083838918379799</v>
      </c>
      <c r="AB30" s="3" t="str">
        <f ca="1">TEXT(AA30,"0.0")&amp;" &lt; x"</f>
        <v>-06 &lt; x</v>
      </c>
      <c r="AC30" s="69">
        <f ca="1">(COUNTIF($N$4:$N$105,"&lt;="&amp;AA30)/COUNTA($N$4:$N$105))*100</f>
        <v>0.98039215686274506</v>
      </c>
      <c r="AD30" s="69">
        <f ca="1">(COUNTIF($N$4:$N$42,"&lt;="&amp;$AA30)/COUNTA($N$4:$N$42))*100</f>
        <v>0</v>
      </c>
      <c r="AE30" s="69">
        <f ca="1">(COUNTIF($N$43:$N$78,"&lt;="&amp;$AA30)/COUNTA($N$43:$N$78))*100</f>
        <v>0</v>
      </c>
      <c r="AF30" s="69">
        <f ca="1">(COUNTIF($N$87:$N$105,"&lt;="&amp;$AA30)/COUNTA($N$87:$N$105))*100</f>
        <v>5.2631578947368416</v>
      </c>
      <c r="AG30" s="69"/>
      <c r="AI30" s="4"/>
      <c r="AJ30" s="3"/>
      <c r="AK30" s="69"/>
      <c r="AM30" s="4"/>
      <c r="AN30" s="3"/>
      <c r="AO30" s="69"/>
    </row>
    <row r="31" spans="1:41" x14ac:dyDescent="0.15">
      <c r="A31" s="8">
        <f t="shared" si="8"/>
        <v>37711</v>
      </c>
      <c r="B31" s="5" cm="1">
        <f t="array" aca="1" ref="B31" ca="1">OFFSET('Input IBGE'!$A$5,ROW()-2,COLUMN()-1,,)</f>
        <v>12920.89</v>
      </c>
      <c r="C31" s="5" cm="1">
        <f t="array" aca="1" ref="C31" ca="1">OFFSET('Input IBGE'!$A$5,ROW()-2,COLUMN()-1,,)</f>
        <v>43535.8</v>
      </c>
      <c r="D31" s="5" cm="1">
        <f t="array" aca="1" ref="D31" ca="1">OFFSET('Input IBGE'!$A$5,ROW()-2,COLUMN()-1,,)</f>
        <v>122582.75</v>
      </c>
      <c r="E31" s="5" cm="1">
        <f t="array" aca="1" ref="E31" ca="1">OFFSET('Input IBGE'!$A$5,ROW()-2,COLUMN()-1,,)</f>
        <v>179747.66</v>
      </c>
      <c r="F31" s="5">
        <f t="shared" ca="1" si="1"/>
        <v>27625.790000000008</v>
      </c>
      <c r="G31" s="5" cm="1">
        <f t="array" aca="1" ref="G31" ca="1">OFFSET('Input IBGE'!$A$5,ROW()-2,COLUMN()-2,,)</f>
        <v>207373.45</v>
      </c>
      <c r="I31" s="4">
        <f t="shared" ca="1" si="9"/>
        <v>2.3133740974950801</v>
      </c>
      <c r="J31" s="4">
        <f t="shared" ca="1" si="10"/>
        <v>-5.1942616307201872</v>
      </c>
      <c r="K31" s="4">
        <f t="shared" ca="1" si="11"/>
        <v>-0.18320506508792134</v>
      </c>
      <c r="L31" s="4">
        <f t="shared" ca="1" si="12"/>
        <v>-0.65427541756837293</v>
      </c>
      <c r="M31" s="4">
        <f t="shared" ca="1" si="13"/>
        <v>1.1255084500072954</v>
      </c>
      <c r="N31" s="4">
        <f t="shared" ca="1" si="14"/>
        <v>-0.42080238552003602</v>
      </c>
      <c r="P31" s="4">
        <f t="shared" ca="1" si="3"/>
        <v>6.2520870104758304</v>
      </c>
      <c r="Q31" s="4">
        <f t="shared" ca="1" si="4"/>
        <v>21.065856119096573</v>
      </c>
      <c r="R31" s="4">
        <f t="shared" ca="1" si="5"/>
        <v>59.314646203427635</v>
      </c>
      <c r="S31" s="4">
        <f t="shared" ca="1" si="6"/>
        <v>13.367410666999962</v>
      </c>
      <c r="U31" s="4">
        <f t="shared" ca="1" si="15"/>
        <v>1.5319784399557987</v>
      </c>
      <c r="V31" s="4">
        <f t="shared" ca="1" si="16"/>
        <v>1.0448505904311349</v>
      </c>
      <c r="W31" s="4">
        <f t="shared" ca="1" si="17"/>
        <v>1.1842842303407235</v>
      </c>
      <c r="X31" s="4">
        <f t="shared" ca="1" si="18"/>
        <v>1.1781807394076731</v>
      </c>
      <c r="Y31" s="4">
        <f t="shared" ca="1" si="19"/>
        <v>1.1761744820844593</v>
      </c>
      <c r="AA31" s="4">
        <f ca="1">AA30+$AB$26/($AB$27-1)</f>
        <v>-3.3134149709472962</v>
      </c>
      <c r="AB31" s="3" t="str">
        <f ca="1">TEXT(AA30,"0.0")&amp;" &lt; x &lt; "&amp;TEXT(AA31,"0.0")</f>
        <v>-06 &lt; x &lt; -03</v>
      </c>
      <c r="AC31" s="69">
        <f ca="1">(COUNTIFS($N$4:$N$105,"&lt;="&amp;AA31,$N$4:$N$105,"&gt;"&amp;AA30)/COUNTA($N$4:$N$105))*100</f>
        <v>0.98039215686274506</v>
      </c>
      <c r="AD31" s="69">
        <f ca="1">(COUNTIFS($N$4:$N$42,"&lt;="&amp;$AA31,$N$4:$N$42,"&gt;"&amp;AA30)/COUNTA($N$4:$N$42))*100</f>
        <v>0</v>
      </c>
      <c r="AE31" s="69">
        <f ca="1">(COUNTIFS($N$43:$N$78,"&lt;="&amp;$AA31,$N$43:$N$78,"&gt;"&amp;$AA30)/COUNTA($N$43:$N$78))*100</f>
        <v>2.7777777777777777</v>
      </c>
      <c r="AF31" s="69">
        <f ca="1">(COUNTIFS($N$87:$N$105,"&lt;="&amp;$AA31,$N$87:$N$105,"&gt;"&amp;$AA30)/COUNTA($N$87:$N$105))*100</f>
        <v>0</v>
      </c>
      <c r="AG31" s="69"/>
      <c r="AI31" s="4"/>
      <c r="AJ31" s="3"/>
      <c r="AK31" s="69"/>
      <c r="AM31" s="4"/>
      <c r="AN31" s="3"/>
      <c r="AO31" s="69"/>
    </row>
    <row r="32" spans="1:41" x14ac:dyDescent="0.15">
      <c r="A32" s="8">
        <f t="shared" si="8"/>
        <v>37802</v>
      </c>
      <c r="B32" s="5" cm="1">
        <f t="array" aca="1" ref="B32" ca="1">OFFSET('Input IBGE'!$A$5,ROW()-2,COLUMN()-1,,)</f>
        <v>12915.69</v>
      </c>
      <c r="C32" s="5" cm="1">
        <f t="array" aca="1" ref="C32" ca="1">OFFSET('Input IBGE'!$A$5,ROW()-2,COLUMN()-1,,)</f>
        <v>43866.95</v>
      </c>
      <c r="D32" s="5" cm="1">
        <f t="array" aca="1" ref="D32" ca="1">OFFSET('Input IBGE'!$A$5,ROW()-2,COLUMN()-1,,)</f>
        <v>121621.79</v>
      </c>
      <c r="E32" s="5" cm="1">
        <f t="array" aca="1" ref="E32" ca="1">OFFSET('Input IBGE'!$A$5,ROW()-2,COLUMN()-1,,)</f>
        <v>178422.43</v>
      </c>
      <c r="F32" s="5">
        <f t="shared" ca="1" si="1"/>
        <v>27147.97</v>
      </c>
      <c r="G32" s="5" cm="1">
        <f t="array" aca="1" ref="G32" ca="1">OFFSET('Input IBGE'!$A$5,ROW()-2,COLUMN()-2,,)</f>
        <v>205570.4</v>
      </c>
      <c r="I32" s="4">
        <f t="shared" ca="1" si="9"/>
        <v>-4.0244905730169034E-2</v>
      </c>
      <c r="J32" s="4">
        <f t="shared" ca="1" si="10"/>
        <v>0.76063837117956723</v>
      </c>
      <c r="K32" s="4">
        <f t="shared" ca="1" si="11"/>
        <v>-0.78392759176965088</v>
      </c>
      <c r="L32" s="4">
        <f t="shared" ca="1" si="12"/>
        <v>-0.73727246296280136</v>
      </c>
      <c r="M32" s="4">
        <f t="shared" ca="1" si="13"/>
        <v>-1.7296156960579512</v>
      </c>
      <c r="N32" s="4">
        <f t="shared" ca="1" si="14"/>
        <v>-0.86947003099964171</v>
      </c>
      <c r="P32" s="4">
        <f t="shared" ca="1" si="3"/>
        <v>6.2834051074081358</v>
      </c>
      <c r="Q32" s="4">
        <f t="shared" ca="1" si="4"/>
        <v>21.341005991659546</v>
      </c>
      <c r="R32" s="4">
        <f t="shared" ca="1" si="5"/>
        <v>59.168265610131535</v>
      </c>
      <c r="S32" s="4">
        <f t="shared" ca="1" si="6"/>
        <v>13.20732329080079</v>
      </c>
      <c r="U32" s="4">
        <f t="shared" ca="1" si="15"/>
        <v>1.5313618966768321</v>
      </c>
      <c r="V32" s="4">
        <f t="shared" ca="1" si="16"/>
        <v>1.0527981249434504</v>
      </c>
      <c r="W32" s="4">
        <f t="shared" ca="1" si="17"/>
        <v>1.1750002994941058</v>
      </c>
      <c r="X32" s="4">
        <f t="shared" ca="1" si="18"/>
        <v>1.1694943372520887</v>
      </c>
      <c r="Y32" s="4">
        <f t="shared" ca="1" si="19"/>
        <v>1.1558311836292983</v>
      </c>
      <c r="AA32" s="4">
        <f t="shared" ref="AA32:AA35" ca="1" si="20">AA31+$AB$26/($AB$27-1)</f>
        <v>-0.54299102351479345</v>
      </c>
      <c r="AB32" s="3" t="str">
        <f t="shared" ref="AB32:AB35" ca="1" si="21">TEXT(AA31,"0.0")&amp;" &lt; x &lt; "&amp;TEXT(AA32,"0.0")</f>
        <v>-03 &lt; x &lt; -01</v>
      </c>
      <c r="AC32" s="69">
        <f ca="1">(COUNTIFS($N$4:$N$105,"&lt;="&amp;AA32,$N$4:$N$105,"&gt;"&amp;AA31)/COUNTA($N$4:$N$105))*100</f>
        <v>14.705882352941178</v>
      </c>
      <c r="AD32" s="69">
        <f ca="1">(COUNTIFS($N$4:$N$42,"&lt;="&amp;$AA32,$N$4:$N$42,"&gt;"&amp;AA31)/COUNTA($N$4:$N$42))*100</f>
        <v>12.820512820512819</v>
      </c>
      <c r="AE32" s="69">
        <f ca="1">(COUNTIFS($N$43:$N$78,"&lt;="&amp;$AA32,$N$43:$N$78,"&gt;"&amp;$AA31)/COUNTA($N$43:$N$78))*100</f>
        <v>8.3333333333333321</v>
      </c>
      <c r="AF32" s="69">
        <f ca="1">(COUNTIFS($N$87:$N$105,"&lt;="&amp;$AA32,$N$87:$N$105,"&gt;"&amp;$AA31)/COUNTA($N$87:$N$105))*100</f>
        <v>5.2631578947368416</v>
      </c>
      <c r="AG32" s="69"/>
      <c r="AI32" s="4"/>
      <c r="AJ32" s="3"/>
      <c r="AK32" s="69"/>
      <c r="AM32" s="4"/>
      <c r="AN32" s="3"/>
      <c r="AO32" s="69"/>
    </row>
    <row r="33" spans="1:41" x14ac:dyDescent="0.15">
      <c r="A33" s="8">
        <f t="shared" si="8"/>
        <v>37894</v>
      </c>
      <c r="B33" s="5" cm="1">
        <f t="array" aca="1" ref="B33" ca="1">OFFSET('Input IBGE'!$A$5,ROW()-2,COLUMN()-1,,)</f>
        <v>12543.53</v>
      </c>
      <c r="C33" s="5" cm="1">
        <f t="array" aca="1" ref="C33" ca="1">OFFSET('Input IBGE'!$A$5,ROW()-2,COLUMN()-1,,)</f>
        <v>45380.33</v>
      </c>
      <c r="D33" s="5" cm="1">
        <f t="array" aca="1" ref="D33" ca="1">OFFSET('Input IBGE'!$A$5,ROW()-2,COLUMN()-1,,)</f>
        <v>122781.83</v>
      </c>
      <c r="E33" s="5" cm="1">
        <f t="array" aca="1" ref="E33" ca="1">OFFSET('Input IBGE'!$A$5,ROW()-2,COLUMN()-1,,)</f>
        <v>180508.69</v>
      </c>
      <c r="F33" s="5">
        <f t="shared" ca="1" si="1"/>
        <v>27013.48000000001</v>
      </c>
      <c r="G33" s="5" cm="1">
        <f t="array" aca="1" ref="G33" ca="1">OFFSET('Input IBGE'!$A$5,ROW()-2,COLUMN()-2,,)</f>
        <v>207522.17</v>
      </c>
      <c r="I33" s="4">
        <f t="shared" ca="1" si="9"/>
        <v>-2.8814565849753282</v>
      </c>
      <c r="J33" s="4">
        <f t="shared" ca="1" si="10"/>
        <v>3.4499321242986047</v>
      </c>
      <c r="K33" s="4">
        <f t="shared" ca="1" si="11"/>
        <v>0.95380934617061985</v>
      </c>
      <c r="L33" s="4">
        <f t="shared" ca="1" si="12"/>
        <v>1.1692812389115126</v>
      </c>
      <c r="M33" s="4">
        <f t="shared" ca="1" si="13"/>
        <v>-0.49539615669234038</v>
      </c>
      <c r="N33" s="4">
        <f t="shared" ca="1" si="14"/>
        <v>0.94944116468129724</v>
      </c>
      <c r="P33" s="4">
        <f t="shared" ca="1" si="3"/>
        <v>6.0386963803100109</v>
      </c>
      <c r="Q33" s="4">
        <f t="shared" ca="1" si="4"/>
        <v>21.846962897069151</v>
      </c>
      <c r="R33" s="4">
        <f t="shared" ca="1" si="5"/>
        <v>59.109532355631877</v>
      </c>
      <c r="S33" s="4">
        <f t="shared" ca="1" si="6"/>
        <v>13.004808366988954</v>
      </c>
      <c r="U33" s="4">
        <f t="shared" ca="1" si="15"/>
        <v>1.4872363684652343</v>
      </c>
      <c r="V33" s="4">
        <f t="shared" ca="1" si="16"/>
        <v>1.0891189456598878</v>
      </c>
      <c r="W33" s="4">
        <f t="shared" ca="1" si="17"/>
        <v>1.1862075621682133</v>
      </c>
      <c r="X33" s="4">
        <f t="shared" ca="1" si="18"/>
        <v>1.1831690151277099</v>
      </c>
      <c r="Y33" s="4">
        <f t="shared" ca="1" si="19"/>
        <v>1.1501052403677472</v>
      </c>
      <c r="AA33" s="4">
        <f t="shared" ca="1" si="20"/>
        <v>2.2274329239177093</v>
      </c>
      <c r="AB33" s="3" t="str">
        <f t="shared" ca="1" si="21"/>
        <v>-01 &lt; x &lt; 02</v>
      </c>
      <c r="AC33" s="69">
        <f ca="1">(COUNTIFS($N$4:$N$105,"&lt;="&amp;AA33,$N$4:$N$105,"&gt;"&amp;AA32)/COUNTA($N$4:$N$105))*100</f>
        <v>74.509803921568633</v>
      </c>
      <c r="AD33" s="69">
        <f ca="1">(COUNTIFS($N$4:$N$42,"&lt;="&amp;$AA33,$N$4:$N$42,"&gt;"&amp;AA32)/COUNTA($N$4:$N$42))*100</f>
        <v>79.487179487179489</v>
      </c>
      <c r="AE33" s="69">
        <f ca="1">(COUNTIFS($N$43:$N$78,"&lt;="&amp;$AA33,$N$43:$N$78,"&gt;"&amp;$AA32)/COUNTA($N$43:$N$78))*100</f>
        <v>77.777777777777786</v>
      </c>
      <c r="AF33" s="69">
        <f ca="1">(COUNTIFS($N$87:$N$105,"&lt;="&amp;$AA33,$N$87:$N$105,"&gt;"&amp;$AA32)/COUNTA($N$87:$N$105))*100</f>
        <v>78.94736842105263</v>
      </c>
      <c r="AG33" s="69"/>
      <c r="AI33" s="4"/>
      <c r="AJ33" s="3"/>
      <c r="AK33" s="69"/>
      <c r="AM33" s="4"/>
      <c r="AN33" s="3"/>
      <c r="AO33" s="69"/>
    </row>
    <row r="34" spans="1:41" x14ac:dyDescent="0.15">
      <c r="A34" s="8">
        <f t="shared" si="8"/>
        <v>37986</v>
      </c>
      <c r="B34" s="5" cm="1">
        <f t="array" aca="1" ref="B34" ca="1">OFFSET('Input IBGE'!$A$5,ROW()-2,COLUMN()-1,,)</f>
        <v>12759.96</v>
      </c>
      <c r="C34" s="5" cm="1">
        <f t="array" aca="1" ref="C34" ca="1">OFFSET('Input IBGE'!$A$5,ROW()-2,COLUMN()-1,,)</f>
        <v>45917.599999999999</v>
      </c>
      <c r="D34" s="5" cm="1">
        <f t="array" aca="1" ref="D34" ca="1">OFFSET('Input IBGE'!$A$5,ROW()-2,COLUMN()-1,,)</f>
        <v>124017.62</v>
      </c>
      <c r="E34" s="5" cm="1">
        <f t="array" aca="1" ref="E34" ca="1">OFFSET('Input IBGE'!$A$5,ROW()-2,COLUMN()-1,,)</f>
        <v>182070.03</v>
      </c>
      <c r="F34" s="5">
        <f t="shared" ca="1" si="1"/>
        <v>27599.040000000008</v>
      </c>
      <c r="G34" s="5" cm="1">
        <f t="array" aca="1" ref="G34" ca="1">OFFSET('Input IBGE'!$A$5,ROW()-2,COLUMN()-2,,)</f>
        <v>209669.07</v>
      </c>
      <c r="I34" s="4">
        <f t="shared" ca="1" si="9"/>
        <v>1.7254313578394465</v>
      </c>
      <c r="J34" s="4">
        <f t="shared" ca="1" si="10"/>
        <v>1.1839270450435091</v>
      </c>
      <c r="K34" s="4">
        <f t="shared" ca="1" si="11"/>
        <v>1.0064925730460139</v>
      </c>
      <c r="L34" s="4">
        <f t="shared" ca="1" si="12"/>
        <v>0.864966667255751</v>
      </c>
      <c r="M34" s="4">
        <f t="shared" ca="1" si="13"/>
        <v>2.1676585171551244</v>
      </c>
      <c r="N34" s="4">
        <f t="shared" ca="1" si="14"/>
        <v>1.0345400686586848</v>
      </c>
      <c r="P34" s="4">
        <f t="shared" ca="1" si="3"/>
        <v>6.0676703334975164</v>
      </c>
      <c r="Q34" s="4">
        <f t="shared" ca="1" si="4"/>
        <v>21.834932029991126</v>
      </c>
      <c r="R34" s="4">
        <f t="shared" ca="1" si="5"/>
        <v>58.973385003163671</v>
      </c>
      <c r="S34" s="4">
        <f t="shared" ca="1" si="6"/>
        <v>13.124012633347704</v>
      </c>
      <c r="U34" s="4">
        <f t="shared" ca="1" si="15"/>
        <v>1.5128976111319261</v>
      </c>
      <c r="V34" s="4">
        <f t="shared" ca="1" si="16"/>
        <v>1.1020133194102479</v>
      </c>
      <c r="W34" s="4">
        <f t="shared" ca="1" si="17"/>
        <v>1.1981466531823466</v>
      </c>
      <c r="X34" s="4">
        <f t="shared" ca="1" si="18"/>
        <v>1.1934030327258627</v>
      </c>
      <c r="Y34" s="4">
        <f t="shared" ca="1" si="19"/>
        <v>1.175035594566826</v>
      </c>
      <c r="AA34" s="4">
        <f t="shared" ca="1" si="20"/>
        <v>4.9978568713502121</v>
      </c>
      <c r="AB34" s="3" t="str">
        <f t="shared" ca="1" si="21"/>
        <v>02 &lt; x &lt; 05</v>
      </c>
      <c r="AC34" s="69">
        <f ca="1">(COUNTIFS($N$4:$N$105,"&lt;="&amp;AA34,$N$4:$N$105,"&gt;"&amp;AA33)/COUNTA($N$4:$N$105))*100</f>
        <v>7.8431372549019605</v>
      </c>
      <c r="AD34" s="69">
        <f ca="1">(COUNTIFS($N$4:$N$42,"&lt;="&amp;$AA34,$N$4:$N$42,"&gt;"&amp;AA33)/COUNTA($N$4:$N$42))*100</f>
        <v>7.6923076923076925</v>
      </c>
      <c r="AE34" s="69">
        <f ca="1">(COUNTIFS($N$43:$N$78,"&lt;="&amp;$AA34,$N$43:$N$78,"&gt;"&amp;$AA33)/COUNTA($N$43:$N$78))*100</f>
        <v>11.111111111111111</v>
      </c>
      <c r="AF34" s="69">
        <f ca="1">(COUNTIFS($N$87:$N$105,"&lt;="&amp;$AA34,$N$87:$N$105,"&gt;"&amp;$AA33)/COUNTA($N$87:$N$105))*100</f>
        <v>5.2631578947368416</v>
      </c>
      <c r="AG34" s="69"/>
      <c r="AI34" s="4"/>
      <c r="AJ34" s="3"/>
      <c r="AK34" s="69"/>
      <c r="AM34" s="4"/>
      <c r="AN34" s="3"/>
      <c r="AO34" s="69"/>
    </row>
    <row r="35" spans="1:41" x14ac:dyDescent="0.15">
      <c r="A35" s="8">
        <f t="shared" si="8"/>
        <v>38077</v>
      </c>
      <c r="B35" s="5" cm="1">
        <f t="array" aca="1" ref="B35" ca="1">OFFSET('Input IBGE'!$A$5,ROW()-2,COLUMN()-1,,)</f>
        <v>12911.37</v>
      </c>
      <c r="C35" s="5" cm="1">
        <f t="array" aca="1" ref="C35" ca="1">OFFSET('Input IBGE'!$A$5,ROW()-2,COLUMN()-1,,)</f>
        <v>46669.93</v>
      </c>
      <c r="D35" s="5" cm="1">
        <f t="array" aca="1" ref="D35" ca="1">OFFSET('Input IBGE'!$A$5,ROW()-2,COLUMN()-1,,)</f>
        <v>125022.39</v>
      </c>
      <c r="E35" s="5" cm="1">
        <f t="array" aca="1" ref="E35" ca="1">OFFSET('Input IBGE'!$A$5,ROW()-2,COLUMN()-1,,)</f>
        <v>184703.47</v>
      </c>
      <c r="F35" s="5">
        <f t="shared" ca="1" si="1"/>
        <v>27923.170000000013</v>
      </c>
      <c r="G35" s="5" cm="1">
        <f t="array" aca="1" ref="G35" ca="1">OFFSET('Input IBGE'!$A$5,ROW()-2,COLUMN()-2,,)</f>
        <v>212626.64</v>
      </c>
      <c r="I35" s="4">
        <f t="shared" ca="1" si="9"/>
        <v>1.18660246583846</v>
      </c>
      <c r="J35" s="4">
        <f t="shared" ca="1" si="10"/>
        <v>1.6384349356238115</v>
      </c>
      <c r="K35" s="4">
        <f t="shared" ca="1" si="11"/>
        <v>0.81018326266864005</v>
      </c>
      <c r="L35" s="4">
        <f t="shared" ca="1" si="12"/>
        <v>1.446388513255048</v>
      </c>
      <c r="M35" s="4">
        <f t="shared" ca="1" si="13"/>
        <v>1.1744249075330337</v>
      </c>
      <c r="N35" s="4">
        <f t="shared" ca="1" si="14"/>
        <v>1.4105895542914304</v>
      </c>
      <c r="P35" s="4">
        <f t="shared" ca="1" si="3"/>
        <v>6.0751709219248804</v>
      </c>
      <c r="Q35" s="4">
        <f t="shared" ca="1" si="4"/>
        <v>21.959544313598762</v>
      </c>
      <c r="R35" s="4">
        <f t="shared" ca="1" si="5"/>
        <v>58.826630196296122</v>
      </c>
      <c r="S35" s="4">
        <f t="shared" ca="1" si="6"/>
        <v>13.138654568180236</v>
      </c>
      <c r="U35" s="4">
        <f t="shared" ca="1" si="15"/>
        <v>1.5308496914912286</v>
      </c>
      <c r="V35" s="4">
        <f t="shared" ca="1" si="16"/>
        <v>1.1200690906306932</v>
      </c>
      <c r="W35" s="4">
        <f t="shared" ca="1" si="17"/>
        <v>1.2078538368286544</v>
      </c>
      <c r="X35" s="4">
        <f t="shared" ca="1" si="18"/>
        <v>1.2106642771080469</v>
      </c>
      <c r="Y35" s="4">
        <f t="shared" ca="1" si="19"/>
        <v>1.1888355052617978</v>
      </c>
      <c r="AA35" s="4">
        <f t="shared" ca="1" si="20"/>
        <v>7.7682808187827153</v>
      </c>
      <c r="AB35" s="3" t="str">
        <f t="shared" ca="1" si="21"/>
        <v>05 &lt; x &lt; 08</v>
      </c>
      <c r="AC35" s="69">
        <f ca="1">(COUNTIFS($N$4:$N$105,"&lt;="&amp;AA35,$N$4:$N$105,"&gt;"&amp;AA34)/COUNTA($N$4:$N$105))*100</f>
        <v>0.98039215686274506</v>
      </c>
      <c r="AD35" s="69">
        <f ca="1">(COUNTIFS($N$4:$N$42,"&lt;="&amp;$AA35,$N$4:$N$42,"&gt;"&amp;AA34)/COUNTA($N$4:$N$42))*100</f>
        <v>0</v>
      </c>
      <c r="AE35" s="69">
        <f ca="1">(COUNTIFS($N$43:$N$78,"&lt;="&amp;$AA35,$N$43:$N$78,"&gt;"&amp;$AA34)/COUNTA($N$43:$N$78))*100</f>
        <v>0</v>
      </c>
      <c r="AF35" s="69">
        <f ca="1">(COUNTIFS($N$87:$N$105,"&lt;="&amp;$AA35,$N$87:$N$105,"&gt;"&amp;$AA34)/COUNTA($N$87:$N$105))*100</f>
        <v>5.2631578947368416</v>
      </c>
      <c r="AG35" s="69"/>
      <c r="AI35" s="4"/>
      <c r="AJ35" s="3"/>
      <c r="AK35" s="69"/>
      <c r="AM35" s="4"/>
      <c r="AN35" s="3"/>
      <c r="AO35" s="69"/>
    </row>
    <row r="36" spans="1:41" x14ac:dyDescent="0.15">
      <c r="A36" s="8">
        <f t="shared" si="8"/>
        <v>38168</v>
      </c>
      <c r="B36" s="5" cm="1">
        <f t="array" aca="1" ref="B36" ca="1">OFFSET('Input IBGE'!$A$5,ROW()-2,COLUMN()-1,,)</f>
        <v>13134.44</v>
      </c>
      <c r="C36" s="5" cm="1">
        <f t="array" aca="1" ref="C36" ca="1">OFFSET('Input IBGE'!$A$5,ROW()-2,COLUMN()-1,,)</f>
        <v>47796.61</v>
      </c>
      <c r="D36" s="5" cm="1">
        <f t="array" aca="1" ref="D36" ca="1">OFFSET('Input IBGE'!$A$5,ROW()-2,COLUMN()-1,,)</f>
        <v>128201.8</v>
      </c>
      <c r="E36" s="5" cm="1">
        <f t="array" aca="1" ref="E36" ca="1">OFFSET('Input IBGE'!$A$5,ROW()-2,COLUMN()-1,,)</f>
        <v>189408.89</v>
      </c>
      <c r="F36" s="5">
        <f t="shared" ca="1" si="1"/>
        <v>29041.609999999986</v>
      </c>
      <c r="G36" s="5" cm="1">
        <f t="array" aca="1" ref="G36" ca="1">OFFSET('Input IBGE'!$A$5,ROW()-2,COLUMN()-2,,)</f>
        <v>218450.5</v>
      </c>
      <c r="I36" s="4">
        <f t="shared" ca="1" si="9"/>
        <v>1.7277020176789781</v>
      </c>
      <c r="J36" s="4">
        <f t="shared" ca="1" si="10"/>
        <v>2.4141454679704966</v>
      </c>
      <c r="K36" s="4">
        <f t="shared" ca="1" si="11"/>
        <v>2.5430724848565234</v>
      </c>
      <c r="L36" s="4">
        <f t="shared" ca="1" si="12"/>
        <v>2.5475536545144672</v>
      </c>
      <c r="M36" s="4">
        <f t="shared" ca="1" si="13"/>
        <v>4.0054191554897756</v>
      </c>
      <c r="N36" s="4">
        <f t="shared" ca="1" si="14"/>
        <v>2.7390076803170071</v>
      </c>
      <c r="P36" s="4">
        <f t="shared" ca="1" si="3"/>
        <v>6.0201546963838029</v>
      </c>
      <c r="Q36" s="4">
        <f t="shared" ca="1" si="4"/>
        <v>21.907518414391859</v>
      </c>
      <c r="R36" s="4">
        <f t="shared" ca="1" si="5"/>
        <v>58.761140052781613</v>
      </c>
      <c r="S36" s="4">
        <f t="shared" ca="1" si="6"/>
        <v>13.311186836442721</v>
      </c>
      <c r="U36" s="4">
        <f t="shared" ca="1" si="15"/>
        <v>1.5572982124987549</v>
      </c>
      <c r="V36" s="4">
        <f t="shared" ca="1" si="16"/>
        <v>1.1471091878202924</v>
      </c>
      <c r="W36" s="4">
        <f t="shared" ca="1" si="17"/>
        <v>1.2385704354103277</v>
      </c>
      <c r="X36" s="4">
        <f t="shared" ca="1" si="18"/>
        <v>1.2415065991434142</v>
      </c>
      <c r="Y36" s="4">
        <f t="shared" ca="1" si="19"/>
        <v>1.2364533503168176</v>
      </c>
      <c r="AA36" s="4"/>
      <c r="AB36" s="3" t="str">
        <f ca="1">"x &gt; "&amp;TEXT(AA35,"0.0")</f>
        <v>x &gt; 08</v>
      </c>
      <c r="AC36" s="69">
        <f ca="1">(COUNTIFS($N$4:$N$105,"&gt;"&amp;AA35)/COUNTA($N$4:$N$105))*100</f>
        <v>0</v>
      </c>
      <c r="AD36" s="69">
        <f ca="1">(COUNTIFS($N$4:$N$42,"&gt;"&amp;$AA35)/COUNTA($N$4:$N$42))*100</f>
        <v>0</v>
      </c>
      <c r="AE36" s="69">
        <f ca="1">(COUNTIFS($N$43:$N$78,"&gt;"&amp;$AA35)/COUNTA($N$43:$N$78))*100</f>
        <v>0</v>
      </c>
      <c r="AF36" s="69">
        <f ca="1">(COUNTIFS($N$87:$N$105,"&gt;"&amp;$AA35)/COUNTA($N$87:$N$105))*100</f>
        <v>0</v>
      </c>
      <c r="AG36" s="69"/>
      <c r="AI36" s="4"/>
      <c r="AJ36" s="3"/>
      <c r="AK36" s="69"/>
      <c r="AM36" s="4"/>
      <c r="AN36" s="3"/>
      <c r="AO36" s="69"/>
    </row>
    <row r="37" spans="1:41" x14ac:dyDescent="0.15">
      <c r="A37" s="8">
        <f t="shared" si="8"/>
        <v>38260</v>
      </c>
      <c r="B37" s="5" cm="1">
        <f t="array" aca="1" ref="B37" ca="1">OFFSET('Input IBGE'!$A$5,ROW()-2,COLUMN()-1,,)</f>
        <v>13133.36</v>
      </c>
      <c r="C37" s="5" cm="1">
        <f t="array" aca="1" ref="C37" ca="1">OFFSET('Input IBGE'!$A$5,ROW()-2,COLUMN()-1,,)</f>
        <v>49532.03</v>
      </c>
      <c r="D37" s="5" cm="1">
        <f t="array" aca="1" ref="D37" ca="1">OFFSET('Input IBGE'!$A$5,ROW()-2,COLUMN()-1,,)</f>
        <v>129333.2</v>
      </c>
      <c r="E37" s="5" cm="1">
        <f t="array" aca="1" ref="E37" ca="1">OFFSET('Input IBGE'!$A$5,ROW()-2,COLUMN()-1,,)</f>
        <v>191803.61</v>
      </c>
      <c r="F37" s="5">
        <f t="shared" ca="1" si="1"/>
        <v>29386.680000000022</v>
      </c>
      <c r="G37" s="5" cm="1">
        <f t="array" aca="1" ref="G37" ca="1">OFFSET('Input IBGE'!$A$5,ROW()-2,COLUMN()-2,,)</f>
        <v>221190.29</v>
      </c>
      <c r="I37" s="4">
        <f t="shared" ca="1" si="9"/>
        <v>-8.2226573801413849E-3</v>
      </c>
      <c r="J37" s="4">
        <f t="shared" ca="1" si="10"/>
        <v>3.6308432752866659</v>
      </c>
      <c r="K37" s="4">
        <f t="shared" ca="1" si="11"/>
        <v>0.88251491008706218</v>
      </c>
      <c r="L37" s="4">
        <f t="shared" ca="1" si="12"/>
        <v>1.2643123561940417</v>
      </c>
      <c r="M37" s="4">
        <f t="shared" ca="1" si="13"/>
        <v>1.1881917014932686</v>
      </c>
      <c r="N37" s="4">
        <f t="shared" ca="1" si="14"/>
        <v>1.254192597407644</v>
      </c>
      <c r="P37" s="4">
        <f t="shared" ca="1" si="3"/>
        <v>5.9323549394230248</v>
      </c>
      <c r="Q37" s="4">
        <f t="shared" ca="1" si="4"/>
        <v>22.373679152185691</v>
      </c>
      <c r="R37" s="4">
        <f t="shared" ca="1" si="5"/>
        <v>58.419966242559852</v>
      </c>
      <c r="S37" s="4">
        <f t="shared" ca="1" si="6"/>
        <v>13.273999665831434</v>
      </c>
      <c r="U37" s="4">
        <f t="shared" ca="1" si="15"/>
        <v>1.5571701612023541</v>
      </c>
      <c r="V37" s="4">
        <f t="shared" ca="1" si="16"/>
        <v>1.1887589246264609</v>
      </c>
      <c r="W37" s="4">
        <f t="shared" ca="1" si="17"/>
        <v>1.2495010041747541</v>
      </c>
      <c r="X37" s="4">
        <f t="shared" ca="1" si="18"/>
        <v>1.2572031204793488</v>
      </c>
      <c r="Y37" s="4">
        <f t="shared" ca="1" si="19"/>
        <v>1.2511447864181175</v>
      </c>
      <c r="AA37" s="4"/>
      <c r="AB37" s="3"/>
    </row>
    <row r="38" spans="1:41" x14ac:dyDescent="0.15">
      <c r="A38" s="8">
        <f t="shared" si="8"/>
        <v>38352</v>
      </c>
      <c r="B38" s="5" cm="1">
        <f t="array" aca="1" ref="B38" ca="1">OFFSET('Input IBGE'!$A$5,ROW()-2,COLUMN()-1,,)</f>
        <v>12978.88</v>
      </c>
      <c r="C38" s="5" cm="1">
        <f t="array" aca="1" ref="C38" ca="1">OFFSET('Input IBGE'!$A$5,ROW()-2,COLUMN()-1,,)</f>
        <v>49454.96</v>
      </c>
      <c r="D38" s="5" cm="1">
        <f t="array" aca="1" ref="D38" ca="1">OFFSET('Input IBGE'!$A$5,ROW()-2,COLUMN()-1,,)</f>
        <v>131497.70000000001</v>
      </c>
      <c r="E38" s="5" cm="1">
        <f t="array" aca="1" ref="E38" ca="1">OFFSET('Input IBGE'!$A$5,ROW()-2,COLUMN()-1,,)</f>
        <v>193254.31</v>
      </c>
      <c r="F38" s="5">
        <f t="shared" ca="1" si="1"/>
        <v>29633.25</v>
      </c>
      <c r="G38" s="5" cm="1">
        <f t="array" aca="1" ref="G38" ca="1">OFFSET('Input IBGE'!$A$5,ROW()-2,COLUMN()-2,,)</f>
        <v>222887.56</v>
      </c>
      <c r="I38" s="4">
        <f t="shared" ca="1" si="9"/>
        <v>-1.17624126651521</v>
      </c>
      <c r="J38" s="4">
        <f t="shared" ca="1" si="10"/>
        <v>-0.15559628789694191</v>
      </c>
      <c r="K38" s="4">
        <f t="shared" ca="1" si="11"/>
        <v>1.6735841995713541</v>
      </c>
      <c r="L38" s="4">
        <f t="shared" ca="1" si="12"/>
        <v>0.75634655677232487</v>
      </c>
      <c r="M38" s="4">
        <f t="shared" ca="1" si="13"/>
        <v>0.8390536120445713</v>
      </c>
      <c r="N38" s="4">
        <f t="shared" ca="1" si="14"/>
        <v>0.76733476862840266</v>
      </c>
      <c r="P38" s="4">
        <f t="shared" ca="1" si="3"/>
        <v>5.8054222223454772</v>
      </c>
      <c r="Q38" s="4">
        <f t="shared" ca="1" si="4"/>
        <v>22.121086240816361</v>
      </c>
      <c r="R38" s="4">
        <f t="shared" ca="1" si="5"/>
        <v>58.818609137870062</v>
      </c>
      <c r="S38" s="4">
        <f t="shared" ca="1" si="6"/>
        <v>13.254882398968101</v>
      </c>
      <c r="U38" s="4">
        <f t="shared" ca="1" si="15"/>
        <v>1.5388540831764306</v>
      </c>
      <c r="V38" s="4">
        <f t="shared" ca="1" si="16"/>
        <v>1.1869092598676985</v>
      </c>
      <c r="W38" s="4">
        <f t="shared" ca="1" si="17"/>
        <v>1.2704124555541081</v>
      </c>
      <c r="X38" s="4">
        <f t="shared" ca="1" si="18"/>
        <v>1.2667119329927286</v>
      </c>
      <c r="Y38" s="4">
        <f t="shared" ca="1" si="19"/>
        <v>1.2616425619404661</v>
      </c>
      <c r="AA38" s="4"/>
      <c r="AB38" s="65" t="s">
        <v>206</v>
      </c>
      <c r="AC38" s="68">
        <f ca="1">SUM(AC30:AC36)</f>
        <v>100.00000000000001</v>
      </c>
      <c r="AD38" s="68">
        <f ca="1">SUM(AD30:AD36)</f>
        <v>100</v>
      </c>
      <c r="AE38" s="68">
        <f ca="1">SUM(AE30:AE36)</f>
        <v>100.00000000000001</v>
      </c>
      <c r="AF38" s="68">
        <f ca="1">SUM(AF30:AF36)</f>
        <v>99.999999999999986</v>
      </c>
    </row>
    <row r="39" spans="1:41" x14ac:dyDescent="0.15">
      <c r="A39" s="8">
        <f t="shared" si="8"/>
        <v>38442</v>
      </c>
      <c r="B39" s="5" cm="1">
        <f t="array" aca="1" ref="B39" ca="1">OFFSET('Input IBGE'!$A$5,ROW()-2,COLUMN()-1,,)</f>
        <v>13306.82</v>
      </c>
      <c r="C39" s="5" cm="1">
        <f t="array" aca="1" ref="C39" ca="1">OFFSET('Input IBGE'!$A$5,ROW()-2,COLUMN()-1,,)</f>
        <v>48995.89</v>
      </c>
      <c r="D39" s="5" cm="1">
        <f t="array" aca="1" ref="D39" ca="1">OFFSET('Input IBGE'!$A$5,ROW()-2,COLUMN()-1,,)</f>
        <v>132045.60999999999</v>
      </c>
      <c r="E39" s="5" cm="1">
        <f t="array" aca="1" ref="E39" ca="1">OFFSET('Input IBGE'!$A$5,ROW()-2,COLUMN()-1,,)</f>
        <v>194687.99</v>
      </c>
      <c r="F39" s="5">
        <f t="shared" ca="1" si="1"/>
        <v>29866.809999999998</v>
      </c>
      <c r="G39" s="5" cm="1">
        <f t="array" aca="1" ref="G39" ca="1">OFFSET('Input IBGE'!$A$5,ROW()-2,COLUMN()-2,,)</f>
        <v>224554.8</v>
      </c>
      <c r="I39" s="4">
        <f t="shared" ca="1" si="9"/>
        <v>2.5267203333415589</v>
      </c>
      <c r="J39" s="4">
        <f t="shared" ca="1" si="10"/>
        <v>-0.92825876312507827</v>
      </c>
      <c r="K39" s="4">
        <f t="shared" ca="1" si="11"/>
        <v>0.41666888470290875</v>
      </c>
      <c r="L39" s="4">
        <f t="shared" ca="1" si="12"/>
        <v>0.74186185032560914</v>
      </c>
      <c r="M39" s="4">
        <f t="shared" ca="1" si="13"/>
        <v>0.78816869563749226</v>
      </c>
      <c r="N39" s="4">
        <f t="shared" ca="1" si="14"/>
        <v>0.74801841789644552</v>
      </c>
      <c r="P39" s="4">
        <f t="shared" ca="1" si="3"/>
        <v>5.934844807306269</v>
      </c>
      <c r="Q39" s="4">
        <f t="shared" ca="1" si="4"/>
        <v>21.852178307503156</v>
      </c>
      <c r="R39" s="4">
        <f t="shared" ca="1" si="5"/>
        <v>58.892372695812277</v>
      </c>
      <c r="S39" s="4">
        <f t="shared" ca="1" si="6"/>
        <v>13.320604189378299</v>
      </c>
      <c r="U39" s="4">
        <f t="shared" ca="1" si="15"/>
        <v>1.5777366221965063</v>
      </c>
      <c r="V39" s="4">
        <f t="shared" ca="1" si="16"/>
        <v>1.1758916706526334</v>
      </c>
      <c r="W39" s="4">
        <f t="shared" ca="1" si="17"/>
        <v>1.2757058689637921</v>
      </c>
      <c r="X39" s="4">
        <f t="shared" ca="1" si="18"/>
        <v>1.2761091855771236</v>
      </c>
      <c r="Y39" s="4">
        <f t="shared" ca="1" si="19"/>
        <v>1.2715864336645197</v>
      </c>
      <c r="AB39" s="65" t="s">
        <v>202</v>
      </c>
      <c r="AC39" s="67">
        <f ca="1">MEDIAN($N$3:$N$105)</f>
        <v>0.74801841789644552</v>
      </c>
      <c r="AD39" s="67">
        <f ca="1">MEDIAN($N$4:$N$42)</f>
        <v>0.89419420045546705</v>
      </c>
      <c r="AE39" s="67">
        <f ca="1">MEDIAN($N$43:$N$78)</f>
        <v>1.0820189083938447</v>
      </c>
      <c r="AF39" s="67">
        <f ca="1">MEDIAN(($N$87:$N$105))</f>
        <v>0.42666112760276764</v>
      </c>
    </row>
    <row r="40" spans="1:41" x14ac:dyDescent="0.15">
      <c r="A40" s="8">
        <f t="shared" si="8"/>
        <v>38533</v>
      </c>
      <c r="B40" s="5" cm="1">
        <f t="array" aca="1" ref="B40" ca="1">OFFSET('Input IBGE'!$A$5,ROW()-2,COLUMN()-1,,)</f>
        <v>13481.53</v>
      </c>
      <c r="C40" s="5" cm="1">
        <f t="array" aca="1" ref="C40" ca="1">OFFSET('Input IBGE'!$A$5,ROW()-2,COLUMN()-1,,)</f>
        <v>49895.22</v>
      </c>
      <c r="D40" s="5" cm="1">
        <f t="array" aca="1" ref="D40" ca="1">OFFSET('Input IBGE'!$A$5,ROW()-2,COLUMN()-1,,)</f>
        <v>133392.82999999999</v>
      </c>
      <c r="E40" s="5" cm="1">
        <f t="array" aca="1" ref="E40" ca="1">OFFSET('Input IBGE'!$A$5,ROW()-2,COLUMN()-1,,)</f>
        <v>197469.68</v>
      </c>
      <c r="F40" s="5">
        <f t="shared" ca="1" si="1"/>
        <v>30172.460000000021</v>
      </c>
      <c r="G40" s="5" cm="1">
        <f t="array" aca="1" ref="G40" ca="1">OFFSET('Input IBGE'!$A$5,ROW()-2,COLUMN()-2,,)</f>
        <v>227642.14</v>
      </c>
      <c r="I40" s="4">
        <f t="shared" ca="1" si="9"/>
        <v>1.3129357727841962</v>
      </c>
      <c r="J40" s="4">
        <f t="shared" ca="1" si="10"/>
        <v>1.8355213059707776</v>
      </c>
      <c r="K40" s="4">
        <f t="shared" ca="1" si="11"/>
        <v>1.020268678375591</v>
      </c>
      <c r="L40" s="4">
        <f t="shared" ca="1" si="12"/>
        <v>1.4287938357163243</v>
      </c>
      <c r="M40" s="4">
        <f t="shared" ca="1" si="13"/>
        <v>1.0233767851338005</v>
      </c>
      <c r="N40" s="4">
        <f t="shared" ca="1" si="14"/>
        <v>1.374871523565746</v>
      </c>
      <c r="P40" s="4">
        <f t="shared" ca="1" si="3"/>
        <v>5.9405167945084125</v>
      </c>
      <c r="Q40" s="4">
        <f t="shared" ca="1" si="4"/>
        <v>21.985886792945017</v>
      </c>
      <c r="R40" s="4">
        <f t="shared" ca="1" si="5"/>
        <v>58.778369137776309</v>
      </c>
      <c r="S40" s="4">
        <f t="shared" ca="1" si="6"/>
        <v>13.295227274770252</v>
      </c>
      <c r="U40" s="4">
        <f t="shared" ca="1" si="15"/>
        <v>1.5984512907096413</v>
      </c>
      <c r="V40" s="4">
        <f t="shared" ca="1" si="16"/>
        <v>1.1974754128025982</v>
      </c>
      <c r="W40" s="4">
        <f t="shared" ca="1" si="17"/>
        <v>1.2887214963730289</v>
      </c>
      <c r="X40" s="4">
        <f t="shared" ca="1" si="18"/>
        <v>1.2943421549576593</v>
      </c>
      <c r="Y40" s="4">
        <f t="shared" ca="1" si="19"/>
        <v>1.2845995540295532</v>
      </c>
      <c r="AA40" s="4"/>
    </row>
    <row r="41" spans="1:41" x14ac:dyDescent="0.15">
      <c r="A41" s="8">
        <f t="shared" si="8"/>
        <v>38625</v>
      </c>
      <c r="B41" s="5" cm="1">
        <f t="array" aca="1" ref="B41" ca="1">OFFSET('Input IBGE'!$A$5,ROW()-2,COLUMN()-1,,)</f>
        <v>12846.1</v>
      </c>
      <c r="C41" s="5" cm="1">
        <f t="array" aca="1" ref="C41" ca="1">OFFSET('Input IBGE'!$A$5,ROW()-2,COLUMN()-1,,)</f>
        <v>48922.29</v>
      </c>
      <c r="D41" s="5" cm="1">
        <f t="array" aca="1" ref="D41" ca="1">OFFSET('Input IBGE'!$A$5,ROW()-2,COLUMN()-1,,)</f>
        <v>134075.19</v>
      </c>
      <c r="E41" s="5" cm="1">
        <f t="array" aca="1" ref="E41" ca="1">OFFSET('Input IBGE'!$A$5,ROW()-2,COLUMN()-1,,)</f>
        <v>195420.63</v>
      </c>
      <c r="F41" s="5">
        <f t="shared" ca="1" si="1"/>
        <v>30486.190000000002</v>
      </c>
      <c r="G41" s="5" cm="1">
        <f t="array" aca="1" ref="G41" ca="1">OFFSET('Input IBGE'!$A$5,ROW()-2,COLUMN()-2,,)</f>
        <v>225906.82</v>
      </c>
      <c r="I41" s="4">
        <f t="shared" ca="1" si="9"/>
        <v>-4.7133374327691264</v>
      </c>
      <c r="J41" s="4">
        <f t="shared" ca="1" si="10"/>
        <v>-1.9499463074819645</v>
      </c>
      <c r="K41" s="4">
        <f t="shared" ca="1" si="11"/>
        <v>0.51154173728829022</v>
      </c>
      <c r="L41" s="4">
        <f t="shared" ca="1" si="12"/>
        <v>-1.0376529703192805</v>
      </c>
      <c r="M41" s="4">
        <f t="shared" ca="1" si="13"/>
        <v>1.0397892647798113</v>
      </c>
      <c r="N41" s="4">
        <f t="shared" ca="1" si="14"/>
        <v>-0.7623017425508305</v>
      </c>
      <c r="P41" s="4">
        <f t="shared" ca="1" si="3"/>
        <v>5.6758330996404043</v>
      </c>
      <c r="Q41" s="4">
        <f t="shared" ca="1" si="4"/>
        <v>21.615490529593163</v>
      </c>
      <c r="R41" s="4">
        <f t="shared" ca="1" si="5"/>
        <v>59.238866367424833</v>
      </c>
      <c r="S41" s="4">
        <f t="shared" ca="1" si="6"/>
        <v>13.469810003341584</v>
      </c>
      <c r="U41" s="4">
        <f t="shared" ca="1" si="15"/>
        <v>1.5231108876800425</v>
      </c>
      <c r="V41" s="4">
        <f t="shared" ca="1" si="16"/>
        <v>1.1741252852076496</v>
      </c>
      <c r="W41" s="4">
        <f t="shared" ca="1" si="17"/>
        <v>1.295313844704383</v>
      </c>
      <c r="X41" s="4">
        <f t="shared" ca="1" si="18"/>
        <v>1.2809113751406465</v>
      </c>
      <c r="Y41" s="4">
        <f t="shared" ca="1" si="19"/>
        <v>1.2979566822877617</v>
      </c>
    </row>
    <row r="42" spans="1:41" x14ac:dyDescent="0.15">
      <c r="A42" s="8">
        <f t="shared" si="8"/>
        <v>38717</v>
      </c>
      <c r="B42" s="5" cm="1">
        <f t="array" aca="1" ref="B42" ca="1">OFFSET('Input IBGE'!$A$5,ROW()-2,COLUMN()-1,,)</f>
        <v>12959.69</v>
      </c>
      <c r="C42" s="5" cm="1">
        <f t="array" aca="1" ref="C42" ca="1">OFFSET('Input IBGE'!$A$5,ROW()-2,COLUMN()-1,,)</f>
        <v>49553.15</v>
      </c>
      <c r="D42" s="5" cm="1">
        <f t="array" aca="1" ref="D42" ca="1">OFFSET('Input IBGE'!$A$5,ROW()-2,COLUMN()-1,,)</f>
        <v>135157.99</v>
      </c>
      <c r="E42" s="5" cm="1">
        <f t="array" aca="1" ref="E42" ca="1">OFFSET('Input IBGE'!$A$5,ROW()-2,COLUMN()-1,,)</f>
        <v>197489.22</v>
      </c>
      <c r="F42" s="5">
        <f t="shared" ca="1" si="1"/>
        <v>31260.130000000005</v>
      </c>
      <c r="G42" s="5" cm="1">
        <f t="array" aca="1" ref="G42" ca="1">OFFSET('Input IBGE'!$A$5,ROW()-2,COLUMN()-2,,)</f>
        <v>228749.35</v>
      </c>
      <c r="I42" s="4">
        <f t="shared" ca="1" si="9"/>
        <v>0.88423723931776443</v>
      </c>
      <c r="J42" s="4">
        <f t="shared" ca="1" si="10"/>
        <v>1.2895144524101454</v>
      </c>
      <c r="K42" s="4">
        <f t="shared" ca="1" si="11"/>
        <v>0.80760653779419211</v>
      </c>
      <c r="L42" s="4">
        <f t="shared" ca="1" si="12"/>
        <v>1.0585320495589468</v>
      </c>
      <c r="M42" s="4">
        <f t="shared" ca="1" si="13"/>
        <v>2.5386576676193373</v>
      </c>
      <c r="N42" s="4">
        <f t="shared" ca="1" si="14"/>
        <v>1.2582754252394857</v>
      </c>
      <c r="P42" s="4">
        <f t="shared" ca="1" si="3"/>
        <v>5.6609599680183056</v>
      </c>
      <c r="Q42" s="4">
        <f t="shared" ca="1" si="4"/>
        <v>21.645455905134021</v>
      </c>
      <c r="R42" s="4">
        <f t="shared" ca="1" si="5"/>
        <v>59.03875561435639</v>
      </c>
      <c r="S42" s="4">
        <f t="shared" ca="1" si="6"/>
        <v>13.65482851249128</v>
      </c>
      <c r="U42" s="4">
        <f t="shared" ca="1" si="15"/>
        <v>1.5365788013450128</v>
      </c>
      <c r="V42" s="4">
        <f t="shared" ca="1" si="16"/>
        <v>1.189265800449804</v>
      </c>
      <c r="W42" s="4">
        <f t="shared" ca="1" si="17"/>
        <v>1.305774883999169</v>
      </c>
      <c r="X42" s="4">
        <f t="shared" ca="1" si="18"/>
        <v>1.2944702325729565</v>
      </c>
      <c r="Y42" s="4">
        <f t="shared" ca="1" si="19"/>
        <v>1.3309073591250375</v>
      </c>
    </row>
    <row r="43" spans="1:41" x14ac:dyDescent="0.15">
      <c r="A43" s="8">
        <f t="shared" si="8"/>
        <v>38807</v>
      </c>
      <c r="B43" s="5" cm="1">
        <f t="array" aca="1" ref="B43" ca="1">OFFSET('Input IBGE'!$A$5,ROW()-2,COLUMN()-1,,)</f>
        <v>13399.33</v>
      </c>
      <c r="C43" s="5" cm="1">
        <f t="array" aca="1" ref="C43" ca="1">OFFSET('Input IBGE'!$A$5,ROW()-2,COLUMN()-1,,)</f>
        <v>50043.199999999997</v>
      </c>
      <c r="D43" s="5" cm="1">
        <f t="array" aca="1" ref="D43" ca="1">OFFSET('Input IBGE'!$A$5,ROW()-2,COLUMN()-1,,)</f>
        <v>137727.43</v>
      </c>
      <c r="E43" s="5" cm="1">
        <f t="array" aca="1" ref="E43" ca="1">OFFSET('Input IBGE'!$A$5,ROW()-2,COLUMN()-1,,)</f>
        <v>201264.12</v>
      </c>
      <c r="F43" s="5">
        <f t="shared" ca="1" si="1"/>
        <v>31386.25</v>
      </c>
      <c r="G43" s="5" cm="1">
        <f t="array" aca="1" ref="G43" ca="1">OFFSET('Input IBGE'!$A$5,ROW()-2,COLUMN()-2,,)</f>
        <v>232650.37</v>
      </c>
      <c r="I43" s="4">
        <f t="shared" ca="1" si="9"/>
        <v>3.3923650951527273</v>
      </c>
      <c r="J43" s="4">
        <f t="shared" ca="1" si="10"/>
        <v>0.98893814015859061</v>
      </c>
      <c r="K43" s="4">
        <f t="shared" ca="1" si="11"/>
        <v>1.9010640806363055</v>
      </c>
      <c r="L43" s="4">
        <f t="shared" ca="1" si="12"/>
        <v>1.9114461032354146</v>
      </c>
      <c r="M43" s="4">
        <f t="shared" ca="1" si="13"/>
        <v>0.40345321660528732</v>
      </c>
      <c r="N43" s="4">
        <f t="shared" ca="1" si="14"/>
        <v>1.7053687802828676</v>
      </c>
      <c r="P43" s="4">
        <f t="shared" ca="1" si="3"/>
        <v>5.7617597053202756</v>
      </c>
      <c r="Q43" s="4">
        <f t="shared" ca="1" si="4"/>
        <v>21.518754541106428</v>
      </c>
      <c r="R43" s="4">
        <f t="shared" ca="1" si="5"/>
        <v>59.223286275606235</v>
      </c>
      <c r="S43" s="4">
        <f t="shared" ca="1" si="6"/>
        <v>13.496199477967069</v>
      </c>
      <c r="U43" s="4">
        <f t="shared" ca="1" si="15"/>
        <v>1.5887051642613572</v>
      </c>
      <c r="V43" s="4">
        <f t="shared" ca="1" si="16"/>
        <v>1.2010269035383145</v>
      </c>
      <c r="W43" s="4">
        <f t="shared" ca="1" si="17"/>
        <v>1.3305985012928476</v>
      </c>
      <c r="X43" s="4">
        <f t="shared" ca="1" si="18"/>
        <v>1.3192133333910145</v>
      </c>
      <c r="Y43" s="4">
        <f t="shared" ca="1" si="19"/>
        <v>1.3362769476754639</v>
      </c>
    </row>
    <row r="44" spans="1:41" x14ac:dyDescent="0.15">
      <c r="A44" s="8">
        <f t="shared" si="8"/>
        <v>38898</v>
      </c>
      <c r="B44" s="5" cm="1">
        <f t="array" aca="1" ref="B44" ca="1">OFFSET('Input IBGE'!$A$5,ROW()-2,COLUMN()-1,,)</f>
        <v>13554.34</v>
      </c>
      <c r="C44" s="5" cm="1">
        <f t="array" aca="1" ref="C44" ca="1">OFFSET('Input IBGE'!$A$5,ROW()-2,COLUMN()-1,,)</f>
        <v>49429.27</v>
      </c>
      <c r="D44" s="5" cm="1">
        <f t="array" aca="1" ref="D44" ca="1">OFFSET('Input IBGE'!$A$5,ROW()-2,COLUMN()-1,,)</f>
        <v>138405.76000000001</v>
      </c>
      <c r="E44" s="5" cm="1">
        <f t="array" aca="1" ref="E44" ca="1">OFFSET('Input IBGE'!$A$5,ROW()-2,COLUMN()-1,,)</f>
        <v>200960.3</v>
      </c>
      <c r="F44" s="5">
        <f t="shared" ca="1" si="1"/>
        <v>32273.49000000002</v>
      </c>
      <c r="G44" s="5" cm="1">
        <f t="array" aca="1" ref="G44" ca="1">OFFSET('Input IBGE'!$A$5,ROW()-2,COLUMN()-2,,)</f>
        <v>233233.79</v>
      </c>
      <c r="I44" s="4">
        <f t="shared" ca="1" si="9"/>
        <v>1.1568488872204741</v>
      </c>
      <c r="J44" s="4">
        <f t="shared" ca="1" si="10"/>
        <v>-1.2268000447613225</v>
      </c>
      <c r="K44" s="4">
        <f t="shared" ca="1" si="11"/>
        <v>0.49251626927186987</v>
      </c>
      <c r="L44" s="4">
        <f t="shared" ca="1" si="12"/>
        <v>-0.15095586833858698</v>
      </c>
      <c r="M44" s="4">
        <f t="shared" ca="1" si="13"/>
        <v>2.8268429646740811</v>
      </c>
      <c r="N44" s="4">
        <f t="shared" ca="1" si="14"/>
        <v>0.25077114642026999</v>
      </c>
      <c r="P44" s="4">
        <f t="shared" ca="1" si="3"/>
        <v>5.8008106209091164</v>
      </c>
      <c r="Q44" s="4">
        <f t="shared" ca="1" si="4"/>
        <v>21.154097831379794</v>
      </c>
      <c r="R44" s="4">
        <f t="shared" ca="1" si="5"/>
        <v>59.233101914442031</v>
      </c>
      <c r="S44" s="4">
        <f t="shared" ca="1" si="6"/>
        <v>13.811989633269068</v>
      </c>
      <c r="U44" s="4">
        <f t="shared" ca="1" si="15"/>
        <v>1.607084082275329</v>
      </c>
      <c r="V44" s="4">
        <f t="shared" ca="1" si="16"/>
        <v>1.1862927049481109</v>
      </c>
      <c r="W44" s="4">
        <f t="shared" ca="1" si="17"/>
        <v>1.3371519153904026</v>
      </c>
      <c r="X44" s="4">
        <f t="shared" ca="1" si="18"/>
        <v>1.3172219034483557</v>
      </c>
      <c r="Y44" s="4">
        <f t="shared" ca="1" si="19"/>
        <v>1.3740513985593894</v>
      </c>
    </row>
    <row r="45" spans="1:41" x14ac:dyDescent="0.15">
      <c r="A45" s="8">
        <f t="shared" si="8"/>
        <v>38990</v>
      </c>
      <c r="B45" s="5" cm="1">
        <f t="array" aca="1" ref="B45" ca="1">OFFSET('Input IBGE'!$A$5,ROW()-2,COLUMN()-1,,)</f>
        <v>14139.41</v>
      </c>
      <c r="C45" s="5" cm="1">
        <f t="array" aca="1" ref="C45" ca="1">OFFSET('Input IBGE'!$A$5,ROW()-2,COLUMN()-1,,)</f>
        <v>50239.37</v>
      </c>
      <c r="D45" s="5" cm="1">
        <f t="array" aca="1" ref="D45" ca="1">OFFSET('Input IBGE'!$A$5,ROW()-2,COLUMN()-1,,)</f>
        <v>140296.07999999999</v>
      </c>
      <c r="E45" s="5" cm="1">
        <f t="array" aca="1" ref="E45" ca="1">OFFSET('Input IBGE'!$A$5,ROW()-2,COLUMN()-1,,)</f>
        <v>204403.16</v>
      </c>
      <c r="F45" s="5">
        <f t="shared" ca="1" si="1"/>
        <v>32631.98000000001</v>
      </c>
      <c r="G45" s="5" cm="1">
        <f t="array" aca="1" ref="G45" ca="1">OFFSET('Input IBGE'!$A$5,ROW()-2,COLUMN()-2,,)</f>
        <v>237035.14</v>
      </c>
      <c r="I45" s="4">
        <f t="shared" ca="1" si="9"/>
        <v>4.3164772316468314</v>
      </c>
      <c r="J45" s="4">
        <f t="shared" ca="1" si="10"/>
        <v>1.6389074732441111</v>
      </c>
      <c r="K45" s="4">
        <f t="shared" ca="1" si="11"/>
        <v>1.3657813085235615</v>
      </c>
      <c r="L45" s="4">
        <f t="shared" ca="1" si="12"/>
        <v>1.7132040507503277</v>
      </c>
      <c r="M45" s="4">
        <f t="shared" ca="1" si="13"/>
        <v>1.1107878323664222</v>
      </c>
      <c r="N45" s="4">
        <f t="shared" ca="1" si="14"/>
        <v>1.6298453152950199</v>
      </c>
      <c r="P45" s="4">
        <f t="shared" ca="1" si="3"/>
        <v>5.9582816913326226</v>
      </c>
      <c r="Q45" s="4">
        <f t="shared" ca="1" si="4"/>
        <v>21.170637137977145</v>
      </c>
      <c r="R45" s="4">
        <f t="shared" ca="1" si="5"/>
        <v>59.120116386025792</v>
      </c>
      <c r="S45" s="4">
        <f t="shared" ca="1" si="6"/>
        <v>13.750964784664449</v>
      </c>
      <c r="U45" s="4">
        <f t="shared" ca="1" si="15"/>
        <v>1.676453500780164</v>
      </c>
      <c r="V45" s="4">
        <f t="shared" ca="1" si="16"/>
        <v>1.2057349447440553</v>
      </c>
      <c r="W45" s="4">
        <f t="shared" ca="1" si="17"/>
        <v>1.3554144863173694</v>
      </c>
      <c r="X45" s="4">
        <f t="shared" ca="1" si="18"/>
        <v>1.3397886024556034</v>
      </c>
      <c r="Y45" s="4">
        <f t="shared" ca="1" si="19"/>
        <v>1.3893141943050478</v>
      </c>
    </row>
    <row r="46" spans="1:41" x14ac:dyDescent="0.15">
      <c r="A46" s="8">
        <f t="shared" si="8"/>
        <v>39082</v>
      </c>
      <c r="B46" s="5" cm="1">
        <f t="array" aca="1" ref="B46" ca="1">OFFSET('Input IBGE'!$A$5,ROW()-2,COLUMN()-1,,)</f>
        <v>14211.68</v>
      </c>
      <c r="C46" s="5" cm="1">
        <f t="array" aca="1" ref="C46" ca="1">OFFSET('Input IBGE'!$A$5,ROW()-2,COLUMN()-1,,)</f>
        <v>51676.45</v>
      </c>
      <c r="D46" s="5" cm="1">
        <f t="array" aca="1" ref="D46" ca="1">OFFSET('Input IBGE'!$A$5,ROW()-2,COLUMN()-1,,)</f>
        <v>141392.49</v>
      </c>
      <c r="E46" s="5" cm="1">
        <f t="array" aca="1" ref="E46" ca="1">OFFSET('Input IBGE'!$A$5,ROW()-2,COLUMN()-1,,)</f>
        <v>207360.53</v>
      </c>
      <c r="F46" s="5">
        <f t="shared" ca="1" si="1"/>
        <v>32487.839999999997</v>
      </c>
      <c r="G46" s="5" cm="1">
        <f t="array" aca="1" ref="G46" ca="1">OFFSET('Input IBGE'!$A$5,ROW()-2,COLUMN()-2,,)</f>
        <v>239848.37</v>
      </c>
      <c r="I46" s="4">
        <f t="shared" ca="1" si="9"/>
        <v>0.51112458016282503</v>
      </c>
      <c r="J46" s="4">
        <f t="shared" ca="1" si="10"/>
        <v>2.8604658060003452</v>
      </c>
      <c r="K46" s="4">
        <f t="shared" ca="1" si="11"/>
        <v>0.78149724496936468</v>
      </c>
      <c r="L46" s="4">
        <f t="shared" ca="1" si="12"/>
        <v>1.4468318395860491</v>
      </c>
      <c r="M46" s="4">
        <f t="shared" ca="1" si="13"/>
        <v>-0.44171392603211679</v>
      </c>
      <c r="N46" s="4">
        <f t="shared" ca="1" si="14"/>
        <v>1.1868409046861039</v>
      </c>
      <c r="P46" s="4">
        <f t="shared" ca="1" si="3"/>
        <v>5.9272516493620548</v>
      </c>
      <c r="Q46" s="4">
        <f t="shared" ca="1" si="4"/>
        <v>21.552647082939931</v>
      </c>
      <c r="R46" s="4">
        <f t="shared" ca="1" si="5"/>
        <v>58.970429221591523</v>
      </c>
      <c r="S46" s="4">
        <f t="shared" ca="1" si="6"/>
        <v>13.549672046106478</v>
      </c>
      <c r="U46" s="4">
        <f t="shared" ca="1" si="15"/>
        <v>1.6850222666976515</v>
      </c>
      <c r="V46" s="4">
        <f t="shared" ca="1" si="16"/>
        <v>1.2402245805494561</v>
      </c>
      <c r="W46" s="4">
        <f t="shared" ca="1" si="17"/>
        <v>1.3660070131858553</v>
      </c>
      <c r="X46" s="4">
        <f t="shared" ca="1" si="18"/>
        <v>1.359173090539076</v>
      </c>
      <c r="Y46" s="4">
        <f t="shared" ca="1" si="19"/>
        <v>1.3831774000324615</v>
      </c>
    </row>
    <row r="47" spans="1:41" x14ac:dyDescent="0.15">
      <c r="A47" s="8">
        <f t="shared" si="8"/>
        <v>39172</v>
      </c>
      <c r="B47" s="5" cm="1">
        <f t="array" aca="1" ref="B47" ca="1">OFFSET('Input IBGE'!$A$5,ROW()-2,COLUMN()-1,,)</f>
        <v>13983.98</v>
      </c>
      <c r="C47" s="5" cm="1">
        <f t="array" aca="1" ref="C47" ca="1">OFFSET('Input IBGE'!$A$5,ROW()-2,COLUMN()-1,,)</f>
        <v>51934</v>
      </c>
      <c r="D47" s="5" cm="1">
        <f t="array" aca="1" ref="D47" ca="1">OFFSET('Input IBGE'!$A$5,ROW()-2,COLUMN()-1,,)</f>
        <v>145363.65</v>
      </c>
      <c r="E47" s="5" cm="1">
        <f t="array" aca="1" ref="E47" ca="1">OFFSET('Input IBGE'!$A$5,ROW()-2,COLUMN()-1,,)</f>
        <v>211377.43</v>
      </c>
      <c r="F47" s="5">
        <f t="shared" ca="1" si="1"/>
        <v>33240.559999999998</v>
      </c>
      <c r="G47" s="5" cm="1">
        <f t="array" aca="1" ref="G47" ca="1">OFFSET('Input IBGE'!$A$5,ROW()-2,COLUMN()-2,,)</f>
        <v>244617.99</v>
      </c>
      <c r="I47" s="4">
        <f t="shared" ca="1" si="9"/>
        <v>-1.6022032581651247</v>
      </c>
      <c r="J47" s="4">
        <f t="shared" ca="1" si="10"/>
        <v>0.49838949850464775</v>
      </c>
      <c r="K47" s="4">
        <f t="shared" ca="1" si="11"/>
        <v>2.808607444426503</v>
      </c>
      <c r="L47" s="4">
        <f t="shared" ca="1" si="12"/>
        <v>1.93715747157861</v>
      </c>
      <c r="M47" s="4">
        <f t="shared" ca="1" si="13"/>
        <v>2.3169284261434386</v>
      </c>
      <c r="N47" s="4">
        <f t="shared" ca="1" si="14"/>
        <v>1.9885980463406838</v>
      </c>
      <c r="P47" s="4">
        <f t="shared" ca="1" si="3"/>
        <v>5.718900194702166</v>
      </c>
      <c r="Q47" s="4">
        <f t="shared" ca="1" si="4"/>
        <v>21.238972217613462</v>
      </c>
      <c r="R47" s="4">
        <f t="shared" ca="1" si="5"/>
        <v>59.448040278062287</v>
      </c>
      <c r="S47" s="4">
        <f t="shared" ca="1" si="6"/>
        <v>13.594087309622083</v>
      </c>
      <c r="U47" s="4">
        <f t="shared" ca="1" si="15"/>
        <v>1.658024785039814</v>
      </c>
      <c r="V47" s="4">
        <f t="shared" ca="1" si="16"/>
        <v>1.2464057296167879</v>
      </c>
      <c r="W47" s="4">
        <f t="shared" ca="1" si="17"/>
        <v>1.4043727878495813</v>
      </c>
      <c r="X47" s="4">
        <f t="shared" ca="1" si="18"/>
        <v>1.3855024136141396</v>
      </c>
      <c r="Y47" s="4">
        <f t="shared" ca="1" si="19"/>
        <v>1.4152246303978053</v>
      </c>
    </row>
    <row r="48" spans="1:41" x14ac:dyDescent="0.15">
      <c r="A48" s="8">
        <f t="shared" si="8"/>
        <v>39263</v>
      </c>
      <c r="B48" s="5" cm="1">
        <f t="array" aca="1" ref="B48" ca="1">OFFSET('Input IBGE'!$A$5,ROW()-2,COLUMN()-1,,)</f>
        <v>13696.45</v>
      </c>
      <c r="C48" s="5" cm="1">
        <f t="array" aca="1" ref="C48" ca="1">OFFSET('Input IBGE'!$A$5,ROW()-2,COLUMN()-1,,)</f>
        <v>53708.99</v>
      </c>
      <c r="D48" s="5" cm="1">
        <f t="array" aca="1" ref="D48" ca="1">OFFSET('Input IBGE'!$A$5,ROW()-2,COLUMN()-1,,)</f>
        <v>146624.56</v>
      </c>
      <c r="E48" s="5" cm="1">
        <f t="array" aca="1" ref="E48" ca="1">OFFSET('Input IBGE'!$A$5,ROW()-2,COLUMN()-1,,)</f>
        <v>213768.87</v>
      </c>
      <c r="F48" s="5">
        <f t="shared" ca="1" si="1"/>
        <v>34669.119999999995</v>
      </c>
      <c r="G48" s="5" cm="1">
        <f t="array" aca="1" ref="G48" ca="1">OFFSET('Input IBGE'!$A$5,ROW()-2,COLUMN()-2,,)</f>
        <v>248437.99</v>
      </c>
      <c r="I48" s="4">
        <f t="shared" ca="1" si="9"/>
        <v>-2.0561385242255703</v>
      </c>
      <c r="J48" s="4">
        <f t="shared" ca="1" si="10"/>
        <v>3.4177802595602103</v>
      </c>
      <c r="K48" s="4">
        <f t="shared" ca="1" si="11"/>
        <v>0.86741767972942085</v>
      </c>
      <c r="L48" s="4">
        <f t="shared" ca="1" si="12"/>
        <v>1.1313601456882205</v>
      </c>
      <c r="M48" s="4">
        <f t="shared" ca="1" si="13"/>
        <v>4.2976411949738447</v>
      </c>
      <c r="N48" s="4">
        <f t="shared" ca="1" si="14"/>
        <v>1.5616185874146149</v>
      </c>
      <c r="P48" s="4">
        <f t="shared" ca="1" si="3"/>
        <v>5.5072370179677357</v>
      </c>
      <c r="Q48" s="4">
        <f t="shared" ca="1" si="4"/>
        <v>21.59597106736847</v>
      </c>
      <c r="R48" s="4">
        <f t="shared" ca="1" si="5"/>
        <v>58.956605877817339</v>
      </c>
      <c r="S48" s="4">
        <f t="shared" ca="1" si="6"/>
        <v>13.940186036846447</v>
      </c>
      <c r="U48" s="4">
        <f t="shared" ca="1" si="15"/>
        <v>1.6239334986934022</v>
      </c>
      <c r="V48" s="4">
        <f t="shared" ca="1" si="16"/>
        <v>1.2890051385976578</v>
      </c>
      <c r="W48" s="4">
        <f t="shared" ca="1" si="17"/>
        <v>1.4165545657006975</v>
      </c>
      <c r="X48" s="4">
        <f t="shared" ca="1" si="18"/>
        <v>1.4011774357393183</v>
      </c>
      <c r="Y48" s="4">
        <f t="shared" ca="1" si="19"/>
        <v>1.4760459071151977</v>
      </c>
    </row>
    <row r="49" spans="1:25" x14ac:dyDescent="0.15">
      <c r="A49" s="8">
        <f t="shared" si="8"/>
        <v>39355</v>
      </c>
      <c r="B49" s="5" cm="1">
        <f t="array" aca="1" ref="B49" ca="1">OFFSET('Input IBGE'!$A$5,ROW()-2,COLUMN()-1,,)</f>
        <v>14729.12</v>
      </c>
      <c r="C49" s="5" cm="1">
        <f t="array" aca="1" ref="C49" ca="1">OFFSET('Input IBGE'!$A$5,ROW()-2,COLUMN()-1,,)</f>
        <v>53882.93</v>
      </c>
      <c r="D49" s="5" cm="1">
        <f t="array" aca="1" ref="D49" ca="1">OFFSET('Input IBGE'!$A$5,ROW()-2,COLUMN()-1,,)</f>
        <v>147880.13</v>
      </c>
      <c r="E49" s="5" cm="1">
        <f t="array" aca="1" ref="E49" ca="1">OFFSET('Input IBGE'!$A$5,ROW()-2,COLUMN()-1,,)</f>
        <v>216268.72</v>
      </c>
      <c r="F49" s="5">
        <f t="shared" ca="1" si="1"/>
        <v>34728.420000000013</v>
      </c>
      <c r="G49" s="5" cm="1">
        <f t="array" aca="1" ref="G49" ca="1">OFFSET('Input IBGE'!$A$5,ROW()-2,COLUMN()-2,,)</f>
        <v>250997.14</v>
      </c>
      <c r="I49" s="4">
        <f t="shared" ca="1" si="9"/>
        <v>7.5396909418133928</v>
      </c>
      <c r="J49" s="4">
        <f t="shared" ca="1" si="10"/>
        <v>0.32385639722511961</v>
      </c>
      <c r="K49" s="4">
        <f t="shared" ca="1" si="11"/>
        <v>0.85631629516911278</v>
      </c>
      <c r="L49" s="4">
        <f t="shared" ca="1" si="12"/>
        <v>1.1694172308624795</v>
      </c>
      <c r="M49" s="4">
        <f t="shared" ca="1" si="13"/>
        <v>0.17104558754308385</v>
      </c>
      <c r="N49" s="4">
        <f t="shared" ca="1" si="14"/>
        <v>1.0300960815212035</v>
      </c>
      <c r="P49" s="4">
        <f t="shared" ca="1" si="3"/>
        <v>5.8630223795341614</v>
      </c>
      <c r="Q49" s="4">
        <f t="shared" ca="1" si="4"/>
        <v>21.448452077576437</v>
      </c>
      <c r="R49" s="4">
        <f t="shared" ca="1" si="5"/>
        <v>58.864651226850029</v>
      </c>
      <c r="S49" s="4">
        <f t="shared" ca="1" si="6"/>
        <v>13.823874316039372</v>
      </c>
      <c r="U49" s="4">
        <f t="shared" ca="1" si="15"/>
        <v>1.7463730655954619</v>
      </c>
      <c r="V49" s="4">
        <f t="shared" ca="1" si="16"/>
        <v>1.2931796641995668</v>
      </c>
      <c r="W49" s="4">
        <f t="shared" ca="1" si="17"/>
        <v>1.4286847532767546</v>
      </c>
      <c r="X49" s="4">
        <f t="shared" ca="1" si="18"/>
        <v>1.417563046107811</v>
      </c>
      <c r="Y49" s="4">
        <f t="shared" ca="1" si="19"/>
        <v>1.4785706185094285</v>
      </c>
    </row>
    <row r="50" spans="1:25" x14ac:dyDescent="0.15">
      <c r="A50" s="8">
        <f t="shared" si="8"/>
        <v>39447</v>
      </c>
      <c r="B50" s="5" cm="1">
        <f t="array" aca="1" ref="B50" ca="1">OFFSET('Input IBGE'!$A$5,ROW()-2,COLUMN()-1,,)</f>
        <v>14733.28</v>
      </c>
      <c r="C50" s="5" cm="1">
        <f t="array" aca="1" ref="C50" ca="1">OFFSET('Input IBGE'!$A$5,ROW()-2,COLUMN()-1,,)</f>
        <v>54347.62</v>
      </c>
      <c r="D50" s="5" cm="1">
        <f t="array" aca="1" ref="D50" ca="1">OFFSET('Input IBGE'!$A$5,ROW()-2,COLUMN()-1,,)</f>
        <v>150118.31</v>
      </c>
      <c r="E50" s="5" cm="1">
        <f t="array" aca="1" ref="E50" ca="1">OFFSET('Input IBGE'!$A$5,ROW()-2,COLUMN()-1,,)</f>
        <v>219050.67</v>
      </c>
      <c r="F50" s="5">
        <f t="shared" ca="1" si="1"/>
        <v>35834.559999999998</v>
      </c>
      <c r="G50" s="5" cm="1">
        <f t="array" aca="1" ref="G50" ca="1">OFFSET('Input IBGE'!$A$5,ROW()-2,COLUMN()-2,,)</f>
        <v>254885.23</v>
      </c>
      <c r="I50" s="4">
        <f t="shared" ca="1" si="9"/>
        <v>2.8243370954950109E-2</v>
      </c>
      <c r="J50" s="4">
        <f t="shared" ca="1" si="10"/>
        <v>0.8624067028277782</v>
      </c>
      <c r="K50" s="4">
        <f t="shared" ca="1" si="11"/>
        <v>1.5135096243153123</v>
      </c>
      <c r="L50" s="4">
        <f t="shared" ca="1" si="12"/>
        <v>1.2863395131760269</v>
      </c>
      <c r="M50" s="4">
        <f t="shared" ca="1" si="13"/>
        <v>3.1851146697718491</v>
      </c>
      <c r="N50" s="4">
        <f t="shared" ca="1" si="14"/>
        <v>1.5490574912526922</v>
      </c>
      <c r="P50" s="4">
        <f t="shared" ca="1" si="3"/>
        <v>5.7769918077907887</v>
      </c>
      <c r="Q50" s="4">
        <f t="shared" ca="1" si="4"/>
        <v>21.309970048280274</v>
      </c>
      <c r="R50" s="4">
        <f t="shared" ca="1" si="5"/>
        <v>58.862130297489621</v>
      </c>
      <c r="S50" s="4">
        <f t="shared" ca="1" si="6"/>
        <v>14.050907846439317</v>
      </c>
      <c r="U50" s="4">
        <f t="shared" ca="1" si="15"/>
        <v>1.7468663002186353</v>
      </c>
      <c r="V50" s="4">
        <f t="shared" ca="1" si="16"/>
        <v>1.3043321323032295</v>
      </c>
      <c r="W50" s="4">
        <f t="shared" ca="1" si="17"/>
        <v>1.4503080345187238</v>
      </c>
      <c r="X50" s="4">
        <f t="shared" ca="1" si="18"/>
        <v>1.4357977196940774</v>
      </c>
      <c r="Y50" s="4">
        <f t="shared" ca="1" si="19"/>
        <v>1.5256647881825087</v>
      </c>
    </row>
    <row r="51" spans="1:25" x14ac:dyDescent="0.15">
      <c r="A51" s="8">
        <f t="shared" si="8"/>
        <v>39538</v>
      </c>
      <c r="B51" s="5" cm="1">
        <f t="array" aca="1" ref="B51" ca="1">OFFSET('Input IBGE'!$A$5,ROW()-2,COLUMN()-1,,)</f>
        <v>14713.57</v>
      </c>
      <c r="C51" s="5" cm="1">
        <f t="array" aca="1" ref="C51" ca="1">OFFSET('Input IBGE'!$A$5,ROW()-2,COLUMN()-1,,)</f>
        <v>55766.17</v>
      </c>
      <c r="D51" s="5" cm="1">
        <f t="array" aca="1" ref="D51" ca="1">OFFSET('Input IBGE'!$A$5,ROW()-2,COLUMN()-1,,)</f>
        <v>151391.98000000001</v>
      </c>
      <c r="E51" s="5" cm="1">
        <f t="array" aca="1" ref="E51" ca="1">OFFSET('Input IBGE'!$A$5,ROW()-2,COLUMN()-1,,)</f>
        <v>221452.88</v>
      </c>
      <c r="F51" s="5">
        <f t="shared" ca="1" si="1"/>
        <v>36322.600000000006</v>
      </c>
      <c r="G51" s="5" cm="1">
        <f t="array" aca="1" ref="G51" ca="1">OFFSET('Input IBGE'!$A$5,ROW()-2,COLUMN()-2,,)</f>
        <v>257775.48</v>
      </c>
      <c r="I51" s="4">
        <f t="shared" ca="1" si="9"/>
        <v>-0.13377876481001083</v>
      </c>
      <c r="J51" s="4">
        <f t="shared" ca="1" si="10"/>
        <v>2.6101418976580693</v>
      </c>
      <c r="K51" s="4">
        <f t="shared" ca="1" si="11"/>
        <v>0.8484441371608975</v>
      </c>
      <c r="L51" s="4">
        <f t="shared" ca="1" si="12"/>
        <v>1.0966458125875489</v>
      </c>
      <c r="M51" s="4">
        <f t="shared" ca="1" si="13"/>
        <v>1.3619254708304274</v>
      </c>
      <c r="N51" s="4">
        <f t="shared" ca="1" si="14"/>
        <v>1.133941735266486</v>
      </c>
      <c r="P51" s="4">
        <f t="shared" ca="1" si="3"/>
        <v>5.6986420150528492</v>
      </c>
      <c r="Q51" s="4">
        <f t="shared" ca="1" si="4"/>
        <v>21.598527031888231</v>
      </c>
      <c r="R51" s="4">
        <f t="shared" ca="1" si="5"/>
        <v>58.634899481909606</v>
      </c>
      <c r="S51" s="4">
        <f t="shared" ca="1" si="6"/>
        <v>14.067931471149327</v>
      </c>
      <c r="U51" s="4">
        <f t="shared" ca="1" si="15"/>
        <v>1.7445293640593205</v>
      </c>
      <c r="V51" s="4">
        <f t="shared" ca="1" si="16"/>
        <v>1.3383770517730931</v>
      </c>
      <c r="W51" s="4">
        <f t="shared" ca="1" si="17"/>
        <v>1.4626130880083714</v>
      </c>
      <c r="X51" s="4">
        <f t="shared" ca="1" si="18"/>
        <v>1.4515433352643301</v>
      </c>
      <c r="Y51" s="4">
        <f t="shared" ca="1" si="19"/>
        <v>1.5464432055322574</v>
      </c>
    </row>
    <row r="52" spans="1:25" x14ac:dyDescent="0.15">
      <c r="A52" s="8">
        <f t="shared" si="8"/>
        <v>39629</v>
      </c>
      <c r="B52" s="5" cm="1">
        <f t="array" aca="1" ref="B52" ca="1">OFFSET('Input IBGE'!$A$5,ROW()-2,COLUMN()-1,,)</f>
        <v>15192.19</v>
      </c>
      <c r="C52" s="5" cm="1">
        <f t="array" aca="1" ref="C52" ca="1">OFFSET('Input IBGE'!$A$5,ROW()-2,COLUMN()-1,,)</f>
        <v>56092.17</v>
      </c>
      <c r="D52" s="5" cm="1">
        <f t="array" aca="1" ref="D52" ca="1">OFFSET('Input IBGE'!$A$5,ROW()-2,COLUMN()-1,,)</f>
        <v>155119.25</v>
      </c>
      <c r="E52" s="5" cm="1">
        <f t="array" aca="1" ref="E52" ca="1">OFFSET('Input IBGE'!$A$5,ROW()-2,COLUMN()-1,,)</f>
        <v>226458.22</v>
      </c>
      <c r="F52" s="5">
        <f t="shared" ca="1" si="1"/>
        <v>37303.129999999976</v>
      </c>
      <c r="G52" s="5" cm="1">
        <f t="array" aca="1" ref="G52" ca="1">OFFSET('Input IBGE'!$A$5,ROW()-2,COLUMN()-2,,)</f>
        <v>263761.34999999998</v>
      </c>
      <c r="I52" s="4">
        <f t="shared" ca="1" si="9"/>
        <v>3.2529155058901527</v>
      </c>
      <c r="J52" s="4">
        <f t="shared" ca="1" si="10"/>
        <v>0.58458380770993745</v>
      </c>
      <c r="K52" s="4">
        <f t="shared" ca="1" si="11"/>
        <v>2.4619996382899467</v>
      </c>
      <c r="L52" s="4">
        <f t="shared" ca="1" si="12"/>
        <v>2.2602279997442354</v>
      </c>
      <c r="M52" s="4">
        <f t="shared" ca="1" si="13"/>
        <v>2.6995038901399315</v>
      </c>
      <c r="N52" s="4">
        <f t="shared" ca="1" si="14"/>
        <v>2.3221254403250402</v>
      </c>
      <c r="P52" s="4">
        <f t="shared" ca="1" si="3"/>
        <v>5.761016953908725</v>
      </c>
      <c r="Q52" s="4">
        <f t="shared" ca="1" si="4"/>
        <v>21.2706622515602</v>
      </c>
      <c r="R52" s="4">
        <f t="shared" ca="1" si="5"/>
        <v>58.822633809056221</v>
      </c>
      <c r="S52" s="4">
        <f t="shared" ca="1" si="6"/>
        <v>14.145686985474843</v>
      </c>
      <c r="U52" s="4">
        <f t="shared" ca="1" si="15"/>
        <v>1.8012774302476129</v>
      </c>
      <c r="V52" s="4">
        <f t="shared" ca="1" si="16"/>
        <v>1.3462009873038643</v>
      </c>
      <c r="W52" s="4">
        <f t="shared" ca="1" si="17"/>
        <v>1.498622616944719</v>
      </c>
      <c r="X52" s="4">
        <f t="shared" ca="1" si="18"/>
        <v>1.4843515241563958</v>
      </c>
      <c r="Y52" s="4">
        <f t="shared" ca="1" si="19"/>
        <v>1.5881895000244053</v>
      </c>
    </row>
    <row r="53" spans="1:25" x14ac:dyDescent="0.15">
      <c r="A53" s="8">
        <f t="shared" si="8"/>
        <v>39721</v>
      </c>
      <c r="B53" s="5" cm="1">
        <f t="array" aca="1" ref="B53" ca="1">OFFSET('Input IBGE'!$A$5,ROW()-2,COLUMN()-1,,)</f>
        <v>15482.16</v>
      </c>
      <c r="C53" s="5" cm="1">
        <f t="array" aca="1" ref="C53" ca="1">OFFSET('Input IBGE'!$A$5,ROW()-2,COLUMN()-1,,)</f>
        <v>57665.57</v>
      </c>
      <c r="D53" s="5" cm="1">
        <f t="array" aca="1" ref="D53" ca="1">OFFSET('Input IBGE'!$A$5,ROW()-2,COLUMN()-1,,)</f>
        <v>156773.97</v>
      </c>
      <c r="E53" s="5" cm="1">
        <f t="array" aca="1" ref="E53" ca="1">OFFSET('Input IBGE'!$A$5,ROW()-2,COLUMN()-1,,)</f>
        <v>229259.6</v>
      </c>
      <c r="F53" s="5">
        <f t="shared" ca="1" si="1"/>
        <v>38357.749999999971</v>
      </c>
      <c r="G53" s="5" cm="1">
        <f t="array" aca="1" ref="G53" ca="1">OFFSET('Input IBGE'!$A$5,ROW()-2,COLUMN()-2,,)</f>
        <v>267617.34999999998</v>
      </c>
      <c r="I53" s="4">
        <f t="shared" ca="1" si="9"/>
        <v>1.90867807735422</v>
      </c>
      <c r="J53" s="4">
        <f t="shared" ca="1" si="10"/>
        <v>2.8050260847458874</v>
      </c>
      <c r="K53" s="4">
        <f t="shared" ca="1" si="11"/>
        <v>1.0667405882893277</v>
      </c>
      <c r="L53" s="4">
        <f t="shared" ca="1" si="12"/>
        <v>1.2370405454922295</v>
      </c>
      <c r="M53" s="4">
        <f t="shared" ca="1" si="13"/>
        <v>2.8271622247248329</v>
      </c>
      <c r="N53" s="4">
        <f t="shared" ca="1" si="14"/>
        <v>1.4619276099398171</v>
      </c>
      <c r="P53" s="4">
        <f t="shared" ca="1" si="3"/>
        <v>5.7709079096442171</v>
      </c>
      <c r="Q53" s="4">
        <f t="shared" ca="1" si="4"/>
        <v>21.494590808203913</v>
      </c>
      <c r="R53" s="4">
        <f t="shared" ca="1" si="5"/>
        <v>58.436816535891964</v>
      </c>
      <c r="S53" s="4">
        <f t="shared" ca="1" si="6"/>
        <v>14.297684746259909</v>
      </c>
      <c r="U53" s="4">
        <f t="shared" ca="1" si="15"/>
        <v>1.8356580176710786</v>
      </c>
      <c r="V53" s="4">
        <f t="shared" ca="1" si="16"/>
        <v>1.3839622761508443</v>
      </c>
      <c r="W53" s="4">
        <f t="shared" ca="1" si="17"/>
        <v>1.5146090326649519</v>
      </c>
      <c r="X53" s="4">
        <f t="shared" ca="1" si="18"/>
        <v>1.5027135543478423</v>
      </c>
      <c r="Y53" s="4">
        <f t="shared" ca="1" si="19"/>
        <v>1.6330901936261415</v>
      </c>
    </row>
    <row r="54" spans="1:25" x14ac:dyDescent="0.15">
      <c r="A54" s="8">
        <f t="shared" si="8"/>
        <v>39813</v>
      </c>
      <c r="B54" s="5" cm="1">
        <f t="array" aca="1" ref="B54" ca="1">OFFSET('Input IBGE'!$A$5,ROW()-2,COLUMN()-1,,)</f>
        <v>14868.77</v>
      </c>
      <c r="C54" s="5" cm="1">
        <f t="array" aca="1" ref="C54" ca="1">OFFSET('Input IBGE'!$A$5,ROW()-2,COLUMN()-1,,)</f>
        <v>53139.34</v>
      </c>
      <c r="D54" s="5" cm="1">
        <f t="array" aca="1" ref="D54" ca="1">OFFSET('Input IBGE'!$A$5,ROW()-2,COLUMN()-1,,)</f>
        <v>153392.12</v>
      </c>
      <c r="E54" s="5" cm="1">
        <f t="array" aca="1" ref="E54" ca="1">OFFSET('Input IBGE'!$A$5,ROW()-2,COLUMN()-1,,)</f>
        <v>220894.32</v>
      </c>
      <c r="F54" s="5">
        <f t="shared" ca="1" si="1"/>
        <v>36602.350000000006</v>
      </c>
      <c r="G54" s="5" cm="1">
        <f t="array" aca="1" ref="G54" ca="1">OFFSET('Input IBGE'!$A$5,ROW()-2,COLUMN()-2,,)</f>
        <v>257496.67</v>
      </c>
      <c r="I54" s="4">
        <f t="shared" ca="1" si="9"/>
        <v>-3.9619148749270083</v>
      </c>
      <c r="J54" s="4">
        <f t="shared" ca="1" si="10"/>
        <v>-7.8491030262945571</v>
      </c>
      <c r="K54" s="4">
        <f t="shared" ca="1" si="11"/>
        <v>-2.157150195277957</v>
      </c>
      <c r="L54" s="4">
        <f t="shared" ca="1" si="12"/>
        <v>-3.6488243022320566</v>
      </c>
      <c r="M54" s="4">
        <f t="shared" ca="1" si="13"/>
        <v>-4.5763893867600824</v>
      </c>
      <c r="N54" s="4">
        <f t="shared" ca="1" si="14"/>
        <v>-3.781772743807521</v>
      </c>
      <c r="P54" s="4">
        <f t="shared" ca="1" si="3"/>
        <v>5.7630315169716519</v>
      </c>
      <c r="Q54" s="4">
        <f t="shared" ca="1" si="4"/>
        <v>20.596437446478248</v>
      </c>
      <c r="R54" s="4">
        <f t="shared" ca="1" si="5"/>
        <v>59.453715540363973</v>
      </c>
      <c r="S54" s="4">
        <f t="shared" ca="1" si="6"/>
        <v>14.186815496186126</v>
      </c>
      <c r="U54" s="4">
        <f t="shared" ca="1" si="15"/>
        <v>1.762930809616178</v>
      </c>
      <c r="V54" s="4">
        <f t="shared" ca="1" si="16"/>
        <v>1.2753336512507134</v>
      </c>
      <c r="W54" s="4">
        <f t="shared" ca="1" si="17"/>
        <v>1.4819366409591224</v>
      </c>
      <c r="X54" s="4">
        <f t="shared" ca="1" si="18"/>
        <v>1.447882176983863</v>
      </c>
      <c r="Y54" s="4">
        <f t="shared" ca="1" si="19"/>
        <v>1.558353627328815</v>
      </c>
    </row>
    <row r="55" spans="1:25" x14ac:dyDescent="0.15">
      <c r="A55" s="8">
        <f t="shared" si="8"/>
        <v>39903</v>
      </c>
      <c r="B55" s="5" cm="1">
        <f t="array" aca="1" ref="B55" ca="1">OFFSET('Input IBGE'!$A$5,ROW()-2,COLUMN()-1,,)</f>
        <v>14466.75</v>
      </c>
      <c r="C55" s="5" cm="1">
        <f t="array" aca="1" ref="C55" ca="1">OFFSET('Input IBGE'!$A$5,ROW()-2,COLUMN()-1,,)</f>
        <v>49608.28</v>
      </c>
      <c r="D55" s="5" cm="1">
        <f t="array" aca="1" ref="D55" ca="1">OFFSET('Input IBGE'!$A$5,ROW()-2,COLUMN()-1,,)</f>
        <v>154610.03</v>
      </c>
      <c r="E55" s="5" cm="1">
        <f t="array" aca="1" ref="E55" ca="1">OFFSET('Input IBGE'!$A$5,ROW()-2,COLUMN()-1,,)</f>
        <v>218818.58</v>
      </c>
      <c r="F55" s="5">
        <f t="shared" ca="1" si="1"/>
        <v>35114.73000000001</v>
      </c>
      <c r="G55" s="5" cm="1">
        <f t="array" aca="1" ref="G55" ca="1">OFFSET('Input IBGE'!$A$5,ROW()-2,COLUMN()-2,,)</f>
        <v>253933.31</v>
      </c>
      <c r="I55" s="4">
        <f t="shared" ca="1" si="9"/>
        <v>-2.7037878721642761</v>
      </c>
      <c r="J55" s="4">
        <f t="shared" ca="1" si="10"/>
        <v>-6.6449075204923496</v>
      </c>
      <c r="K55" s="4">
        <f t="shared" ca="1" si="11"/>
        <v>0.79398472359597516</v>
      </c>
      <c r="L55" s="4">
        <f t="shared" ca="1" si="12"/>
        <v>-0.93969822311411599</v>
      </c>
      <c r="M55" s="4">
        <f t="shared" ca="1" si="13"/>
        <v>-4.0642745616060072</v>
      </c>
      <c r="N55" s="4">
        <f t="shared" ca="1" si="14"/>
        <v>-1.3838470221770316</v>
      </c>
      <c r="P55" s="4">
        <f t="shared" ca="1" si="3"/>
        <v>5.7000638180197072</v>
      </c>
      <c r="Q55" s="4">
        <f t="shared" ca="1" si="4"/>
        <v>19.546225786869247</v>
      </c>
      <c r="R55" s="4">
        <f t="shared" ca="1" si="5"/>
        <v>60.918107930664554</v>
      </c>
      <c r="S55" s="4">
        <f t="shared" ca="1" si="6"/>
        <v>13.83560246444649</v>
      </c>
      <c r="U55" s="4">
        <f t="shared" ca="1" si="15"/>
        <v>1.7152649001911282</v>
      </c>
      <c r="V55" s="4">
        <f t="shared" ca="1" si="16"/>
        <v>1.1905889095473852</v>
      </c>
      <c r="W55" s="4">
        <f t="shared" ca="1" si="17"/>
        <v>1.493702991501709</v>
      </c>
      <c r="X55" s="4">
        <f t="shared" ca="1" si="18"/>
        <v>1.4342764538939596</v>
      </c>
      <c r="Y55" s="4">
        <f t="shared" ca="1" si="19"/>
        <v>1.4950178572734254</v>
      </c>
    </row>
    <row r="56" spans="1:25" x14ac:dyDescent="0.15">
      <c r="A56" s="8">
        <f t="shared" si="8"/>
        <v>39994</v>
      </c>
      <c r="B56" s="5" cm="1">
        <f t="array" aca="1" ref="B56" ca="1">OFFSET('Input IBGE'!$A$5,ROW()-2,COLUMN()-1,,)</f>
        <v>14306.87</v>
      </c>
      <c r="C56" s="5" cm="1">
        <f t="array" aca="1" ref="C56" ca="1">OFFSET('Input IBGE'!$A$5,ROW()-2,COLUMN()-1,,)</f>
        <v>52106.14</v>
      </c>
      <c r="D56" s="5" cm="1">
        <f t="array" aca="1" ref="D56" ca="1">OFFSET('Input IBGE'!$A$5,ROW()-2,COLUMN()-1,,)</f>
        <v>156174.85</v>
      </c>
      <c r="E56" s="5" cm="1">
        <f t="array" aca="1" ref="E56" ca="1">OFFSET('Input IBGE'!$A$5,ROW()-2,COLUMN()-1,,)</f>
        <v>221852.6</v>
      </c>
      <c r="F56" s="5">
        <f t="shared" ca="1" si="1"/>
        <v>36663.109999999986</v>
      </c>
      <c r="G56" s="5" cm="1">
        <f t="array" aca="1" ref="G56" ca="1">OFFSET('Input IBGE'!$A$5,ROW()-2,COLUMN()-2,,)</f>
        <v>258515.71</v>
      </c>
      <c r="I56" s="4">
        <f t="shared" ca="1" si="9"/>
        <v>-1.1051549242227843</v>
      </c>
      <c r="J56" s="4">
        <f t="shared" ca="1" si="10"/>
        <v>5.0351675163904153</v>
      </c>
      <c r="K56" s="4">
        <f t="shared" ca="1" si="11"/>
        <v>1.0121076879682445</v>
      </c>
      <c r="L56" s="4">
        <f t="shared" ca="1" si="12"/>
        <v>1.3865458774113382</v>
      </c>
      <c r="M56" s="4">
        <f t="shared" ca="1" si="13"/>
        <v>4.4094885536638762</v>
      </c>
      <c r="N56" s="4">
        <f t="shared" ca="1" si="14"/>
        <v>1.804568293935116</v>
      </c>
      <c r="P56" s="4">
        <f t="shared" ca="1" si="3"/>
        <v>5.5185405863669486</v>
      </c>
      <c r="Q56" s="4">
        <f t="shared" ca="1" si="4"/>
        <v>20.098725185097667</v>
      </c>
      <c r="R56" s="4">
        <f t="shared" ca="1" si="5"/>
        <v>60.240796784675489</v>
      </c>
      <c r="S56" s="4">
        <f t="shared" ca="1" si="6"/>
        <v>14.141937443859899</v>
      </c>
      <c r="U56" s="4">
        <f t="shared" ca="1" si="15"/>
        <v>1.6963085656832009</v>
      </c>
      <c r="V56" s="4">
        <f t="shared" ca="1" si="16"/>
        <v>1.250537055574662</v>
      </c>
      <c r="W56" s="4">
        <f t="shared" ca="1" si="17"/>
        <v>1.5088208743141094</v>
      </c>
      <c r="X56" s="4">
        <f t="shared" ca="1" si="18"/>
        <v>1.4541633549361079</v>
      </c>
      <c r="Y56" s="4">
        <f t="shared" ca="1" si="19"/>
        <v>1.5609404985651281</v>
      </c>
    </row>
    <row r="57" spans="1:25" x14ac:dyDescent="0.15">
      <c r="A57" s="8">
        <f t="shared" si="8"/>
        <v>40086</v>
      </c>
      <c r="B57" s="5" cm="1">
        <f t="array" aca="1" ref="B57" ca="1">OFFSET('Input IBGE'!$A$5,ROW()-2,COLUMN()-1,,)</f>
        <v>14440.55</v>
      </c>
      <c r="C57" s="5" cm="1">
        <f t="array" aca="1" ref="C57" ca="1">OFFSET('Input IBGE'!$A$5,ROW()-2,COLUMN()-1,,)</f>
        <v>54118.400000000001</v>
      </c>
      <c r="D57" s="5" cm="1">
        <f t="array" aca="1" ref="D57" ca="1">OFFSET('Input IBGE'!$A$5,ROW()-2,COLUMN()-1,,)</f>
        <v>158989.62</v>
      </c>
      <c r="E57" s="5" cm="1">
        <f t="array" aca="1" ref="E57" ca="1">OFFSET('Input IBGE'!$A$5,ROW()-2,COLUMN()-1,,)</f>
        <v>226828.03</v>
      </c>
      <c r="F57" s="5">
        <f t="shared" ca="1" si="1"/>
        <v>37752.040000000008</v>
      </c>
      <c r="G57" s="5" cm="1">
        <f t="array" aca="1" ref="G57" ca="1">OFFSET('Input IBGE'!$A$5,ROW()-2,COLUMN()-2,,)</f>
        <v>264580.07</v>
      </c>
      <c r="I57" s="4">
        <f t="shared" ca="1" si="9"/>
        <v>0.93437628216372914</v>
      </c>
      <c r="J57" s="4">
        <f t="shared" ca="1" si="10"/>
        <v>3.8618481430403362</v>
      </c>
      <c r="K57" s="4">
        <f t="shared" ca="1" si="11"/>
        <v>1.8023196436558031</v>
      </c>
      <c r="L57" s="4">
        <f t="shared" ca="1" si="12"/>
        <v>2.2426737392304608</v>
      </c>
      <c r="M57" s="4">
        <f t="shared" ca="1" si="13"/>
        <v>2.9700971903366069</v>
      </c>
      <c r="N57" s="4">
        <f t="shared" ca="1" si="14"/>
        <v>2.3458380923929267</v>
      </c>
      <c r="P57" s="4">
        <f t="shared" ca="1" si="3"/>
        <v>5.443089633303142</v>
      </c>
      <c r="Q57" s="4">
        <f t="shared" ca="1" si="4"/>
        <v>20.398897688173427</v>
      </c>
      <c r="R57" s="4">
        <f t="shared" ca="1" si="5"/>
        <v>59.928101936893398</v>
      </c>
      <c r="S57" s="4">
        <f t="shared" ca="1" si="6"/>
        <v>14.229910741630036</v>
      </c>
      <c r="U57" s="4">
        <f t="shared" ca="1" si="15"/>
        <v>1.7121584705932564</v>
      </c>
      <c r="V57" s="4">
        <f t="shared" ca="1" si="16"/>
        <v>1.2988308976334033</v>
      </c>
      <c r="W57" s="4">
        <f t="shared" ca="1" si="17"/>
        <v>1.5360146493194518</v>
      </c>
      <c r="X57" s="4">
        <f t="shared" ca="1" si="18"/>
        <v>1.4867754946227727</v>
      </c>
      <c r="Y57" s="4">
        <f t="shared" ca="1" si="19"/>
        <v>1.6073019484558371</v>
      </c>
    </row>
    <row r="58" spans="1:25" x14ac:dyDescent="0.15">
      <c r="A58" s="8">
        <f t="shared" si="8"/>
        <v>40178</v>
      </c>
      <c r="B58" s="5" cm="1">
        <f t="array" aca="1" ref="B58" ca="1">OFFSET('Input IBGE'!$A$5,ROW()-2,COLUMN()-1,,)</f>
        <v>15061.39</v>
      </c>
      <c r="C58" s="5" cm="1">
        <f t="array" aca="1" ref="C58" ca="1">OFFSET('Input IBGE'!$A$5,ROW()-2,COLUMN()-1,,)</f>
        <v>56358.52</v>
      </c>
      <c r="D58" s="5" cm="1">
        <f t="array" aca="1" ref="D58" ca="1">OFFSET('Input IBGE'!$A$5,ROW()-2,COLUMN()-1,,)</f>
        <v>161267.78</v>
      </c>
      <c r="E58" s="5" cm="1">
        <f t="array" aca="1" ref="E58" ca="1">OFFSET('Input IBGE'!$A$5,ROW()-2,COLUMN()-1,,)</f>
        <v>232234.6</v>
      </c>
      <c r="F58" s="5">
        <f t="shared" ca="1" si="1"/>
        <v>39042.050000000017</v>
      </c>
      <c r="G58" s="5" cm="1">
        <f t="array" aca="1" ref="G58" ca="1">OFFSET('Input IBGE'!$A$5,ROW()-2,COLUMN()-2,,)</f>
        <v>271276.65000000002</v>
      </c>
      <c r="I58" s="4">
        <f t="shared" ca="1" si="9"/>
        <v>4.2992822295549793</v>
      </c>
      <c r="J58" s="4">
        <f t="shared" ca="1" si="10"/>
        <v>4.1392945837275263</v>
      </c>
      <c r="K58" s="4">
        <f t="shared" ca="1" si="11"/>
        <v>1.4328985753912837</v>
      </c>
      <c r="L58" s="4">
        <f t="shared" ca="1" si="12"/>
        <v>2.3835546250611017</v>
      </c>
      <c r="M58" s="4">
        <f t="shared" ca="1" si="13"/>
        <v>3.4170603760750762</v>
      </c>
      <c r="N58" s="4">
        <f t="shared" ca="1" si="14"/>
        <v>2.5310220834093844</v>
      </c>
      <c r="P58" s="4">
        <f t="shared" ca="1" si="3"/>
        <v>5.542783060845677</v>
      </c>
      <c r="Q58" s="4">
        <f t="shared" ca="1" si="4"/>
        <v>20.740652090566162</v>
      </c>
      <c r="R58" s="4">
        <f t="shared" ca="1" si="5"/>
        <v>59.348593937490982</v>
      </c>
      <c r="S58" s="4">
        <f t="shared" ca="1" si="6"/>
        <v>14.367970911097188</v>
      </c>
      <c r="U58" s="4">
        <f t="shared" ca="1" si="15"/>
        <v>1.7857689954612925</v>
      </c>
      <c r="V58" s="4">
        <f t="shared" ca="1" si="16"/>
        <v>1.3525933346309225</v>
      </c>
      <c r="W58" s="4">
        <f t="shared" ca="1" si="17"/>
        <v>1.5580241813473517</v>
      </c>
      <c r="X58" s="4">
        <f t="shared" ca="1" si="18"/>
        <v>1.5222136006891289</v>
      </c>
      <c r="Y58" s="4">
        <f t="shared" ca="1" si="19"/>
        <v>1.662224426460404</v>
      </c>
    </row>
    <row r="59" spans="1:25" x14ac:dyDescent="0.15">
      <c r="A59" s="8">
        <f t="shared" si="8"/>
        <v>40268</v>
      </c>
      <c r="B59" s="5" cm="1">
        <f t="array" aca="1" ref="B59" ca="1">OFFSET('Input IBGE'!$A$5,ROW()-2,COLUMN()-1,,)</f>
        <v>15350.96</v>
      </c>
      <c r="C59" s="5" cm="1">
        <f t="array" aca="1" ref="C59" ca="1">OFFSET('Input IBGE'!$A$5,ROW()-2,COLUMN()-1,,)</f>
        <v>56986.48</v>
      </c>
      <c r="D59" s="5" cm="1">
        <f t="array" aca="1" ref="D59" ca="1">OFFSET('Input IBGE'!$A$5,ROW()-2,COLUMN()-1,,)</f>
        <v>164217.44</v>
      </c>
      <c r="E59" s="5" cm="1">
        <f t="array" aca="1" ref="E59" ca="1">OFFSET('Input IBGE'!$A$5,ROW()-2,COLUMN()-1,,)</f>
        <v>237101.56</v>
      </c>
      <c r="F59" s="5">
        <f t="shared" ca="1" si="1"/>
        <v>40360.140000000014</v>
      </c>
      <c r="G59" s="5" cm="1">
        <f t="array" aca="1" ref="G59" ca="1">OFFSET('Input IBGE'!$A$5,ROW()-2,COLUMN()-2,,)</f>
        <v>277461.7</v>
      </c>
      <c r="I59" s="4">
        <f t="shared" ca="1" si="9"/>
        <v>1.9225981134543435</v>
      </c>
      <c r="J59" s="4">
        <f t="shared" ca="1" si="10"/>
        <v>1.1142237234051056</v>
      </c>
      <c r="K59" s="4">
        <f t="shared" ca="1" si="11"/>
        <v>1.8290448346222732</v>
      </c>
      <c r="L59" s="4">
        <f t="shared" ca="1" si="12"/>
        <v>2.0957083914283192</v>
      </c>
      <c r="M59" s="4">
        <f t="shared" ca="1" si="13"/>
        <v>3.3760778442730288</v>
      </c>
      <c r="N59" s="4">
        <f t="shared" ca="1" si="14"/>
        <v>2.2799787596905263</v>
      </c>
      <c r="P59" s="4">
        <f t="shared" ca="1" si="3"/>
        <v>5.5435635091227624</v>
      </c>
      <c r="Q59" s="4">
        <f t="shared" ca="1" si="4"/>
        <v>20.579049847133611</v>
      </c>
      <c r="R59" s="4">
        <f t="shared" ca="1" si="5"/>
        <v>59.30246759457107</v>
      </c>
      <c r="S59" s="4">
        <f t="shared" ca="1" si="6"/>
        <v>14.574919049172564</v>
      </c>
      <c r="U59" s="4">
        <f t="shared" ca="1" si="15"/>
        <v>1.8201021564786839</v>
      </c>
      <c r="V59" s="4">
        <f t="shared" ca="1" si="16"/>
        <v>1.3676642504465764</v>
      </c>
      <c r="W59" s="4">
        <f t="shared" ca="1" si="17"/>
        <v>1.5865211421584513</v>
      </c>
      <c r="X59" s="4">
        <f t="shared" ca="1" si="18"/>
        <v>1.5541147588542341</v>
      </c>
      <c r="Y59" s="4">
        <f t="shared" ca="1" si="19"/>
        <v>1.7183424170442281</v>
      </c>
    </row>
    <row r="60" spans="1:25" x14ac:dyDescent="0.15">
      <c r="A60" s="8">
        <f t="shared" si="8"/>
        <v>40359</v>
      </c>
      <c r="B60" s="5" cm="1">
        <f t="array" aca="1" ref="B60" ca="1">OFFSET('Input IBGE'!$A$5,ROW()-2,COLUMN()-1,,)</f>
        <v>15715.46</v>
      </c>
      <c r="C60" s="5" cm="1">
        <f t="array" aca="1" ref="C60" ca="1">OFFSET('Input IBGE'!$A$5,ROW()-2,COLUMN()-1,,)</f>
        <v>58510.38</v>
      </c>
      <c r="D60" s="5" cm="1">
        <f t="array" aca="1" ref="D60" ca="1">OFFSET('Input IBGE'!$A$5,ROW()-2,COLUMN()-1,,)</f>
        <v>165577.57999999999</v>
      </c>
      <c r="E60" s="5" cm="1">
        <f t="array" aca="1" ref="E60" ca="1">OFFSET('Input IBGE'!$A$5,ROW()-2,COLUMN()-1,,)</f>
        <v>239593.89</v>
      </c>
      <c r="F60" s="5">
        <f t="shared" ca="1" si="1"/>
        <v>40569.640000000014</v>
      </c>
      <c r="G60" s="5" cm="1">
        <f t="array" aca="1" ref="G60" ca="1">OFFSET('Input IBGE'!$A$5,ROW()-2,COLUMN()-2,,)</f>
        <v>280163.53000000003</v>
      </c>
      <c r="I60" s="4">
        <f t="shared" ca="1" si="9"/>
        <v>2.3744443344259958</v>
      </c>
      <c r="J60" s="4">
        <f t="shared" ca="1" si="10"/>
        <v>2.6741430598977045</v>
      </c>
      <c r="K60" s="4">
        <f t="shared" ca="1" si="11"/>
        <v>0.82825551293455035</v>
      </c>
      <c r="L60" s="4">
        <f t="shared" ca="1" si="12"/>
        <v>1.0511655849080093</v>
      </c>
      <c r="M60" s="4">
        <f t="shared" ca="1" si="13"/>
        <v>0.519076494779247</v>
      </c>
      <c r="N60" s="4">
        <f t="shared" ca="1" si="14"/>
        <v>0.97376682980030438</v>
      </c>
      <c r="P60" s="4">
        <f t="shared" ca="1" si="3"/>
        <v>5.6051961625699693</v>
      </c>
      <c r="Q60" s="4">
        <f t="shared" ca="1" si="4"/>
        <v>20.868759644739047</v>
      </c>
      <c r="R60" s="4">
        <f t="shared" ca="1" si="5"/>
        <v>59.056166095273198</v>
      </c>
      <c r="S60" s="4">
        <f t="shared" ca="1" si="6"/>
        <v>14.469878097417782</v>
      </c>
      <c r="U60" s="4">
        <f t="shared" ca="1" si="15"/>
        <v>1.8633194690139574</v>
      </c>
      <c r="V60" s="4">
        <f t="shared" ca="1" si="16"/>
        <v>1.4042375490825953</v>
      </c>
      <c r="W60" s="4">
        <f t="shared" ca="1" si="17"/>
        <v>1.5996615909822509</v>
      </c>
      <c r="X60" s="4">
        <f t="shared" ca="1" si="18"/>
        <v>1.570451078349286</v>
      </c>
      <c r="Y60" s="4">
        <f t="shared" ca="1" si="19"/>
        <v>1.7272619286309263</v>
      </c>
    </row>
    <row r="61" spans="1:25" x14ac:dyDescent="0.15">
      <c r="A61" s="8">
        <f t="shared" si="8"/>
        <v>40451</v>
      </c>
      <c r="B61" s="5" cm="1">
        <f t="array" aca="1" ref="B61" ca="1">OFFSET('Input IBGE'!$A$5,ROW()-2,COLUMN()-1,,)</f>
        <v>15360.19</v>
      </c>
      <c r="C61" s="5" cm="1">
        <f t="array" aca="1" ref="C61" ca="1">OFFSET('Input IBGE'!$A$5,ROW()-2,COLUMN()-1,,)</f>
        <v>58729.03</v>
      </c>
      <c r="D61" s="5" cm="1">
        <f t="array" aca="1" ref="D61" ca="1">OFFSET('Input IBGE'!$A$5,ROW()-2,COLUMN()-1,,)</f>
        <v>168086.09</v>
      </c>
      <c r="E61" s="5" cm="1">
        <f t="array" aca="1" ref="E61" ca="1">OFFSET('Input IBGE'!$A$5,ROW()-2,COLUMN()-1,,)</f>
        <v>241407.91</v>
      </c>
      <c r="F61" s="5">
        <f t="shared" ca="1" si="1"/>
        <v>41625.499999999971</v>
      </c>
      <c r="G61" s="5" cm="1">
        <f t="array" aca="1" ref="G61" ca="1">OFFSET('Input IBGE'!$A$5,ROW()-2,COLUMN()-2,,)</f>
        <v>283033.40999999997</v>
      </c>
      <c r="I61" s="4">
        <f t="shared" ca="1" si="9"/>
        <v>-2.2606401594353454</v>
      </c>
      <c r="J61" s="4">
        <f t="shared" ca="1" si="10"/>
        <v>0.37369437696355146</v>
      </c>
      <c r="K61" s="4">
        <f t="shared" ca="1" si="11"/>
        <v>1.515005835935046</v>
      </c>
      <c r="L61" s="4">
        <f t="shared" ca="1" si="12"/>
        <v>0.75712281310678087</v>
      </c>
      <c r="M61" s="4">
        <f t="shared" ca="1" si="13"/>
        <v>2.6025865647315571</v>
      </c>
      <c r="N61" s="4">
        <f t="shared" ca="1" si="14"/>
        <v>1.0243588806865489</v>
      </c>
      <c r="P61" s="4">
        <f t="shared" ca="1" si="3"/>
        <v>5.4123136575966795</v>
      </c>
      <c r="Q61" s="4">
        <f t="shared" ca="1" si="4"/>
        <v>20.693749957937051</v>
      </c>
      <c r="R61" s="4">
        <f t="shared" ca="1" si="5"/>
        <v>59.22678303842757</v>
      </c>
      <c r="S61" s="4">
        <f t="shared" ca="1" si="6"/>
        <v>14.667153346038717</v>
      </c>
      <c r="U61" s="4">
        <f t="shared" ca="1" si="15"/>
        <v>1.8211965207988505</v>
      </c>
      <c r="V61" s="4">
        <f t="shared" ca="1" si="16"/>
        <v>1.4094851058427278</v>
      </c>
      <c r="W61" s="4">
        <f t="shared" ca="1" si="17"/>
        <v>1.6238965574408435</v>
      </c>
      <c r="X61" s="4">
        <f t="shared" ca="1" si="18"/>
        <v>1.5823413217321498</v>
      </c>
      <c r="Y61" s="4">
        <f t="shared" ca="1" si="19"/>
        <v>1.7722154155231979</v>
      </c>
    </row>
    <row r="62" spans="1:25" x14ac:dyDescent="0.15">
      <c r="A62" s="8">
        <f t="shared" si="8"/>
        <v>40543</v>
      </c>
      <c r="B62" s="5" cm="1">
        <f t="array" aca="1" ref="B62" ca="1">OFFSET('Input IBGE'!$A$5,ROW()-2,COLUMN()-1,,)</f>
        <v>15627.94</v>
      </c>
      <c r="C62" s="5" cm="1">
        <f t="array" aca="1" ref="C62" ca="1">OFFSET('Input IBGE'!$A$5,ROW()-2,COLUMN()-1,,)</f>
        <v>59636.49</v>
      </c>
      <c r="D62" s="5" cm="1">
        <f t="array" aca="1" ref="D62" ca="1">OFFSET('Input IBGE'!$A$5,ROW()-2,COLUMN()-1,,)</f>
        <v>169830.97</v>
      </c>
      <c r="E62" s="5" cm="1">
        <f t="array" aca="1" ref="E62" ca="1">OFFSET('Input IBGE'!$A$5,ROW()-2,COLUMN()-1,,)</f>
        <v>244652.21</v>
      </c>
      <c r="F62" s="5">
        <f t="shared" ca="1" si="1"/>
        <v>42216.870000000024</v>
      </c>
      <c r="G62" s="5" cm="1">
        <f t="array" aca="1" ref="G62" ca="1">OFFSET('Input IBGE'!$A$5,ROW()-2,COLUMN()-2,,)</f>
        <v>286869.08</v>
      </c>
      <c r="I62" s="4">
        <f t="shared" ca="1" si="9"/>
        <v>1.743142500190431</v>
      </c>
      <c r="J62" s="4">
        <f t="shared" ca="1" si="10"/>
        <v>1.5451642909818153</v>
      </c>
      <c r="K62" s="4">
        <f t="shared" ca="1" si="11"/>
        <v>1.0380870897764405</v>
      </c>
      <c r="L62" s="4">
        <f t="shared" ca="1" si="12"/>
        <v>1.3439079108882535</v>
      </c>
      <c r="M62" s="4">
        <f t="shared" ca="1" si="13"/>
        <v>1.4206916433437522</v>
      </c>
      <c r="N62" s="4">
        <f t="shared" ca="1" si="14"/>
        <v>1.3552004337579859</v>
      </c>
      <c r="P62" s="4">
        <f t="shared" ca="1" si="3"/>
        <v>5.4393569756001021</v>
      </c>
      <c r="Q62" s="4">
        <f t="shared" ca="1" si="4"/>
        <v>20.756680527427523</v>
      </c>
      <c r="R62" s="4">
        <f t="shared" ca="1" si="5"/>
        <v>59.110239183310895</v>
      </c>
      <c r="S62" s="4">
        <f t="shared" ca="1" si="6"/>
        <v>14.693723313661483</v>
      </c>
      <c r="U62" s="4">
        <f t="shared" ca="1" si="15"/>
        <v>1.8529425713648848</v>
      </c>
      <c r="V62" s="4">
        <f t="shared" ca="1" si="16"/>
        <v>1.4312639663849169</v>
      </c>
      <c r="W62" s="4">
        <f t="shared" ca="1" si="17"/>
        <v>1.6407540179549609</v>
      </c>
      <c r="X62" s="4">
        <f t="shared" ca="1" si="18"/>
        <v>1.603606531932162</v>
      </c>
      <c r="Y62" s="4">
        <f t="shared" ca="1" si="19"/>
        <v>1.7973931318335858</v>
      </c>
    </row>
    <row r="63" spans="1:25" x14ac:dyDescent="0.15">
      <c r="A63" s="8">
        <f t="shared" si="8"/>
        <v>40633</v>
      </c>
      <c r="B63" s="5" cm="1">
        <f t="array" aca="1" ref="B63" ca="1">OFFSET('Input IBGE'!$A$5,ROW()-2,COLUMN()-1,,)</f>
        <v>15995.73</v>
      </c>
      <c r="C63" s="5" cm="1">
        <f t="array" aca="1" ref="C63" ca="1">OFFSET('Input IBGE'!$A$5,ROW()-2,COLUMN()-1,,)</f>
        <v>59694.76</v>
      </c>
      <c r="D63" s="5" cm="1">
        <f t="array" aca="1" ref="D63" ca="1">OFFSET('Input IBGE'!$A$5,ROW()-2,COLUMN()-1,,)</f>
        <v>171900.2</v>
      </c>
      <c r="E63" s="5" cm="1">
        <f t="array" aca="1" ref="E63" ca="1">OFFSET('Input IBGE'!$A$5,ROW()-2,COLUMN()-1,,)</f>
        <v>248237.67</v>
      </c>
      <c r="F63" s="5">
        <f t="shared" ca="1" si="1"/>
        <v>42789.139999999985</v>
      </c>
      <c r="G63" s="5" cm="1">
        <f t="array" aca="1" ref="G63" ca="1">OFFSET('Input IBGE'!$A$5,ROW()-2,COLUMN()-2,,)</f>
        <v>291026.81</v>
      </c>
      <c r="I63" s="4">
        <f t="shared" ca="1" si="9"/>
        <v>2.3534131817757098</v>
      </c>
      <c r="J63" s="4">
        <f t="shared" ca="1" si="10"/>
        <v>9.7708634428350649E-2</v>
      </c>
      <c r="K63" s="4">
        <f t="shared" ca="1" si="11"/>
        <v>1.2184055711393471</v>
      </c>
      <c r="L63" s="4">
        <f t="shared" ca="1" si="12"/>
        <v>1.4655334607441395</v>
      </c>
      <c r="M63" s="4">
        <f t="shared" ca="1" si="13"/>
        <v>1.3555481493534804</v>
      </c>
      <c r="N63" s="4">
        <f t="shared" ca="1" si="14"/>
        <v>1.4493475560349633</v>
      </c>
      <c r="P63" s="4">
        <f t="shared" ca="1" si="3"/>
        <v>5.5085540893112315</v>
      </c>
      <c r="Q63" s="4">
        <f t="shared" ca="1" si="4"/>
        <v>20.557474670330926</v>
      </c>
      <c r="R63" s="4">
        <f t="shared" ca="1" si="5"/>
        <v>59.198395425742909</v>
      </c>
      <c r="S63" s="4">
        <f t="shared" ca="1" si="6"/>
        <v>14.735575814614945</v>
      </c>
      <c r="U63" s="4">
        <f t="shared" ca="1" si="15"/>
        <v>1.8965499660901197</v>
      </c>
      <c r="V63" s="4">
        <f t="shared" ca="1" si="16"/>
        <v>1.4326624348615367</v>
      </c>
      <c r="W63" s="4">
        <f t="shared" ca="1" si="17"/>
        <v>1.6607450563184167</v>
      </c>
      <c r="X63" s="4">
        <f t="shared" ca="1" si="18"/>
        <v>1.6271079222363065</v>
      </c>
      <c r="Y63" s="4">
        <f t="shared" ca="1" si="19"/>
        <v>1.8217576611687625</v>
      </c>
    </row>
    <row r="64" spans="1:25" x14ac:dyDescent="0.15">
      <c r="A64" s="8">
        <f t="shared" si="8"/>
        <v>40724</v>
      </c>
      <c r="B64" s="5" cm="1">
        <f t="array" aca="1" ref="B64" ca="1">OFFSET('Input IBGE'!$A$5,ROW()-2,COLUMN()-1,,)</f>
        <v>15840.37</v>
      </c>
      <c r="C64" s="5" cm="1">
        <f t="array" aca="1" ref="C64" ca="1">OFFSET('Input IBGE'!$A$5,ROW()-2,COLUMN()-1,,)</f>
        <v>61811.47</v>
      </c>
      <c r="D64" s="5" cm="1">
        <f t="array" aca="1" ref="D64" ca="1">OFFSET('Input IBGE'!$A$5,ROW()-2,COLUMN()-1,,)</f>
        <v>172821.23</v>
      </c>
      <c r="E64" s="5" cm="1">
        <f t="array" aca="1" ref="E64" ca="1">OFFSET('Input IBGE'!$A$5,ROW()-2,COLUMN()-1,,)</f>
        <v>249996.74</v>
      </c>
      <c r="F64" s="5">
        <f t="shared" ca="1" si="1"/>
        <v>43843.660000000033</v>
      </c>
      <c r="G64" s="5" cm="1">
        <f t="array" aca="1" ref="G64" ca="1">OFFSET('Input IBGE'!$A$5,ROW()-2,COLUMN()-2,,)</f>
        <v>293840.40000000002</v>
      </c>
      <c r="I64" s="4">
        <f t="shared" ca="1" si="9"/>
        <v>-0.97125920480027883</v>
      </c>
      <c r="J64" s="4">
        <f t="shared" ca="1" si="10"/>
        <v>3.5458891199160458</v>
      </c>
      <c r="K64" s="4">
        <f t="shared" ca="1" si="11"/>
        <v>0.53579344293956943</v>
      </c>
      <c r="L64" s="4">
        <f t="shared" ca="1" si="12"/>
        <v>0.7086233124891983</v>
      </c>
      <c r="M64" s="4">
        <f t="shared" ca="1" si="13"/>
        <v>2.4644571029005302</v>
      </c>
      <c r="N64" s="4">
        <f t="shared" ca="1" si="14"/>
        <v>0.96678034576953564</v>
      </c>
      <c r="P64" s="4">
        <f t="shared" ca="1" si="3"/>
        <v>5.3820827650538243</v>
      </c>
      <c r="Q64" s="4">
        <f t="shared" ca="1" si="4"/>
        <v>21.001684138037273</v>
      </c>
      <c r="R64" s="4">
        <f t="shared" ca="1" si="5"/>
        <v>58.719472046322338</v>
      </c>
      <c r="S64" s="4">
        <f t="shared" ca="1" si="6"/>
        <v>14.896761050586566</v>
      </c>
      <c r="U64" s="4">
        <f t="shared" ca="1" si="15"/>
        <v>1.8781295499708328</v>
      </c>
      <c r="V64" s="4">
        <f t="shared" ca="1" si="16"/>
        <v>1.4834630562644162</v>
      </c>
      <c r="W64" s="4">
        <f t="shared" ca="1" si="17"/>
        <v>1.669643219434114</v>
      </c>
      <c r="X64" s="4">
        <f t="shared" ca="1" si="18"/>
        <v>1.6386379882926316</v>
      </c>
      <c r="Y64" s="4">
        <f t="shared" ca="1" si="19"/>
        <v>1.8666540972470707</v>
      </c>
    </row>
    <row r="65" spans="1:25" x14ac:dyDescent="0.15">
      <c r="A65" s="8">
        <f t="shared" si="8"/>
        <v>40816</v>
      </c>
      <c r="B65" s="5" cm="1">
        <f t="array" aca="1" ref="B65" ca="1">OFFSET('Input IBGE'!$A$5,ROW()-2,COLUMN()-1,,)</f>
        <v>16650.740000000002</v>
      </c>
      <c r="C65" s="5" cm="1">
        <f t="array" aca="1" ref="C65" ca="1">OFFSET('Input IBGE'!$A$5,ROW()-2,COLUMN()-1,,)</f>
        <v>61070.98</v>
      </c>
      <c r="D65" s="5" cm="1">
        <f t="array" aca="1" ref="D65" ca="1">OFFSET('Input IBGE'!$A$5,ROW()-2,COLUMN()-1,,)</f>
        <v>172809.52</v>
      </c>
      <c r="E65" s="5" cm="1">
        <f t="array" aca="1" ref="E65" ca="1">OFFSET('Input IBGE'!$A$5,ROW()-2,COLUMN()-1,,)</f>
        <v>249734.01</v>
      </c>
      <c r="F65" s="5">
        <f t="shared" ca="1" si="1"/>
        <v>43488.609999999986</v>
      </c>
      <c r="G65" s="5" cm="1">
        <f t="array" aca="1" ref="G65" ca="1">OFFSET('Input IBGE'!$A$5,ROW()-2,COLUMN()-2,,)</f>
        <v>293222.62</v>
      </c>
      <c r="I65" s="4">
        <f t="shared" ca="1" si="9"/>
        <v>5.1158527231371487</v>
      </c>
      <c r="J65" s="4">
        <f t="shared" ca="1" si="10"/>
        <v>-1.197981539672166</v>
      </c>
      <c r="K65" s="4">
        <f t="shared" ca="1" si="11"/>
        <v>-6.7757879052332548E-3</v>
      </c>
      <c r="L65" s="4">
        <f t="shared" ca="1" si="12"/>
        <v>-0.10509337041754163</v>
      </c>
      <c r="M65" s="4">
        <f t="shared" ca="1" si="13"/>
        <v>-0.80980921756999003</v>
      </c>
      <c r="N65" s="4">
        <f t="shared" ca="1" si="14"/>
        <v>-0.21024338382333863</v>
      </c>
      <c r="P65" s="4">
        <f t="shared" ca="1" si="3"/>
        <v>5.6631346489021084</v>
      </c>
      <c r="Q65" s="4">
        <f t="shared" ca="1" si="4"/>
        <v>20.77103977843673</v>
      </c>
      <c r="R65" s="4">
        <f t="shared" ca="1" si="5"/>
        <v>58.774780002098503</v>
      </c>
      <c r="S65" s="4">
        <f t="shared" ca="1" si="6"/>
        <v>14.791045570562666</v>
      </c>
      <c r="U65" s="4">
        <f t="shared" ca="1" si="15"/>
        <v>1.9742118916970592</v>
      </c>
      <c r="V65" s="4">
        <f t="shared" ca="1" si="16"/>
        <v>1.4656914427025121</v>
      </c>
      <c r="W65" s="4">
        <f t="shared" ca="1" si="17"/>
        <v>1.6695300879507911</v>
      </c>
      <c r="X65" s="4">
        <f t="shared" ca="1" si="18"/>
        <v>1.6369158884017927</v>
      </c>
      <c r="Y65" s="4">
        <f t="shared" ca="1" si="19"/>
        <v>1.8515377603074159</v>
      </c>
    </row>
    <row r="66" spans="1:25" x14ac:dyDescent="0.15">
      <c r="A66" s="8">
        <f t="shared" si="8"/>
        <v>40908</v>
      </c>
      <c r="B66" s="5" cm="1">
        <f t="array" aca="1" ref="B66" ca="1">OFFSET('Input IBGE'!$A$5,ROW()-2,COLUMN()-1,,)</f>
        <v>17463.72</v>
      </c>
      <c r="C66" s="5" cm="1">
        <f t="array" aca="1" ref="C66" ca="1">OFFSET('Input IBGE'!$A$5,ROW()-2,COLUMN()-1,,)</f>
        <v>60902.07</v>
      </c>
      <c r="D66" s="5" cm="1">
        <f t="array" aca="1" ref="D66" ca="1">OFFSET('Input IBGE'!$A$5,ROW()-2,COLUMN()-1,,)</f>
        <v>173724.08</v>
      </c>
      <c r="E66" s="5" cm="1">
        <f t="array" aca="1" ref="E66" ca="1">OFFSET('Input IBGE'!$A$5,ROW()-2,COLUMN()-1,,)</f>
        <v>251801.89</v>
      </c>
      <c r="F66" s="5">
        <f t="shared" ca="1" si="1"/>
        <v>43825.820000000007</v>
      </c>
      <c r="G66" s="5" cm="1">
        <f t="array" aca="1" ref="G66" ca="1">OFFSET('Input IBGE'!$A$5,ROW()-2,COLUMN()-2,,)</f>
        <v>295627.71000000002</v>
      </c>
      <c r="I66" s="4">
        <f t="shared" ca="1" si="9"/>
        <v>4.8825457607289513</v>
      </c>
      <c r="J66" s="4">
        <f t="shared" ca="1" si="10"/>
        <v>-0.27657980926456549</v>
      </c>
      <c r="K66" s="4">
        <f t="shared" ca="1" si="11"/>
        <v>0.52923010260081949</v>
      </c>
      <c r="L66" s="4">
        <f t="shared" ca="1" si="12"/>
        <v>0.82803299398428454</v>
      </c>
      <c r="M66" s="4">
        <f t="shared" ca="1" si="13"/>
        <v>0.77539843191130053</v>
      </c>
      <c r="N66" s="4">
        <f t="shared" ca="1" si="14"/>
        <v>0.82022662508098865</v>
      </c>
      <c r="P66" s="4">
        <f t="shared" ca="1" si="3"/>
        <v>5.9015863606285972</v>
      </c>
      <c r="Q66" s="4">
        <f t="shared" ca="1" si="4"/>
        <v>20.580885724579183</v>
      </c>
      <c r="R66" s="4">
        <f t="shared" ca="1" si="5"/>
        <v>58.707289228225775</v>
      </c>
      <c r="S66" s="4">
        <f t="shared" ca="1" si="6"/>
        <v>14.810238686566436</v>
      </c>
      <c r="U66" s="4">
        <f t="shared" ca="1" si="15"/>
        <v>2.0706036907229208</v>
      </c>
      <c r="V66" s="4">
        <f t="shared" ca="1" si="16"/>
        <v>1.4616376361058785</v>
      </c>
      <c r="W66" s="4">
        <f t="shared" ca="1" si="17"/>
        <v>1.6783657437482047</v>
      </c>
      <c r="X66" s="4">
        <f t="shared" ca="1" si="18"/>
        <v>1.6504700920415305</v>
      </c>
      <c r="Y66" s="4">
        <f t="shared" ca="1" si="19"/>
        <v>1.8658945550670851</v>
      </c>
    </row>
    <row r="67" spans="1:25" x14ac:dyDescent="0.15">
      <c r="A67" s="8">
        <f t="shared" si="8"/>
        <v>40999</v>
      </c>
      <c r="B67" s="5" cm="1">
        <f t="array" aca="1" ref="B67" ca="1">OFFSET('Input IBGE'!$A$5,ROW()-2,COLUMN()-1,,)</f>
        <v>14046.52</v>
      </c>
      <c r="C67" s="5" cm="1">
        <f t="array" aca="1" ref="C67" ca="1">OFFSET('Input IBGE'!$A$5,ROW()-2,COLUMN()-1,,)</f>
        <v>60994.31</v>
      </c>
      <c r="D67" s="5" cm="1">
        <f t="array" aca="1" ref="D67" ca="1">OFFSET('Input IBGE'!$A$5,ROW()-2,COLUMN()-1,,)</f>
        <v>173517.53</v>
      </c>
      <c r="E67" s="5" cm="1">
        <f t="array" aca="1" ref="E67" ca="1">OFFSET('Input IBGE'!$A$5,ROW()-2,COLUMN()-1,,)</f>
        <v>248211.21</v>
      </c>
      <c r="F67" s="5">
        <f t="shared" ca="1" si="1"/>
        <v>43609.790000000008</v>
      </c>
      <c r="G67" s="5" cm="1">
        <f t="array" aca="1" ref="G67" ca="1">OFFSET('Input IBGE'!$A$5,ROW()-2,COLUMN()-2,,)</f>
        <v>291821</v>
      </c>
      <c r="I67" s="4">
        <f t="shared" ca="1" si="9"/>
        <v>-19.567423206510416</v>
      </c>
      <c r="J67" s="4">
        <f t="shared" ca="1" si="10"/>
        <v>0.15145626413026747</v>
      </c>
      <c r="K67" s="4">
        <f t="shared" ca="1" si="11"/>
        <v>-0.11889543464554952</v>
      </c>
      <c r="L67" s="4">
        <f t="shared" ca="1" si="12"/>
        <v>-1.4259940622367906</v>
      </c>
      <c r="M67" s="4">
        <f t="shared" ca="1" si="13"/>
        <v>-0.49292859779919151</v>
      </c>
      <c r="N67" s="4">
        <f t="shared" ca="1" si="14"/>
        <v>-1.2876702255008587</v>
      </c>
      <c r="P67" s="4">
        <f t="shared" ca="1" si="3"/>
        <v>4.8076835206027759</v>
      </c>
      <c r="Q67" s="4">
        <f t="shared" ca="1" si="4"/>
        <v>20.876440501813761</v>
      </c>
      <c r="R67" s="4">
        <f t="shared" ca="1" si="5"/>
        <v>59.389611769797625</v>
      </c>
      <c r="S67" s="4">
        <f t="shared" ca="1" si="6"/>
        <v>14.926264207785826</v>
      </c>
      <c r="U67" s="4">
        <f t="shared" ca="1" si="15"/>
        <v>1.6654399036295429</v>
      </c>
      <c r="V67" s="4">
        <f t="shared" ca="1" si="16"/>
        <v>1.4638513778646465</v>
      </c>
      <c r="W67" s="4">
        <f t="shared" ca="1" si="17"/>
        <v>1.6763702435022332</v>
      </c>
      <c r="X67" s="4">
        <f t="shared" ca="1" si="18"/>
        <v>1.6269344865300241</v>
      </c>
      <c r="Y67" s="4">
        <f t="shared" ca="1" si="19"/>
        <v>1.8566970272003815</v>
      </c>
    </row>
    <row r="68" spans="1:25" x14ac:dyDescent="0.15">
      <c r="A68" s="8">
        <f t="shared" si="8"/>
        <v>41090</v>
      </c>
      <c r="B68" s="5" cm="1">
        <f t="array" aca="1" ref="B68" ca="1">OFFSET('Input IBGE'!$A$5,ROW()-2,COLUMN()-1,,)</f>
        <v>15792.66</v>
      </c>
      <c r="C68" s="5" cm="1">
        <f t="array" aca="1" ref="C68" ca="1">OFFSET('Input IBGE'!$A$5,ROW()-2,COLUMN()-1,,)</f>
        <v>59836.82</v>
      </c>
      <c r="D68" s="5" cm="1">
        <f t="array" aca="1" ref="D68" ca="1">OFFSET('Input IBGE'!$A$5,ROW()-2,COLUMN()-1,,)</f>
        <v>177043.18</v>
      </c>
      <c r="E68" s="5" cm="1">
        <f t="array" aca="1" ref="E68" ca="1">OFFSET('Input IBGE'!$A$5,ROW()-2,COLUMN()-1,,)</f>
        <v>252017.14</v>
      </c>
      <c r="F68" s="5">
        <f t="shared" ref="F68:F99" ca="1" si="22">G68-E68</f>
        <v>44817.01999999996</v>
      </c>
      <c r="G68" s="5" cm="1">
        <f t="array" aca="1" ref="G68" ca="1">OFFSET('Input IBGE'!$A$5,ROW()-2,COLUMN()-2,,)</f>
        <v>296834.15999999997</v>
      </c>
      <c r="I68" s="4">
        <f t="shared" ca="1" si="9"/>
        <v>12.431121729794992</v>
      </c>
      <c r="J68" s="4">
        <f t="shared" ca="1" si="10"/>
        <v>-1.8977016052808882</v>
      </c>
      <c r="K68" s="4">
        <f t="shared" ca="1" si="11"/>
        <v>2.0318696329990393</v>
      </c>
      <c r="L68" s="4">
        <f t="shared" ca="1" si="12"/>
        <v>1.5333433167664001</v>
      </c>
      <c r="M68" s="4">
        <f t="shared" ca="1" si="13"/>
        <v>2.768254559354566</v>
      </c>
      <c r="N68" s="4">
        <f t="shared" ca="1" si="14"/>
        <v>1.7178887057476944</v>
      </c>
      <c r="P68" s="4">
        <f t="shared" ref="P68:P99" ca="1" si="23">B68/$G68/(SUM($B68:$D68,$F68)/$G68)*100</f>
        <v>5.3086412947165114</v>
      </c>
      <c r="Q68" s="4">
        <f t="shared" ref="Q68:Q99" ca="1" si="24">C68/$G68/(SUM($B68:$D68,$F68)/$G68)*100</f>
        <v>20.113914539825391</v>
      </c>
      <c r="R68" s="4">
        <f t="shared" ref="R68:R99" ca="1" si="25">D68/$G68/(SUM($B68:$D68,$F68)/$G68)*100</f>
        <v>59.512377034389921</v>
      </c>
      <c r="S68" s="4">
        <f t="shared" ref="S68:S99" ca="1" si="26">F68/$G68/(SUM($B68:$D68,$F68)/$G68)*100</f>
        <v>15.065067131068202</v>
      </c>
      <c r="U68" s="4">
        <f t="shared" ca="1" si="15"/>
        <v>1.8724727653863118</v>
      </c>
      <c r="V68" s="4">
        <f t="shared" ca="1" si="16"/>
        <v>1.4360718467679827</v>
      </c>
      <c r="W68" s="4">
        <f t="shared" ca="1" si="17"/>
        <v>1.7104319014165872</v>
      </c>
      <c r="X68" s="4">
        <f t="shared" ca="1" si="18"/>
        <v>1.6518809777473999</v>
      </c>
      <c r="Y68" s="4">
        <f t="shared" ca="1" si="19"/>
        <v>1.9080951273092568</v>
      </c>
    </row>
    <row r="69" spans="1:25" x14ac:dyDescent="0.15">
      <c r="A69" s="8">
        <f t="shared" ref="A69:A105" si="27">EOMONTH(A68,3)</f>
        <v>41182</v>
      </c>
      <c r="B69" s="5" cm="1">
        <f t="array" aca="1" ref="B69" ca="1">OFFSET('Input IBGE'!$A$5,ROW()-2,COLUMN()-1,,)</f>
        <v>17576</v>
      </c>
      <c r="C69" s="5" cm="1">
        <f t="array" aca="1" ref="C69" ca="1">OFFSET('Input IBGE'!$A$5,ROW()-2,COLUMN()-1,,)</f>
        <v>60729.35</v>
      </c>
      <c r="D69" s="5" cm="1">
        <f t="array" aca="1" ref="D69" ca="1">OFFSET('Input IBGE'!$A$5,ROW()-2,COLUMN()-1,,)</f>
        <v>178860.76</v>
      </c>
      <c r="E69" s="5" cm="1">
        <f t="array" aca="1" ref="E69" ca="1">OFFSET('Input IBGE'!$A$5,ROW()-2,COLUMN()-1,,)</f>
        <v>256559.5</v>
      </c>
      <c r="F69" s="5">
        <f t="shared" ca="1" si="22"/>
        <v>45449.510000000009</v>
      </c>
      <c r="G69" s="5" cm="1">
        <f t="array" aca="1" ref="G69" ca="1">OFFSET('Input IBGE'!$A$5,ROW()-2,COLUMN()-2,,)</f>
        <v>302009.01</v>
      </c>
      <c r="I69" s="4">
        <f t="shared" ref="I69:I99" ca="1" si="28">100*(B69/B68-1)</f>
        <v>11.292207899112627</v>
      </c>
      <c r="J69" s="4">
        <f t="shared" ref="J69:J99" ca="1" si="29">100*(C69/C68-1)</f>
        <v>1.4916066729481869</v>
      </c>
      <c r="K69" s="4">
        <f t="shared" ref="K69:K99" ca="1" si="30">100*(D69/D68-1)</f>
        <v>1.0266309043929445</v>
      </c>
      <c r="L69" s="4">
        <f t="shared" ref="L69:L99" ca="1" si="31">100*(E69/E68-1)</f>
        <v>1.8024012176314663</v>
      </c>
      <c r="M69" s="4">
        <f t="shared" ref="M69:M99" ca="1" si="32">100*(F69/F68-1)</f>
        <v>1.4112718784070166</v>
      </c>
      <c r="N69" s="4">
        <f t="shared" ref="N69:N99" ca="1" si="33">100*(G69/G68-1)</f>
        <v>1.743347194271716</v>
      </c>
      <c r="P69" s="4">
        <f t="shared" ca="1" si="23"/>
        <v>5.8080280191749516</v>
      </c>
      <c r="Q69" s="4">
        <f t="shared" ca="1" si="24"/>
        <v>20.06814783718038</v>
      </c>
      <c r="R69" s="4">
        <f t="shared" ca="1" si="25"/>
        <v>59.104933182232969</v>
      </c>
      <c r="S69" s="4">
        <f t="shared" ca="1" si="26"/>
        <v>15.01889096141171</v>
      </c>
      <c r="U69" s="4">
        <f t="shared" ref="U69:U105" ca="1" si="34">B69/B68*U68</f>
        <v>2.0839162829079974</v>
      </c>
      <c r="V69" s="4">
        <f t="shared" ref="V69:V105" ca="1" si="35">C69/C68*V68</f>
        <v>1.4574923902627042</v>
      </c>
      <c r="W69" s="4">
        <f t="shared" ref="W69:W105" ca="1" si="36">D69/D68*W68</f>
        <v>1.7279917239151257</v>
      </c>
      <c r="X69" s="4">
        <f t="shared" ref="X69:X105" ca="1" si="37">E69/E68*X68</f>
        <v>1.6816545006041417</v>
      </c>
      <c r="Y69" s="4">
        <f t="shared" ref="Y69:Y105" ca="1" si="38">F69/F68*Y68</f>
        <v>1.9350235372542268</v>
      </c>
    </row>
    <row r="70" spans="1:25" x14ac:dyDescent="0.15">
      <c r="A70" s="8">
        <f t="shared" si="27"/>
        <v>41274</v>
      </c>
      <c r="B70" s="5" cm="1">
        <f t="array" aca="1" ref="B70" ca="1">OFFSET('Input IBGE'!$A$5,ROW()-2,COLUMN()-1,,)</f>
        <v>16652.55</v>
      </c>
      <c r="C70" s="5" cm="1">
        <f t="array" aca="1" ref="C70" ca="1">OFFSET('Input IBGE'!$A$5,ROW()-2,COLUMN()-1,,)</f>
        <v>60196.639999999999</v>
      </c>
      <c r="D70" s="5" cm="1">
        <f t="array" aca="1" ref="D70" ca="1">OFFSET('Input IBGE'!$A$5,ROW()-2,COLUMN()-1,,)</f>
        <v>179768.2</v>
      </c>
      <c r="E70" s="5" cm="1">
        <f t="array" aca="1" ref="E70" ca="1">OFFSET('Input IBGE'!$A$5,ROW()-2,COLUMN()-1,,)</f>
        <v>256022.66</v>
      </c>
      <c r="F70" s="5">
        <f t="shared" ca="1" si="22"/>
        <v>45906.99000000002</v>
      </c>
      <c r="G70" s="5" cm="1">
        <f t="array" aca="1" ref="G70" ca="1">OFFSET('Input IBGE'!$A$5,ROW()-2,COLUMN()-2,,)</f>
        <v>301929.65000000002</v>
      </c>
      <c r="I70" s="4">
        <f t="shared" ca="1" si="28"/>
        <v>-5.2540395994538081</v>
      </c>
      <c r="J70" s="4">
        <f t="shared" ca="1" si="29"/>
        <v>-0.8771870602929166</v>
      </c>
      <c r="K70" s="4">
        <f t="shared" ca="1" si="30"/>
        <v>0.50734437223682871</v>
      </c>
      <c r="L70" s="4">
        <f t="shared" ca="1" si="31"/>
        <v>-0.20924580847717644</v>
      </c>
      <c r="M70" s="4">
        <f t="shared" ca="1" si="32"/>
        <v>1.0065675075485059</v>
      </c>
      <c r="N70" s="4">
        <f t="shared" ca="1" si="33"/>
        <v>-2.6277361725068893E-2</v>
      </c>
      <c r="P70" s="4">
        <f t="shared" ca="1" si="23"/>
        <v>5.5045315686623342</v>
      </c>
      <c r="Q70" s="4">
        <f t="shared" ca="1" si="24"/>
        <v>19.898112013319391</v>
      </c>
      <c r="R70" s="4">
        <f t="shared" ca="1" si="25"/>
        <v>59.422714956064048</v>
      </c>
      <c r="S70" s="4">
        <f t="shared" ca="1" si="26"/>
        <v>15.174641461954247</v>
      </c>
      <c r="U70" s="4">
        <f t="shared" ca="1" si="34"/>
        <v>1.9744264961845452</v>
      </c>
      <c r="V70" s="4">
        <f t="shared" ca="1" si="35"/>
        <v>1.4447074556105657</v>
      </c>
      <c r="W70" s="4">
        <f t="shared" ca="1" si="36"/>
        <v>1.7367585926791271</v>
      </c>
      <c r="X70" s="4">
        <f t="shared" ca="1" si="37"/>
        <v>1.6781357090485598</v>
      </c>
      <c r="Y70" s="4">
        <f t="shared" ca="1" si="38"/>
        <v>1.9545008554436436</v>
      </c>
    </row>
    <row r="71" spans="1:25" x14ac:dyDescent="0.15">
      <c r="A71" s="8">
        <f t="shared" si="27"/>
        <v>41364</v>
      </c>
      <c r="B71" s="5" cm="1">
        <f t="array" aca="1" ref="B71" ca="1">OFFSET('Input IBGE'!$A$5,ROW()-2,COLUMN()-1,,)</f>
        <v>16803.64</v>
      </c>
      <c r="C71" s="5" cm="1">
        <f t="array" aca="1" ref="C71" ca="1">OFFSET('Input IBGE'!$A$5,ROW()-2,COLUMN()-1,,)</f>
        <v>60339.26</v>
      </c>
      <c r="D71" s="5" cm="1">
        <f t="array" aca="1" ref="D71" ca="1">OFFSET('Input IBGE'!$A$5,ROW()-2,COLUMN()-1,,)</f>
        <v>180404.88</v>
      </c>
      <c r="E71" s="5" cm="1">
        <f t="array" aca="1" ref="E71" ca="1">OFFSET('Input IBGE'!$A$5,ROW()-2,COLUMN()-1,,)</f>
        <v>257215.62</v>
      </c>
      <c r="F71" s="5">
        <f t="shared" ca="1" si="22"/>
        <v>46086.830000000016</v>
      </c>
      <c r="G71" s="5" cm="1">
        <f t="array" aca="1" ref="G71" ca="1">OFFSET('Input IBGE'!$A$5,ROW()-2,COLUMN()-2,,)</f>
        <v>303302.45</v>
      </c>
      <c r="I71" s="4">
        <f t="shared" ca="1" si="28"/>
        <v>0.90730849029128091</v>
      </c>
      <c r="J71" s="4">
        <f t="shared" ca="1" si="29"/>
        <v>0.2369235226417965</v>
      </c>
      <c r="K71" s="4">
        <f t="shared" ca="1" si="30"/>
        <v>0.35416719976057998</v>
      </c>
      <c r="L71" s="4">
        <f t="shared" ca="1" si="31"/>
        <v>0.46595875536954434</v>
      </c>
      <c r="M71" s="4">
        <f t="shared" ca="1" si="32"/>
        <v>0.39174862041706504</v>
      </c>
      <c r="N71" s="4">
        <f t="shared" ca="1" si="33"/>
        <v>0.45467545171531398</v>
      </c>
      <c r="P71" s="4">
        <f t="shared" ca="1" si="23"/>
        <v>5.5341648964194166</v>
      </c>
      <c r="Q71" s="4">
        <f t="shared" ca="1" si="24"/>
        <v>19.872326148853713</v>
      </c>
      <c r="R71" s="4">
        <f t="shared" ca="1" si="25"/>
        <v>59.415123987347819</v>
      </c>
      <c r="S71" s="4">
        <f t="shared" ca="1" si="26"/>
        <v>15.178384967379053</v>
      </c>
      <c r="U71" s="4">
        <f t="shared" ca="1" si="34"/>
        <v>1.9923406354189883</v>
      </c>
      <c r="V71" s="4">
        <f t="shared" ca="1" si="35"/>
        <v>1.4481303074062668</v>
      </c>
      <c r="W71" s="4">
        <f t="shared" ca="1" si="36"/>
        <v>1.7429096219534201</v>
      </c>
      <c r="X71" s="4">
        <f t="shared" ca="1" si="37"/>
        <v>1.6859551293118544</v>
      </c>
      <c r="Y71" s="4">
        <f t="shared" ca="1" si="38"/>
        <v>1.9621575855808837</v>
      </c>
    </row>
    <row r="72" spans="1:25" x14ac:dyDescent="0.15">
      <c r="A72" s="8">
        <f t="shared" si="27"/>
        <v>41455</v>
      </c>
      <c r="B72" s="5" cm="1">
        <f t="array" aca="1" ref="B72" ca="1">OFFSET('Input IBGE'!$A$5,ROW()-2,COLUMN()-1,,)</f>
        <v>17371.669999999998</v>
      </c>
      <c r="C72" s="5" cm="1">
        <f t="array" aca="1" ref="C72" ca="1">OFFSET('Input IBGE'!$A$5,ROW()-2,COLUMN()-1,,)</f>
        <v>62210.35</v>
      </c>
      <c r="D72" s="5" cm="1">
        <f t="array" aca="1" ref="D72" ca="1">OFFSET('Input IBGE'!$A$5,ROW()-2,COLUMN()-1,,)</f>
        <v>182548.77</v>
      </c>
      <c r="E72" s="5" cm="1">
        <f t="array" aca="1" ref="E72" ca="1">OFFSET('Input IBGE'!$A$5,ROW()-2,COLUMN()-1,,)</f>
        <v>261837.19</v>
      </c>
      <c r="F72" s="5">
        <f t="shared" ca="1" si="22"/>
        <v>46588.590000000026</v>
      </c>
      <c r="G72" s="5" cm="1">
        <f t="array" aca="1" ref="G72" ca="1">OFFSET('Input IBGE'!$A$5,ROW()-2,COLUMN()-2,,)</f>
        <v>308425.78000000003</v>
      </c>
      <c r="I72" s="4">
        <f t="shared" ca="1" si="28"/>
        <v>3.3803985326988695</v>
      </c>
      <c r="J72" s="4">
        <f t="shared" ca="1" si="29"/>
        <v>3.1009495310350133</v>
      </c>
      <c r="K72" s="4">
        <f t="shared" ca="1" si="30"/>
        <v>1.188376944127012</v>
      </c>
      <c r="L72" s="4">
        <f t="shared" ca="1" si="31"/>
        <v>1.7967687965450896</v>
      </c>
      <c r="M72" s="4">
        <f t="shared" ca="1" si="32"/>
        <v>1.0887275171670652</v>
      </c>
      <c r="N72" s="4">
        <f t="shared" ca="1" si="33"/>
        <v>1.689181871099299</v>
      </c>
      <c r="P72" s="4">
        <f t="shared" ca="1" si="23"/>
        <v>5.6270098754409261</v>
      </c>
      <c r="Q72" s="4">
        <f t="shared" ca="1" si="24"/>
        <v>20.151099681529551</v>
      </c>
      <c r="R72" s="4">
        <f t="shared" ca="1" si="25"/>
        <v>59.13097195258684</v>
      </c>
      <c r="S72" s="4">
        <f t="shared" ca="1" si="26"/>
        <v>15.090918490442688</v>
      </c>
      <c r="U72" s="4">
        <f t="shared" ca="1" si="34"/>
        <v>2.0596896890250553</v>
      </c>
      <c r="V72" s="4">
        <f t="shared" ca="1" si="35"/>
        <v>1.4930360973825574</v>
      </c>
      <c r="W72" s="4">
        <f t="shared" ca="1" si="36"/>
        <v>1.763621958057686</v>
      </c>
      <c r="X72" s="4">
        <f t="shared" ca="1" si="37"/>
        <v>1.7162478449990812</v>
      </c>
      <c r="Y72" s="4">
        <f t="shared" ca="1" si="38"/>
        <v>1.9835201351452838</v>
      </c>
    </row>
    <row r="73" spans="1:25" x14ac:dyDescent="0.15">
      <c r="A73" s="8">
        <f t="shared" si="27"/>
        <v>41547</v>
      </c>
      <c r="B73" s="5" cm="1">
        <f t="array" aca="1" ref="B73" ca="1">OFFSET('Input IBGE'!$A$5,ROW()-2,COLUMN()-1,,)</f>
        <v>17320.37</v>
      </c>
      <c r="C73" s="5" cm="1">
        <f t="array" aca="1" ref="C73" ca="1">OFFSET('Input IBGE'!$A$5,ROW()-2,COLUMN()-1,,)</f>
        <v>62475.21</v>
      </c>
      <c r="D73" s="5" cm="1">
        <f t="array" aca="1" ref="D73" ca="1">OFFSET('Input IBGE'!$A$5,ROW()-2,COLUMN()-1,,)</f>
        <v>183450.93</v>
      </c>
      <c r="E73" s="5" cm="1">
        <f t="array" aca="1" ref="E73" ca="1">OFFSET('Input IBGE'!$A$5,ROW()-2,COLUMN()-1,,)</f>
        <v>262311.94</v>
      </c>
      <c r="F73" s="5">
        <f t="shared" ca="1" si="22"/>
        <v>47108.02999999997</v>
      </c>
      <c r="G73" s="5" cm="1">
        <f t="array" aca="1" ref="G73" ca="1">OFFSET('Input IBGE'!$A$5,ROW()-2,COLUMN()-2,,)</f>
        <v>309419.96999999997</v>
      </c>
      <c r="I73" s="4">
        <f t="shared" ca="1" si="28"/>
        <v>-0.29530839579613444</v>
      </c>
      <c r="J73" s="4">
        <f t="shared" ca="1" si="29"/>
        <v>0.42574909159005525</v>
      </c>
      <c r="K73" s="4">
        <f t="shared" ca="1" si="30"/>
        <v>0.49420217950524314</v>
      </c>
      <c r="L73" s="4">
        <f t="shared" ca="1" si="31"/>
        <v>0.18131496140789682</v>
      </c>
      <c r="M73" s="4">
        <f t="shared" ca="1" si="32"/>
        <v>1.1149511071271823</v>
      </c>
      <c r="N73" s="4">
        <f t="shared" ca="1" si="33"/>
        <v>0.32234335275085346</v>
      </c>
      <c r="P73" s="4">
        <f t="shared" ca="1" si="23"/>
        <v>5.5808334558276478</v>
      </c>
      <c r="Q73" s="4">
        <f t="shared" ca="1" si="24"/>
        <v>20.130271011985197</v>
      </c>
      <c r="R73" s="4">
        <f t="shared" ca="1" si="25"/>
        <v>59.110116449400095</v>
      </c>
      <c r="S73" s="4">
        <f t="shared" ca="1" si="26"/>
        <v>15.178779082787051</v>
      </c>
      <c r="U73" s="4">
        <f t="shared" ca="1" si="34"/>
        <v>2.0536072524460169</v>
      </c>
      <c r="V73" s="4">
        <f t="shared" ca="1" si="35"/>
        <v>1.4993926850042751</v>
      </c>
      <c r="W73" s="4">
        <f t="shared" ca="1" si="36"/>
        <v>1.7723378162126402</v>
      </c>
      <c r="X73" s="4">
        <f t="shared" ca="1" si="37"/>
        <v>1.7193596591169051</v>
      </c>
      <c r="Y73" s="4">
        <f t="shared" ca="1" si="38"/>
        <v>2.0056354148521769</v>
      </c>
    </row>
    <row r="74" spans="1:25" x14ac:dyDescent="0.15">
      <c r="A74" s="8">
        <f t="shared" si="27"/>
        <v>41639</v>
      </c>
      <c r="B74" s="5" cm="1">
        <f t="array" aca="1" ref="B74" ca="1">OFFSET('Input IBGE'!$A$5,ROW()-2,COLUMN()-1,,)</f>
        <v>17532.93</v>
      </c>
      <c r="C74" s="5" cm="1">
        <f t="array" aca="1" ref="C74" ca="1">OFFSET('Input IBGE'!$A$5,ROW()-2,COLUMN()-1,,)</f>
        <v>61960.97</v>
      </c>
      <c r="D74" s="5" cm="1">
        <f t="array" aca="1" ref="D74" ca="1">OFFSET('Input IBGE'!$A$5,ROW()-2,COLUMN()-1,,)</f>
        <v>184059.55</v>
      </c>
      <c r="E74" s="5" cm="1">
        <f t="array" aca="1" ref="E74" ca="1">OFFSET('Input IBGE'!$A$5,ROW()-2,COLUMN()-1,,)</f>
        <v>262815.23</v>
      </c>
      <c r="F74" s="5">
        <f t="shared" ca="1" si="22"/>
        <v>46941.929999999993</v>
      </c>
      <c r="G74" s="5" cm="1">
        <f t="array" aca="1" ref="G74" ca="1">OFFSET('Input IBGE'!$A$5,ROW()-2,COLUMN()-2,,)</f>
        <v>309757.15999999997</v>
      </c>
      <c r="I74" s="4">
        <f t="shared" ca="1" si="28"/>
        <v>1.2272255153902734</v>
      </c>
      <c r="J74" s="4">
        <f t="shared" ca="1" si="29"/>
        <v>-0.82311047854020103</v>
      </c>
      <c r="K74" s="4">
        <f t="shared" ca="1" si="30"/>
        <v>0.33176174140954195</v>
      </c>
      <c r="L74" s="4">
        <f t="shared" ca="1" si="31"/>
        <v>0.19186698096929078</v>
      </c>
      <c r="M74" s="4">
        <f t="shared" ca="1" si="32"/>
        <v>-0.35259381468504269</v>
      </c>
      <c r="N74" s="4">
        <f t="shared" ca="1" si="33"/>
        <v>0.10897486674825707</v>
      </c>
      <c r="P74" s="4">
        <f t="shared" ca="1" si="23"/>
        <v>5.6467603479317479</v>
      </c>
      <c r="Q74" s="4">
        <f t="shared" ca="1" si="24"/>
        <v>19.955520755252468</v>
      </c>
      <c r="R74" s="4">
        <f t="shared" ca="1" si="25"/>
        <v>59.27932003368295</v>
      </c>
      <c r="S74" s="4">
        <f t="shared" ca="1" si="26"/>
        <v>15.118398863132843</v>
      </c>
      <c r="U74" s="4">
        <f t="shared" ca="1" si="34"/>
        <v>2.0788096446339397</v>
      </c>
      <c r="V74" s="4">
        <f t="shared" ca="1" si="35"/>
        <v>1.4870510266995396</v>
      </c>
      <c r="W74" s="4">
        <f t="shared" ca="1" si="36"/>
        <v>1.7782177550153671</v>
      </c>
      <c r="X74" s="4">
        <f t="shared" ca="1" si="37"/>
        <v>1.7226585425868566</v>
      </c>
      <c r="Y74" s="4">
        <f t="shared" ca="1" si="38"/>
        <v>1.9985636684342754</v>
      </c>
    </row>
    <row r="75" spans="1:25" x14ac:dyDescent="0.15">
      <c r="A75" s="8">
        <f t="shared" si="27"/>
        <v>41729</v>
      </c>
      <c r="B75" s="5" cm="1">
        <f t="array" aca="1" ref="B75" ca="1">OFFSET('Input IBGE'!$A$5,ROW()-2,COLUMN()-1,,)</f>
        <v>17675.080000000002</v>
      </c>
      <c r="C75" s="5" cm="1">
        <f t="array" aca="1" ref="C75" ca="1">OFFSET('Input IBGE'!$A$5,ROW()-2,COLUMN()-1,,)</f>
        <v>61923.62</v>
      </c>
      <c r="D75" s="5" cm="1">
        <f t="array" aca="1" ref="D75" ca="1">OFFSET('Input IBGE'!$A$5,ROW()-2,COLUMN()-1,,)</f>
        <v>185473.02</v>
      </c>
      <c r="E75" s="5" cm="1">
        <f t="array" aca="1" ref="E75" ca="1">OFFSET('Input IBGE'!$A$5,ROW()-2,COLUMN()-1,,)</f>
        <v>265269.26</v>
      </c>
      <c r="F75" s="5">
        <f t="shared" ca="1" si="22"/>
        <v>47289.02999999997</v>
      </c>
      <c r="G75" s="5" cm="1">
        <f t="array" aca="1" ref="G75" ca="1">OFFSET('Input IBGE'!$A$5,ROW()-2,COLUMN()-2,,)</f>
        <v>312558.28999999998</v>
      </c>
      <c r="I75" s="4">
        <f t="shared" ca="1" si="28"/>
        <v>0.81076009543186167</v>
      </c>
      <c r="J75" s="4">
        <f t="shared" ca="1" si="29"/>
        <v>-6.0279882642244598E-2</v>
      </c>
      <c r="K75" s="4">
        <f t="shared" ca="1" si="30"/>
        <v>0.76794167974441052</v>
      </c>
      <c r="L75" s="4">
        <f t="shared" ca="1" si="31"/>
        <v>0.93374725658024182</v>
      </c>
      <c r="M75" s="4">
        <f t="shared" ca="1" si="32"/>
        <v>0.73942422052091228</v>
      </c>
      <c r="N75" s="4">
        <f t="shared" ca="1" si="33"/>
        <v>0.90429870935024859</v>
      </c>
      <c r="P75" s="4">
        <f t="shared" ca="1" si="23"/>
        <v>5.6585470485648424</v>
      </c>
      <c r="Q75" s="4">
        <f t="shared" ca="1" si="24"/>
        <v>19.824392149141662</v>
      </c>
      <c r="R75" s="4">
        <f t="shared" ca="1" si="25"/>
        <v>59.377825158890808</v>
      </c>
      <c r="S75" s="4">
        <f t="shared" ca="1" si="26"/>
        <v>15.139235643402692</v>
      </c>
      <c r="U75" s="4">
        <f t="shared" ca="1" si="34"/>
        <v>2.0956638036926205</v>
      </c>
      <c r="V75" s="4">
        <f t="shared" ca="1" si="35"/>
        <v>1.4861546340858147</v>
      </c>
      <c r="W75" s="4">
        <f t="shared" ca="1" si="36"/>
        <v>1.7918734303127455</v>
      </c>
      <c r="X75" s="4">
        <f t="shared" ca="1" si="37"/>
        <v>1.7387438194685065</v>
      </c>
      <c r="Y75" s="4">
        <f t="shared" ca="1" si="38"/>
        <v>2.0133415322612098</v>
      </c>
    </row>
    <row r="76" spans="1:25" x14ac:dyDescent="0.15">
      <c r="A76" s="8">
        <f t="shared" si="27"/>
        <v>41820</v>
      </c>
      <c r="B76" s="5" cm="1">
        <f t="array" aca="1" ref="B76" ca="1">OFFSET('Input IBGE'!$A$5,ROW()-2,COLUMN()-1,,)</f>
        <v>17372.689999999999</v>
      </c>
      <c r="C76" s="5" cm="1">
        <f t="array" aca="1" ref="C76" ca="1">OFFSET('Input IBGE'!$A$5,ROW()-2,COLUMN()-1,,)</f>
        <v>60552.15</v>
      </c>
      <c r="D76" s="5" cm="1">
        <f t="array" aca="1" ref="D76" ca="1">OFFSET('Input IBGE'!$A$5,ROW()-2,COLUMN()-1,,)</f>
        <v>183776.69</v>
      </c>
      <c r="E76" s="5" cm="1">
        <f t="array" aca="1" ref="E76" ca="1">OFFSET('Input IBGE'!$A$5,ROW()-2,COLUMN()-1,,)</f>
        <v>260835.41</v>
      </c>
      <c r="F76" s="5">
        <f t="shared" ca="1" si="22"/>
        <v>46976.689999999973</v>
      </c>
      <c r="G76" s="5" cm="1">
        <f t="array" aca="1" ref="G76" ca="1">OFFSET('Input IBGE'!$A$5,ROW()-2,COLUMN()-2,,)</f>
        <v>307812.09999999998</v>
      </c>
      <c r="I76" s="4">
        <f t="shared" ca="1" si="28"/>
        <v>-1.7108267685351564</v>
      </c>
      <c r="J76" s="4">
        <f t="shared" ca="1" si="29"/>
        <v>-2.2147768492862707</v>
      </c>
      <c r="K76" s="4">
        <f t="shared" ca="1" si="30"/>
        <v>-0.91459663513323575</v>
      </c>
      <c r="L76" s="4">
        <f t="shared" ca="1" si="31"/>
        <v>-1.6714526213855385</v>
      </c>
      <c r="M76" s="4">
        <f t="shared" ca="1" si="32"/>
        <v>-0.66049145013123978</v>
      </c>
      <c r="N76" s="4">
        <f t="shared" ca="1" si="33"/>
        <v>-1.5184975576875592</v>
      </c>
      <c r="P76" s="4">
        <f t="shared" ca="1" si="23"/>
        <v>5.6280906375577784</v>
      </c>
      <c r="Q76" s="4">
        <f t="shared" ca="1" si="24"/>
        <v>19.616592968561246</v>
      </c>
      <c r="R76" s="4">
        <f t="shared" ca="1" si="25"/>
        <v>59.536656003782852</v>
      </c>
      <c r="S76" s="4">
        <f t="shared" ca="1" si="26"/>
        <v>15.218660390098135</v>
      </c>
      <c r="U76" s="4">
        <f t="shared" ca="1" si="34"/>
        <v>2.0598106263605449</v>
      </c>
      <c r="V76" s="4">
        <f t="shared" ca="1" si="35"/>
        <v>1.4532396253054871</v>
      </c>
      <c r="W76" s="4">
        <f t="shared" ca="1" si="36"/>
        <v>1.7754850162132587</v>
      </c>
      <c r="X76" s="4">
        <f t="shared" ca="1" si="37"/>
        <v>1.7096815403188212</v>
      </c>
      <c r="Y76" s="4">
        <f t="shared" ca="1" si="38"/>
        <v>2.0000435835786834</v>
      </c>
    </row>
    <row r="77" spans="1:25" x14ac:dyDescent="0.15">
      <c r="A77" s="8">
        <f t="shared" si="27"/>
        <v>41912</v>
      </c>
      <c r="B77" s="5" cm="1">
        <f t="array" aca="1" ref="B77" ca="1">OFFSET('Input IBGE'!$A$5,ROW()-2,COLUMN()-1,,)</f>
        <v>17750.169999999998</v>
      </c>
      <c r="C77" s="5" cm="1">
        <f t="array" aca="1" ref="C77" ca="1">OFFSET('Input IBGE'!$A$5,ROW()-2,COLUMN()-1,,)</f>
        <v>60154.36</v>
      </c>
      <c r="D77" s="5" cm="1">
        <f t="array" aca="1" ref="D77" ca="1">OFFSET('Input IBGE'!$A$5,ROW()-2,COLUMN()-1,,)</f>
        <v>184151.58</v>
      </c>
      <c r="E77" s="5" cm="1">
        <f t="array" aca="1" ref="E77" ca="1">OFFSET('Input IBGE'!$A$5,ROW()-2,COLUMN()-1,,)</f>
        <v>260957.11</v>
      </c>
      <c r="F77" s="5">
        <f t="shared" ca="1" si="22"/>
        <v>46770.130000000005</v>
      </c>
      <c r="G77" s="5" cm="1">
        <f t="array" aca="1" ref="G77" ca="1">OFFSET('Input IBGE'!$A$5,ROW()-2,COLUMN()-2,,)</f>
        <v>307727.24</v>
      </c>
      <c r="I77" s="4">
        <f t="shared" ca="1" si="28"/>
        <v>2.1728356403067028</v>
      </c>
      <c r="J77" s="4">
        <f t="shared" ca="1" si="29"/>
        <v>-0.65693786265227372</v>
      </c>
      <c r="K77" s="4">
        <f t="shared" ca="1" si="30"/>
        <v>0.20399213850244013</v>
      </c>
      <c r="L77" s="4">
        <f t="shared" ca="1" si="31"/>
        <v>4.6657775491443232E-2</v>
      </c>
      <c r="M77" s="4">
        <f t="shared" ca="1" si="32"/>
        <v>-0.43970743788029898</v>
      </c>
      <c r="N77" s="4">
        <f t="shared" ca="1" si="33"/>
        <v>-2.7568766789864974E-2</v>
      </c>
      <c r="P77" s="4">
        <f t="shared" ca="1" si="23"/>
        <v>5.7476236475242501</v>
      </c>
      <c r="Q77" s="4">
        <f t="shared" ca="1" si="24"/>
        <v>19.478383702110285</v>
      </c>
      <c r="R77" s="4">
        <f t="shared" ca="1" si="25"/>
        <v>59.629512051825643</v>
      </c>
      <c r="S77" s="4">
        <f t="shared" ca="1" si="26"/>
        <v>15.144480598539815</v>
      </c>
      <c r="U77" s="4">
        <f t="shared" ca="1" si="34"/>
        <v>2.1045669257729314</v>
      </c>
      <c r="V77" s="4">
        <f t="shared" ca="1" si="35"/>
        <v>1.4436927439717893</v>
      </c>
      <c r="W77" s="4">
        <f t="shared" ca="1" si="36"/>
        <v>1.7791068660666225</v>
      </c>
      <c r="X77" s="4">
        <f t="shared" ca="1" si="37"/>
        <v>1.7104792396935218</v>
      </c>
      <c r="Y77" s="4">
        <f t="shared" ca="1" si="38"/>
        <v>1.9912492431808402</v>
      </c>
    </row>
    <row r="78" spans="1:25" x14ac:dyDescent="0.15">
      <c r="A78" s="8">
        <f t="shared" si="27"/>
        <v>42004</v>
      </c>
      <c r="B78" s="5" cm="1">
        <f t="array" aca="1" ref="B78" ca="1">OFFSET('Input IBGE'!$A$5,ROW()-2,COLUMN()-1,,)</f>
        <v>18216.009999999998</v>
      </c>
      <c r="C78" s="5" cm="1">
        <f t="array" aca="1" ref="C78" ca="1">OFFSET('Input IBGE'!$A$5,ROW()-2,COLUMN()-1,,)</f>
        <v>60616.12</v>
      </c>
      <c r="D78" s="5" cm="1">
        <f t="array" aca="1" ref="D78" ca="1">OFFSET('Input IBGE'!$A$5,ROW()-2,COLUMN()-1,,)</f>
        <v>184398.77</v>
      </c>
      <c r="E78" s="5" cm="1">
        <f t="array" aca="1" ref="E78" ca="1">OFFSET('Input IBGE'!$A$5,ROW()-2,COLUMN()-1,,)</f>
        <v>262094.65</v>
      </c>
      <c r="F78" s="5">
        <f t="shared" ca="1" si="22"/>
        <v>47164.110000000015</v>
      </c>
      <c r="G78" s="5" cm="1">
        <f t="array" aca="1" ref="G78" ca="1">OFFSET('Input IBGE'!$A$5,ROW()-2,COLUMN()-2,,)</f>
        <v>309258.76</v>
      </c>
      <c r="I78" s="4">
        <f t="shared" ca="1" si="28"/>
        <v>2.6244255688818718</v>
      </c>
      <c r="J78" s="4">
        <f t="shared" ca="1" si="29"/>
        <v>0.76762515634776207</v>
      </c>
      <c r="K78" s="4">
        <f t="shared" ca="1" si="30"/>
        <v>0.13423181055520761</v>
      </c>
      <c r="L78" s="4">
        <f t="shared" ca="1" si="31"/>
        <v>0.43591071345019383</v>
      </c>
      <c r="M78" s="4">
        <f t="shared" ca="1" si="32"/>
        <v>0.84237525104164934</v>
      </c>
      <c r="N78" s="4">
        <f t="shared" ca="1" si="33"/>
        <v>0.49768749753840158</v>
      </c>
      <c r="P78" s="4">
        <f t="shared" ca="1" si="23"/>
        <v>5.8686542673479183</v>
      </c>
      <c r="Q78" s="4">
        <f t="shared" ca="1" si="24"/>
        <v>19.528703119293059</v>
      </c>
      <c r="R78" s="4">
        <f t="shared" ca="1" si="25"/>
        <v>59.407775273191412</v>
      </c>
      <c r="S78" s="4">
        <f t="shared" ca="1" si="26"/>
        <v>15.194867340167621</v>
      </c>
      <c r="U78" s="4">
        <f t="shared" ca="1" si="34"/>
        <v>2.1597997182871471</v>
      </c>
      <c r="V78" s="4">
        <f t="shared" ca="1" si="35"/>
        <v>1.454774892654884</v>
      </c>
      <c r="W78" s="4">
        <f t="shared" ca="1" si="36"/>
        <v>1.7814949934246558</v>
      </c>
      <c r="X78" s="4">
        <f t="shared" ca="1" si="37"/>
        <v>1.7179354019506872</v>
      </c>
      <c r="Y78" s="4">
        <f t="shared" ca="1" si="38"/>
        <v>2.0080230339919498</v>
      </c>
    </row>
    <row r="79" spans="1:25" x14ac:dyDescent="0.15">
      <c r="A79" s="8">
        <f t="shared" si="27"/>
        <v>42094</v>
      </c>
      <c r="B79" s="5" cm="1">
        <f t="array" aca="1" ref="B79" ca="1">OFFSET('Input IBGE'!$A$5,ROW()-2,COLUMN()-1,,)</f>
        <v>18648.16</v>
      </c>
      <c r="C79" s="5" cm="1">
        <f t="array" aca="1" ref="C79" ca="1">OFFSET('Input IBGE'!$A$5,ROW()-2,COLUMN()-1,,)</f>
        <v>59498.89</v>
      </c>
      <c r="D79" s="5" cm="1">
        <f t="array" aca="1" ref="D79" ca="1">OFFSET('Input IBGE'!$A$5,ROW()-2,COLUMN()-1,,)</f>
        <v>183209.32</v>
      </c>
      <c r="E79" s="5" cm="1">
        <f t="array" aca="1" ref="E79" ca="1">OFFSET('Input IBGE'!$A$5,ROW()-2,COLUMN()-1,,)</f>
        <v>260805.74</v>
      </c>
      <c r="F79" s="5">
        <f t="shared" ca="1" si="22"/>
        <v>46414.840000000026</v>
      </c>
      <c r="G79" s="5" cm="1">
        <f t="array" aca="1" ref="G79" ca="1">OFFSET('Input IBGE'!$A$5,ROW()-2,COLUMN()-2,,)</f>
        <v>307220.58</v>
      </c>
      <c r="I79" s="4">
        <f t="shared" ca="1" si="28"/>
        <v>2.3723636515351032</v>
      </c>
      <c r="J79" s="4">
        <f t="shared" ca="1" si="29"/>
        <v>-1.8431235783484712</v>
      </c>
      <c r="K79" s="4">
        <f t="shared" ca="1" si="30"/>
        <v>-0.64504226356822958</v>
      </c>
      <c r="L79" s="4">
        <f t="shared" ca="1" si="31"/>
        <v>-0.49177272409032247</v>
      </c>
      <c r="M79" s="4">
        <f t="shared" ca="1" si="32"/>
        <v>-1.5886444162732882</v>
      </c>
      <c r="N79" s="4">
        <f t="shared" ca="1" si="33"/>
        <v>-0.65905327952553439</v>
      </c>
      <c r="P79" s="4">
        <f t="shared" ca="1" si="23"/>
        <v>6.0590982502879323</v>
      </c>
      <c r="Q79" s="4">
        <f t="shared" ca="1" si="24"/>
        <v>19.332181850277678</v>
      </c>
      <c r="R79" s="4">
        <f t="shared" ca="1" si="25"/>
        <v>59.527764146620477</v>
      </c>
      <c r="S79" s="4">
        <f t="shared" ca="1" si="26"/>
        <v>15.080955752813926</v>
      </c>
      <c r="U79" s="4">
        <f t="shared" ca="1" si="34"/>
        <v>2.2110380217497489</v>
      </c>
      <c r="V79" s="4">
        <f t="shared" ca="1" si="35"/>
        <v>1.4279615935964682</v>
      </c>
      <c r="W79" s="4">
        <f t="shared" ca="1" si="36"/>
        <v>1.7700035977937147</v>
      </c>
      <c r="X79" s="4">
        <f t="shared" ca="1" si="37"/>
        <v>1.7094870642264022</v>
      </c>
      <c r="Y79" s="4">
        <f t="shared" ca="1" si="38"/>
        <v>1.9761226881849552</v>
      </c>
    </row>
    <row r="80" spans="1:25" x14ac:dyDescent="0.15">
      <c r="A80" s="8">
        <f t="shared" si="27"/>
        <v>42185</v>
      </c>
      <c r="B80" s="5" cm="1">
        <f t="array" aca="1" ref="B80" ca="1">OFFSET('Input IBGE'!$A$5,ROW()-2,COLUMN()-1,,)</f>
        <v>18100.25</v>
      </c>
      <c r="C80" s="5" cm="1">
        <f t="array" aca="1" ref="C80" ca="1">OFFSET('Input IBGE'!$A$5,ROW()-2,COLUMN()-1,,)</f>
        <v>57564.49</v>
      </c>
      <c r="D80" s="5" cm="1">
        <f t="array" aca="1" ref="D80" ca="1">OFFSET('Input IBGE'!$A$5,ROW()-2,COLUMN()-1,,)</f>
        <v>179759.62</v>
      </c>
      <c r="E80" s="5" cm="1">
        <f t="array" aca="1" ref="E80" ca="1">OFFSET('Input IBGE'!$A$5,ROW()-2,COLUMN()-1,,)</f>
        <v>254433.95</v>
      </c>
      <c r="F80" s="5">
        <f t="shared" ca="1" si="22"/>
        <v>44780.31</v>
      </c>
      <c r="G80" s="5" cm="1">
        <f t="array" aca="1" ref="G80" ca="1">OFFSET('Input IBGE'!$A$5,ROW()-2,COLUMN()-2,,)</f>
        <v>299214.26</v>
      </c>
      <c r="I80" s="4">
        <f t="shared" ca="1" si="28"/>
        <v>-2.9381451038601125</v>
      </c>
      <c r="J80" s="4">
        <f t="shared" ca="1" si="29"/>
        <v>-3.2511530887383011</v>
      </c>
      <c r="K80" s="4">
        <f t="shared" ca="1" si="30"/>
        <v>-1.8829282265771297</v>
      </c>
      <c r="L80" s="4">
        <f t="shared" ca="1" si="31"/>
        <v>-2.4431172412079483</v>
      </c>
      <c r="M80" s="4">
        <f t="shared" ca="1" si="32"/>
        <v>-3.521567671029413</v>
      </c>
      <c r="N80" s="4">
        <f t="shared" ca="1" si="33"/>
        <v>-2.6060493733850776</v>
      </c>
      <c r="P80" s="4">
        <f t="shared" ca="1" si="23"/>
        <v>6.0293032749956881</v>
      </c>
      <c r="Q80" s="4">
        <f t="shared" ca="1" si="24"/>
        <v>19.175081453596309</v>
      </c>
      <c r="R80" s="4">
        <f t="shared" ca="1" si="25"/>
        <v>59.87902186864715</v>
      </c>
      <c r="S80" s="4">
        <f t="shared" ca="1" si="26"/>
        <v>14.916593402760855</v>
      </c>
      <c r="U80" s="4">
        <f t="shared" ca="1" si="34"/>
        <v>2.1460745163692234</v>
      </c>
      <c r="V80" s="4">
        <f t="shared" ca="1" si="35"/>
        <v>1.3815363761402599</v>
      </c>
      <c r="W80" s="4">
        <f t="shared" ca="1" si="36"/>
        <v>1.7366757004394262</v>
      </c>
      <c r="X80" s="4">
        <f t="shared" ca="1" si="37"/>
        <v>1.6677222910240674</v>
      </c>
      <c r="Y80" s="4">
        <f t="shared" ca="1" si="38"/>
        <v>1.9065321904579564</v>
      </c>
    </row>
    <row r="81" spans="1:25" x14ac:dyDescent="0.15">
      <c r="A81" s="8">
        <f t="shared" si="27"/>
        <v>42277</v>
      </c>
      <c r="B81" s="5" cm="1">
        <f t="array" aca="1" ref="B81" ca="1">OFFSET('Input IBGE'!$A$5,ROW()-2,COLUMN()-1,,)</f>
        <v>17964.38</v>
      </c>
      <c r="C81" s="5" cm="1">
        <f t="array" aca="1" ref="C81" ca="1">OFFSET('Input IBGE'!$A$5,ROW()-2,COLUMN()-1,,)</f>
        <v>56559.15</v>
      </c>
      <c r="D81" s="5" cm="1">
        <f t="array" aca="1" ref="D81" ca="1">OFFSET('Input IBGE'!$A$5,ROW()-2,COLUMN()-1,,)</f>
        <v>177814.89</v>
      </c>
      <c r="E81" s="5" cm="1">
        <f t="array" aca="1" ref="E81" ca="1">OFFSET('Input IBGE'!$A$5,ROW()-2,COLUMN()-1,,)</f>
        <v>251158.18</v>
      </c>
      <c r="F81" s="5">
        <f t="shared" ca="1" si="22"/>
        <v>43585.69</v>
      </c>
      <c r="G81" s="5" cm="1">
        <f t="array" aca="1" ref="G81" ca="1">OFFSET('Input IBGE'!$A$5,ROW()-2,COLUMN()-2,,)</f>
        <v>294743.87</v>
      </c>
      <c r="I81" s="4">
        <f t="shared" ca="1" si="28"/>
        <v>-0.75065261529536631</v>
      </c>
      <c r="J81" s="4">
        <f t="shared" ca="1" si="29"/>
        <v>-1.7464586240579894</v>
      </c>
      <c r="K81" s="4">
        <f t="shared" ca="1" si="30"/>
        <v>-1.0818503065371354</v>
      </c>
      <c r="L81" s="4">
        <f t="shared" ca="1" si="31"/>
        <v>-1.2874736252768249</v>
      </c>
      <c r="M81" s="4">
        <f t="shared" ca="1" si="32"/>
        <v>-2.667734993348625</v>
      </c>
      <c r="N81" s="4">
        <f t="shared" ca="1" si="33"/>
        <v>-1.4940430980796227</v>
      </c>
      <c r="P81" s="4">
        <f t="shared" ca="1" si="23"/>
        <v>6.0706037098497996</v>
      </c>
      <c r="Q81" s="4">
        <f t="shared" ca="1" si="24"/>
        <v>19.112721163544265</v>
      </c>
      <c r="R81" s="4">
        <f t="shared" ca="1" si="25"/>
        <v>60.088003643907214</v>
      </c>
      <c r="S81" s="4">
        <f t="shared" ca="1" si="26"/>
        <v>14.728671482698724</v>
      </c>
      <c r="U81" s="4">
        <f t="shared" ca="1" si="34"/>
        <v>2.1299649518859103</v>
      </c>
      <c r="V81" s="4">
        <f t="shared" ca="1" si="35"/>
        <v>1.3574084149546601</v>
      </c>
      <c r="W81" s="4">
        <f t="shared" ca="1" si="36"/>
        <v>1.7178874690506662</v>
      </c>
      <c r="X81" s="4">
        <f t="shared" ca="1" si="37"/>
        <v>1.6462508063842702</v>
      </c>
      <c r="Y81" s="4">
        <f t="shared" ca="1" si="38"/>
        <v>1.8556709640536535</v>
      </c>
    </row>
    <row r="82" spans="1:25" x14ac:dyDescent="0.15">
      <c r="A82" s="8">
        <f t="shared" si="27"/>
        <v>42369</v>
      </c>
      <c r="B82" s="5" cm="1">
        <f t="array" aca="1" ref="B82" ca="1">OFFSET('Input IBGE'!$A$5,ROW()-2,COLUMN()-1,,)</f>
        <v>18356.8</v>
      </c>
      <c r="C82" s="5" cm="1">
        <f t="array" aca="1" ref="C82" ca="1">OFFSET('Input IBGE'!$A$5,ROW()-2,COLUMN()-1,,)</f>
        <v>55562.68</v>
      </c>
      <c r="D82" s="5" cm="1">
        <f t="array" aca="1" ref="D82" ca="1">OFFSET('Input IBGE'!$A$5,ROW()-2,COLUMN()-1,,)</f>
        <v>177000.63</v>
      </c>
      <c r="E82" s="5" cm="1">
        <f t="array" aca="1" ref="E82" ca="1">OFFSET('Input IBGE'!$A$5,ROW()-2,COLUMN()-1,,)</f>
        <v>249752.2</v>
      </c>
      <c r="F82" s="5">
        <f t="shared" ca="1" si="22"/>
        <v>42674.989999999991</v>
      </c>
      <c r="G82" s="5" cm="1">
        <f t="array" aca="1" ref="G82" ca="1">OFFSET('Input IBGE'!$A$5,ROW()-2,COLUMN()-2,,)</f>
        <v>292427.19</v>
      </c>
      <c r="I82" s="4">
        <f t="shared" ca="1" si="28"/>
        <v>2.184433863011126</v>
      </c>
      <c r="J82" s="4">
        <f t="shared" ca="1" si="29"/>
        <v>-1.7618192635497576</v>
      </c>
      <c r="K82" s="4">
        <f t="shared" ca="1" si="30"/>
        <v>-0.45792565515745398</v>
      </c>
      <c r="L82" s="4">
        <f t="shared" ca="1" si="31"/>
        <v>-0.5597986097844676</v>
      </c>
      <c r="M82" s="4">
        <f t="shared" ca="1" si="32"/>
        <v>-2.0894472474796477</v>
      </c>
      <c r="N82" s="4">
        <f t="shared" ca="1" si="33"/>
        <v>-0.7859976867372942</v>
      </c>
      <c r="P82" s="4">
        <f t="shared" ca="1" si="23"/>
        <v>6.2524204252727644</v>
      </c>
      <c r="Q82" s="4">
        <f t="shared" ca="1" si="24"/>
        <v>18.92493437390474</v>
      </c>
      <c r="R82" s="4">
        <f t="shared" ca="1" si="25"/>
        <v>60.287324277550958</v>
      </c>
      <c r="S82" s="4">
        <f t="shared" ca="1" si="26"/>
        <v>14.535320923271536</v>
      </c>
      <c r="U82" s="4">
        <f t="shared" ca="1" si="34"/>
        <v>2.1764926275651746</v>
      </c>
      <c r="V82" s="4">
        <f t="shared" ca="1" si="35"/>
        <v>1.3334933320149436</v>
      </c>
      <c r="W82" s="4">
        <f t="shared" ca="1" si="36"/>
        <v>1.7100208216031483</v>
      </c>
      <c r="X82" s="4">
        <f t="shared" ca="1" si="37"/>
        <v>1.6370351172565656</v>
      </c>
      <c r="Y82" s="4">
        <f t="shared" ca="1" si="38"/>
        <v>1.8168976981729554</v>
      </c>
    </row>
    <row r="83" spans="1:25" x14ac:dyDescent="0.15">
      <c r="A83" s="8">
        <f t="shared" si="27"/>
        <v>42460</v>
      </c>
      <c r="B83" s="5" cm="1">
        <f t="array" aca="1" ref="B83" ca="1">OFFSET('Input IBGE'!$A$5,ROW()-2,COLUMN()-1,,)</f>
        <v>17049.73</v>
      </c>
      <c r="C83" s="5" cm="1">
        <f t="array" aca="1" ref="C83" ca="1">OFFSET('Input IBGE'!$A$5,ROW()-2,COLUMN()-1,,)</f>
        <v>55405.279999999999</v>
      </c>
      <c r="D83" s="5" cm="1">
        <f t="array" aca="1" ref="D83" ca="1">OFFSET('Input IBGE'!$A$5,ROW()-2,COLUMN()-1,,)</f>
        <v>175219.36</v>
      </c>
      <c r="E83" s="5" cm="1">
        <f t="array" aca="1" ref="E83" ca="1">OFFSET('Input IBGE'!$A$5,ROW()-2,COLUMN()-1,,)</f>
        <v>245680.91</v>
      </c>
      <c r="F83" s="5">
        <f t="shared" ca="1" si="22"/>
        <v>42087.26999999999</v>
      </c>
      <c r="G83" s="5" cm="1">
        <f t="array" aca="1" ref="G83" ca="1">OFFSET('Input IBGE'!$A$5,ROW()-2,COLUMN()-2,,)</f>
        <v>287768.18</v>
      </c>
      <c r="I83" s="4">
        <f t="shared" ca="1" si="28"/>
        <v>-7.1203586681774622</v>
      </c>
      <c r="J83" s="4">
        <f t="shared" ca="1" si="29"/>
        <v>-0.28328367170193935</v>
      </c>
      <c r="K83" s="4">
        <f t="shared" ca="1" si="30"/>
        <v>-1.0063636496661199</v>
      </c>
      <c r="L83" s="4">
        <f t="shared" ca="1" si="31"/>
        <v>-1.6301317866269094</v>
      </c>
      <c r="M83" s="4">
        <f t="shared" ca="1" si="32"/>
        <v>-1.3772000883890079</v>
      </c>
      <c r="N83" s="4">
        <f t="shared" ca="1" si="33"/>
        <v>-1.5932205209782335</v>
      </c>
      <c r="P83" s="4">
        <f t="shared" ca="1" si="23"/>
        <v>5.8840535275821884</v>
      </c>
      <c r="Q83" s="4">
        <f t="shared" ca="1" si="24"/>
        <v>19.120985096578003</v>
      </c>
      <c r="R83" s="4">
        <f t="shared" ca="1" si="25"/>
        <v>60.470171275949433</v>
      </c>
      <c r="S83" s="4">
        <f t="shared" ca="1" si="26"/>
        <v>14.524790099890375</v>
      </c>
      <c r="U83" s="4">
        <f t="shared" ca="1" si="34"/>
        <v>2.021518546096094</v>
      </c>
      <c r="V83" s="4">
        <f t="shared" ca="1" si="35"/>
        <v>1.329715763142111</v>
      </c>
      <c r="W83" s="4">
        <f t="shared" ca="1" si="36"/>
        <v>1.6928117936528122</v>
      </c>
      <c r="X83" s="4">
        <f t="shared" ca="1" si="37"/>
        <v>1.6103492874519212</v>
      </c>
      <c r="Y83" s="4">
        <f t="shared" ca="1" si="38"/>
        <v>1.7918753814677797</v>
      </c>
    </row>
    <row r="84" spans="1:25" x14ac:dyDescent="0.15">
      <c r="A84" s="8">
        <f t="shared" si="27"/>
        <v>42551</v>
      </c>
      <c r="B84" s="5" cm="1">
        <f t="array" aca="1" ref="B84" ca="1">OFFSET('Input IBGE'!$A$5,ROW()-2,COLUMN()-1,,)</f>
        <v>17061.669999999998</v>
      </c>
      <c r="C84" s="5" cm="1">
        <f t="array" aca="1" ref="C84" ca="1">OFFSET('Input IBGE'!$A$5,ROW()-2,COLUMN()-1,,)</f>
        <v>55135.519999999997</v>
      </c>
      <c r="D84" s="5" cm="1">
        <f t="array" aca="1" ref="D84" ca="1">OFFSET('Input IBGE'!$A$5,ROW()-2,COLUMN()-1,,)</f>
        <v>175982.97</v>
      </c>
      <c r="E84" s="5" cm="1">
        <f t="array" aca="1" ref="E84" ca="1">OFFSET('Input IBGE'!$A$5,ROW()-2,COLUMN()-1,,)</f>
        <v>247466.76</v>
      </c>
      <c r="F84" s="5">
        <f t="shared" ca="1" si="22"/>
        <v>41920.239999999991</v>
      </c>
      <c r="G84" s="5" cm="1">
        <f t="array" aca="1" ref="G84" ca="1">OFFSET('Input IBGE'!$A$5,ROW()-2,COLUMN()-2,,)</f>
        <v>289387</v>
      </c>
      <c r="I84" s="4">
        <f t="shared" ca="1" si="28"/>
        <v>7.0030434499535055E-2</v>
      </c>
      <c r="J84" s="4">
        <f t="shared" ca="1" si="29"/>
        <v>-0.48688500446166794</v>
      </c>
      <c r="K84" s="4">
        <f t="shared" ca="1" si="30"/>
        <v>0.43580229947193239</v>
      </c>
      <c r="L84" s="4">
        <f t="shared" ca="1" si="31"/>
        <v>0.7268981541952213</v>
      </c>
      <c r="M84" s="4">
        <f t="shared" ca="1" si="32"/>
        <v>-0.39686584565831184</v>
      </c>
      <c r="N84" s="4">
        <f t="shared" ca="1" si="33"/>
        <v>0.56254308589642754</v>
      </c>
      <c r="P84" s="4">
        <f t="shared" ca="1" si="23"/>
        <v>5.8812983367137717</v>
      </c>
      <c r="Q84" s="4">
        <f t="shared" ca="1" si="24"/>
        <v>19.005668382394507</v>
      </c>
      <c r="R84" s="4">
        <f t="shared" ca="1" si="25"/>
        <v>60.66278088551411</v>
      </c>
      <c r="S84" s="4">
        <f t="shared" ca="1" si="26"/>
        <v>14.450252395377596</v>
      </c>
      <c r="U84" s="4">
        <f t="shared" ca="1" si="34"/>
        <v>2.0229342243174138</v>
      </c>
      <c r="V84" s="4">
        <f t="shared" ca="1" si="35"/>
        <v>1.323241576489409</v>
      </c>
      <c r="W84" s="4">
        <f t="shared" ca="1" si="36"/>
        <v>1.7001891063752832</v>
      </c>
      <c r="X84" s="4">
        <f t="shared" ca="1" si="37"/>
        <v>1.6220548866985052</v>
      </c>
      <c r="Y84" s="4">
        <f t="shared" ca="1" si="38"/>
        <v>1.7847640400819744</v>
      </c>
    </row>
    <row r="85" spans="1:25" x14ac:dyDescent="0.15">
      <c r="A85" s="8">
        <f t="shared" si="27"/>
        <v>42643</v>
      </c>
      <c r="B85" s="5" cm="1">
        <f t="array" aca="1" ref="B85" ca="1">OFFSET('Input IBGE'!$A$5,ROW()-2,COLUMN()-1,,)</f>
        <v>17348.52</v>
      </c>
      <c r="C85" s="5" cm="1">
        <f t="array" aca="1" ref="C85" ca="1">OFFSET('Input IBGE'!$A$5,ROW()-2,COLUMN()-1,,)</f>
        <v>54555</v>
      </c>
      <c r="D85" s="5" cm="1">
        <f t="array" aca="1" ref="D85" ca="1">OFFSET('Input IBGE'!$A$5,ROW()-2,COLUMN()-1,,)</f>
        <v>174851.06</v>
      </c>
      <c r="E85" s="5" cm="1">
        <f t="array" aca="1" ref="E85" ca="1">OFFSET('Input IBGE'!$A$5,ROW()-2,COLUMN()-1,,)</f>
        <v>245770.45</v>
      </c>
      <c r="F85" s="5">
        <f t="shared" ca="1" si="22"/>
        <v>41796.070000000007</v>
      </c>
      <c r="G85" s="5" cm="1">
        <f t="array" aca="1" ref="G85" ca="1">OFFSET('Input IBGE'!$A$5,ROW()-2,COLUMN()-2,,)</f>
        <v>287566.52</v>
      </c>
      <c r="I85" s="4">
        <f t="shared" ca="1" si="28"/>
        <v>1.6812539452468744</v>
      </c>
      <c r="J85" s="4">
        <f t="shared" ca="1" si="29"/>
        <v>-1.0528965719376449</v>
      </c>
      <c r="K85" s="4">
        <f t="shared" ca="1" si="30"/>
        <v>-0.64319291804201262</v>
      </c>
      <c r="L85" s="4">
        <f t="shared" ca="1" si="31"/>
        <v>-0.68546983845426679</v>
      </c>
      <c r="M85" s="4">
        <f t="shared" ca="1" si="32"/>
        <v>-0.29620536523642382</v>
      </c>
      <c r="N85" s="4">
        <f t="shared" ca="1" si="33"/>
        <v>-0.62908147221539812</v>
      </c>
      <c r="P85" s="4">
        <f t="shared" ca="1" si="23"/>
        <v>6.0122962814327394</v>
      </c>
      <c r="Q85" s="4">
        <f t="shared" ca="1" si="24"/>
        <v>18.906559385674576</v>
      </c>
      <c r="R85" s="4">
        <f t="shared" ca="1" si="25"/>
        <v>60.596314719790101</v>
      </c>
      <c r="S85" s="4">
        <f t="shared" ca="1" si="26"/>
        <v>14.48482961310259</v>
      </c>
      <c r="U85" s="4">
        <f t="shared" ca="1" si="34"/>
        <v>2.0569448857734995</v>
      </c>
      <c r="V85" s="4">
        <f t="shared" ca="1" si="35"/>
        <v>1.3093092112920983</v>
      </c>
      <c r="W85" s="4">
        <f t="shared" ca="1" si="36"/>
        <v>1.6892536104497555</v>
      </c>
      <c r="X85" s="4">
        <f t="shared" ca="1" si="37"/>
        <v>1.6109361896870134</v>
      </c>
      <c r="Y85" s="4">
        <f t="shared" ca="1" si="38"/>
        <v>1.7794774732384413</v>
      </c>
    </row>
    <row r="86" spans="1:25" x14ac:dyDescent="0.15">
      <c r="A86" s="8">
        <f t="shared" si="27"/>
        <v>42735</v>
      </c>
      <c r="B86" s="5" cm="1">
        <f t="array" aca="1" ref="B86" ca="1">OFFSET('Input IBGE'!$A$5,ROW()-2,COLUMN()-1,,)</f>
        <v>18185.23</v>
      </c>
      <c r="C86" s="5" cm="1">
        <f t="array" aca="1" ref="C86" ca="1">OFFSET('Input IBGE'!$A$5,ROW()-2,COLUMN()-1,,)</f>
        <v>53596.25</v>
      </c>
      <c r="D86" s="5" cm="1">
        <f t="array" aca="1" ref="D86" ca="1">OFFSET('Input IBGE'!$A$5,ROW()-2,COLUMN()-1,,)</f>
        <v>173945.44</v>
      </c>
      <c r="E86" s="5" cm="1">
        <f t="array" aca="1" ref="E86" ca="1">OFFSET('Input IBGE'!$A$5,ROW()-2,COLUMN()-1,,)</f>
        <v>245302.31</v>
      </c>
      <c r="F86" s="5">
        <f t="shared" ca="1" si="22"/>
        <v>41741.919999999984</v>
      </c>
      <c r="G86" s="5" cm="1">
        <f t="array" aca="1" ref="G86" ca="1">OFFSET('Input IBGE'!$A$5,ROW()-2,COLUMN()-2,,)</f>
        <v>287044.23</v>
      </c>
      <c r="I86" s="4">
        <f t="shared" ca="1" si="28"/>
        <v>4.8229474329798627</v>
      </c>
      <c r="J86" s="4">
        <f t="shared" ca="1" si="29"/>
        <v>-1.7574007881953957</v>
      </c>
      <c r="K86" s="4">
        <f t="shared" ca="1" si="30"/>
        <v>-0.51793795244935437</v>
      </c>
      <c r="L86" s="4">
        <f t="shared" ca="1" si="31"/>
        <v>-0.1904785542769738</v>
      </c>
      <c r="M86" s="4">
        <f t="shared" ca="1" si="32"/>
        <v>-0.12955763544281185</v>
      </c>
      <c r="N86" s="4">
        <f t="shared" ca="1" si="33"/>
        <v>-0.18162406388616548</v>
      </c>
      <c r="P86" s="4">
        <f t="shared" ca="1" si="23"/>
        <v>6.3259830178463874</v>
      </c>
      <c r="Q86" s="4">
        <f t="shared" ca="1" si="24"/>
        <v>18.644194619493369</v>
      </c>
      <c r="R86" s="4">
        <f t="shared" ca="1" si="25"/>
        <v>60.509319897071293</v>
      </c>
      <c r="S86" s="4">
        <f t="shared" ca="1" si="26"/>
        <v>14.520502465588962</v>
      </c>
      <c r="U86" s="4">
        <f t="shared" ca="1" si="34"/>
        <v>2.156150256339723</v>
      </c>
      <c r="V86" s="4">
        <f t="shared" ca="1" si="35"/>
        <v>1.286299400892936</v>
      </c>
      <c r="W86" s="4">
        <f t="shared" ca="1" si="36"/>
        <v>1.6805043248881153</v>
      </c>
      <c r="X86" s="4">
        <f t="shared" ca="1" si="37"/>
        <v>1.6078677017225729</v>
      </c>
      <c r="Y86" s="4">
        <f t="shared" ca="1" si="38"/>
        <v>1.7771720243008762</v>
      </c>
    </row>
    <row r="87" spans="1:25" x14ac:dyDescent="0.15">
      <c r="A87" s="8">
        <f t="shared" si="27"/>
        <v>42825</v>
      </c>
      <c r="B87" s="5" cm="1">
        <f t="array" aca="1" ref="B87" ca="1">OFFSET('Input IBGE'!$A$5,ROW()-2,COLUMN()-1,,)</f>
        <v>20370.71</v>
      </c>
      <c r="C87" s="5" cm="1">
        <f t="array" aca="1" ref="C87" ca="1">OFFSET('Input IBGE'!$A$5,ROW()-2,COLUMN()-1,,)</f>
        <v>53916.7</v>
      </c>
      <c r="D87" s="5" cm="1">
        <f t="array" aca="1" ref="D87" ca="1">OFFSET('Input IBGE'!$A$5,ROW()-2,COLUMN()-1,,)</f>
        <v>174797.95</v>
      </c>
      <c r="E87" s="5" cm="1">
        <f t="array" aca="1" ref="E87" ca="1">OFFSET('Input IBGE'!$A$5,ROW()-2,COLUMN()-1,,)</f>
        <v>248468.36</v>
      </c>
      <c r="F87" s="5">
        <f t="shared" ca="1" si="22"/>
        <v>41774.109999999986</v>
      </c>
      <c r="G87" s="5" cm="1">
        <f t="array" aca="1" ref="G87" ca="1">OFFSET('Input IBGE'!$A$5,ROW()-2,COLUMN()-2,,)</f>
        <v>290242.46999999997</v>
      </c>
      <c r="I87" s="4">
        <f t="shared" ca="1" si="28"/>
        <v>12.017884843909044</v>
      </c>
      <c r="J87" s="4">
        <f t="shared" ca="1" si="29"/>
        <v>0.59789630804394367</v>
      </c>
      <c r="K87" s="4">
        <f t="shared" ca="1" si="30"/>
        <v>0.4901019538080531</v>
      </c>
      <c r="L87" s="4">
        <f t="shared" ca="1" si="31"/>
        <v>1.2906727213453317</v>
      </c>
      <c r="M87" s="4">
        <f t="shared" ca="1" si="32"/>
        <v>7.7116721032477464E-2</v>
      </c>
      <c r="N87" s="4">
        <f t="shared" ca="1" si="33"/>
        <v>1.1141976273133958</v>
      </c>
      <c r="P87" s="4">
        <f t="shared" ca="1" si="23"/>
        <v>7.00362618415003</v>
      </c>
      <c r="Q87" s="4">
        <f t="shared" ca="1" si="24"/>
        <v>18.537027520541109</v>
      </c>
      <c r="R87" s="4">
        <f t="shared" ca="1" si="25"/>
        <v>60.097046178348613</v>
      </c>
      <c r="S87" s="4">
        <f t="shared" ca="1" si="26"/>
        <v>14.362300116960261</v>
      </c>
      <c r="U87" s="4">
        <f t="shared" ca="1" si="34"/>
        <v>2.4152739112082804</v>
      </c>
      <c r="V87" s="4">
        <f t="shared" ca="1" si="35"/>
        <v>1.2939901375212663</v>
      </c>
      <c r="W87" s="4">
        <f t="shared" ca="1" si="36"/>
        <v>1.6887405094182208</v>
      </c>
      <c r="X87" s="4">
        <f t="shared" ca="1" si="37"/>
        <v>1.6286200115440284</v>
      </c>
      <c r="Y87" s="4">
        <f t="shared" ca="1" si="38"/>
        <v>1.7785425210931236</v>
      </c>
    </row>
    <row r="88" spans="1:25" x14ac:dyDescent="0.15">
      <c r="A88" s="8">
        <f t="shared" si="27"/>
        <v>42916</v>
      </c>
      <c r="B88" s="5" cm="1">
        <f t="array" aca="1" ref="B88" ca="1">OFFSET('Input IBGE'!$A$5,ROW()-2,COLUMN()-1,,)</f>
        <v>19724.849999999999</v>
      </c>
      <c r="C88" s="5" cm="1">
        <f t="array" aca="1" ref="C88" ca="1">OFFSET('Input IBGE'!$A$5,ROW()-2,COLUMN()-1,,)</f>
        <v>54347.69</v>
      </c>
      <c r="D88" s="5" cm="1">
        <f t="array" aca="1" ref="D88" ca="1">OFFSET('Input IBGE'!$A$5,ROW()-2,COLUMN()-1,,)</f>
        <v>176584.88</v>
      </c>
      <c r="E88" s="5" cm="1">
        <f t="array" aca="1" ref="E88" ca="1">OFFSET('Input IBGE'!$A$5,ROW()-2,COLUMN()-1,,)</f>
        <v>249556.63</v>
      </c>
      <c r="F88" s="5">
        <f t="shared" ca="1" si="22"/>
        <v>42836.799999999988</v>
      </c>
      <c r="G88" s="5" cm="1">
        <f t="array" aca="1" ref="G88" ca="1">OFFSET('Input IBGE'!$A$5,ROW()-2,COLUMN()-2,,)</f>
        <v>292393.43</v>
      </c>
      <c r="I88" s="4">
        <f t="shared" ca="1" si="28"/>
        <v>-3.1705325931202233</v>
      </c>
      <c r="J88" s="4">
        <f t="shared" ca="1" si="29"/>
        <v>0.79936272064129454</v>
      </c>
      <c r="K88" s="4">
        <f t="shared" ca="1" si="30"/>
        <v>1.0222831560667611</v>
      </c>
      <c r="L88" s="4">
        <f t="shared" ca="1" si="31"/>
        <v>0.43799138047195818</v>
      </c>
      <c r="M88" s="4">
        <f t="shared" ca="1" si="32"/>
        <v>2.5438962074835425</v>
      </c>
      <c r="N88" s="4">
        <f t="shared" ca="1" si="33"/>
        <v>0.74109071632419976</v>
      </c>
      <c r="P88" s="4">
        <f t="shared" ca="1" si="23"/>
        <v>6.7206945336095547</v>
      </c>
      <c r="Q88" s="4">
        <f t="shared" ca="1" si="24"/>
        <v>18.517465182108189</v>
      </c>
      <c r="R88" s="4">
        <f t="shared" ca="1" si="25"/>
        <v>60.16639101103933</v>
      </c>
      <c r="S88" s="4">
        <f t="shared" ca="1" si="26"/>
        <v>14.595449273242926</v>
      </c>
      <c r="U88" s="4">
        <f t="shared" ca="1" si="34"/>
        <v>2.3386968646402924</v>
      </c>
      <c r="V88" s="4">
        <f t="shared" ca="1" si="35"/>
        <v>1.3043338122893864</v>
      </c>
      <c r="W88" s="4">
        <f t="shared" ca="1" si="36"/>
        <v>1.7060042191956792</v>
      </c>
      <c r="X88" s="4">
        <f t="shared" ca="1" si="37"/>
        <v>1.6357532268152326</v>
      </c>
      <c r="Y88" s="4">
        <f t="shared" ca="1" si="38"/>
        <v>1.8237867968356938</v>
      </c>
    </row>
    <row r="89" spans="1:25" x14ac:dyDescent="0.15">
      <c r="A89" s="8">
        <f t="shared" si="27"/>
        <v>43008</v>
      </c>
      <c r="B89" s="5" cm="1">
        <f t="array" aca="1" ref="B89" ca="1">OFFSET('Input IBGE'!$A$5,ROW()-2,COLUMN()-1,,)</f>
        <v>19288.830000000002</v>
      </c>
      <c r="C89" s="5" cm="1">
        <f t="array" aca="1" ref="C89" ca="1">OFFSET('Input IBGE'!$A$5,ROW()-2,COLUMN()-1,,)</f>
        <v>54350.12</v>
      </c>
      <c r="D89" s="5" cm="1">
        <f t="array" aca="1" ref="D89" ca="1">OFFSET('Input IBGE'!$A$5,ROW()-2,COLUMN()-1,,)</f>
        <v>177724.91</v>
      </c>
      <c r="E89" s="5" cm="1">
        <f t="array" aca="1" ref="E89" ca="1">OFFSET('Input IBGE'!$A$5,ROW()-2,COLUMN()-1,,)</f>
        <v>250141.54</v>
      </c>
      <c r="F89" s="5">
        <f t="shared" ca="1" si="22"/>
        <v>43145.079999999987</v>
      </c>
      <c r="G89" s="5" cm="1">
        <f t="array" aca="1" ref="G89" ca="1">OFFSET('Input IBGE'!$A$5,ROW()-2,COLUMN()-2,,)</f>
        <v>293286.62</v>
      </c>
      <c r="I89" s="4">
        <f t="shared" ca="1" si="28"/>
        <v>-2.2105111065483185</v>
      </c>
      <c r="J89" s="4">
        <f t="shared" ca="1" si="29"/>
        <v>4.4712111959110956E-3</v>
      </c>
      <c r="K89" s="4">
        <f t="shared" ca="1" si="30"/>
        <v>0.64559887573614194</v>
      </c>
      <c r="L89" s="4">
        <f t="shared" ca="1" si="31"/>
        <v>0.23437966765298412</v>
      </c>
      <c r="M89" s="4">
        <f t="shared" ca="1" si="32"/>
        <v>0.71966159937248975</v>
      </c>
      <c r="N89" s="4">
        <f t="shared" ca="1" si="33"/>
        <v>0.30547540004575158</v>
      </c>
      <c r="P89" s="4">
        <f t="shared" ca="1" si="23"/>
        <v>6.5494887863166404</v>
      </c>
      <c r="Q89" s="4">
        <f t="shared" ca="1" si="24"/>
        <v>18.454489021623587</v>
      </c>
      <c r="R89" s="4">
        <f t="shared" ca="1" si="25"/>
        <v>60.346185076758616</v>
      </c>
      <c r="S89" s="4">
        <f t="shared" ca="1" si="26"/>
        <v>14.649837115301146</v>
      </c>
      <c r="U89" s="4">
        <f t="shared" ca="1" si="34"/>
        <v>2.2869997106989213</v>
      </c>
      <c r="V89" s="4">
        <f t="shared" ca="1" si="35"/>
        <v>1.3043921318088336</v>
      </c>
      <c r="W89" s="4">
        <f t="shared" ca="1" si="36"/>
        <v>1.7170181632548176</v>
      </c>
      <c r="X89" s="4">
        <f t="shared" ca="1" si="37"/>
        <v>1.6395870997918651</v>
      </c>
      <c r="Y89" s="4">
        <f t="shared" ca="1" si="38"/>
        <v>1.8369118900669459</v>
      </c>
    </row>
    <row r="90" spans="1:25" x14ac:dyDescent="0.15">
      <c r="A90" s="8">
        <f t="shared" si="27"/>
        <v>43100</v>
      </c>
      <c r="B90" s="5" cm="1">
        <f t="array" aca="1" ref="B90" ca="1">OFFSET('Input IBGE'!$A$5,ROW()-2,COLUMN()-1,,)</f>
        <v>19365.86</v>
      </c>
      <c r="C90" s="5" cm="1">
        <f t="array" aca="1" ref="C90" ca="1">OFFSET('Input IBGE'!$A$5,ROW()-2,COLUMN()-1,,)</f>
        <v>54946.87</v>
      </c>
      <c r="D90" s="5" cm="1">
        <f t="array" aca="1" ref="D90" ca="1">OFFSET('Input IBGE'!$A$5,ROW()-2,COLUMN()-1,,)</f>
        <v>178119.73</v>
      </c>
      <c r="E90" s="5" cm="1">
        <f t="array" aca="1" ref="E90" ca="1">OFFSET('Input IBGE'!$A$5,ROW()-2,COLUMN()-1,,)</f>
        <v>251315.68</v>
      </c>
      <c r="F90" s="5">
        <f t="shared" ca="1" si="22"/>
        <v>43222.280000000028</v>
      </c>
      <c r="G90" s="5" cm="1">
        <f t="array" aca="1" ref="G90" ca="1">OFFSET('Input IBGE'!$A$5,ROW()-2,COLUMN()-2,,)</f>
        <v>294537.96000000002</v>
      </c>
      <c r="I90" s="4">
        <f t="shared" ca="1" si="28"/>
        <v>0.3993502975556229</v>
      </c>
      <c r="J90" s="4">
        <f t="shared" ca="1" si="29"/>
        <v>1.0979736567279019</v>
      </c>
      <c r="K90" s="4">
        <f t="shared" ca="1" si="30"/>
        <v>0.22215231393281076</v>
      </c>
      <c r="L90" s="4">
        <f t="shared" ca="1" si="31"/>
        <v>0.46939025001604406</v>
      </c>
      <c r="M90" s="4">
        <f t="shared" ca="1" si="32"/>
        <v>0.17893117824798743</v>
      </c>
      <c r="N90" s="4">
        <f t="shared" ca="1" si="33"/>
        <v>0.42666112760276764</v>
      </c>
      <c r="P90" s="4">
        <f t="shared" ca="1" si="23"/>
        <v>6.5501605014010593</v>
      </c>
      <c r="Q90" s="4">
        <f t="shared" ca="1" si="24"/>
        <v>18.584809430080504</v>
      </c>
      <c r="R90" s="4">
        <f t="shared" ca="1" si="25"/>
        <v>60.245856366111347</v>
      </c>
      <c r="S90" s="4">
        <f t="shared" ca="1" si="26"/>
        <v>14.619173702407076</v>
      </c>
      <c r="U90" s="4">
        <f t="shared" ca="1" si="34"/>
        <v>2.2961328508486938</v>
      </c>
      <c r="V90" s="4">
        <f t="shared" ca="1" si="35"/>
        <v>1.3187140137965261</v>
      </c>
      <c r="W90" s="4">
        <f t="shared" ca="1" si="36"/>
        <v>1.7208325588351348</v>
      </c>
      <c r="X90" s="4">
        <f t="shared" ca="1" si="37"/>
        <v>1.6472831617788091</v>
      </c>
      <c r="Y90" s="4">
        <f t="shared" ca="1" si="38"/>
        <v>1.8401986981552201</v>
      </c>
    </row>
    <row r="91" spans="1:25" x14ac:dyDescent="0.15">
      <c r="A91" s="8">
        <f t="shared" si="27"/>
        <v>43190</v>
      </c>
      <c r="B91" s="5" cm="1">
        <f t="array" aca="1" ref="B91" ca="1">OFFSET('Input IBGE'!$A$5,ROW()-2,COLUMN()-1,,)</f>
        <v>19699.16</v>
      </c>
      <c r="C91" s="5" cm="1">
        <f t="array" aca="1" ref="C91" ca="1">OFFSET('Input IBGE'!$A$5,ROW()-2,COLUMN()-1,,)</f>
        <v>55093.09</v>
      </c>
      <c r="D91" s="5" cm="1">
        <f t="array" aca="1" ref="D91" ca="1">OFFSET('Input IBGE'!$A$5,ROW()-2,COLUMN()-1,,)</f>
        <v>179499.06</v>
      </c>
      <c r="E91" s="5" cm="1">
        <f t="array" aca="1" ref="E91" ca="1">OFFSET('Input IBGE'!$A$5,ROW()-2,COLUMN()-1,,)</f>
        <v>252557.95</v>
      </c>
      <c r="F91" s="5">
        <f t="shared" ca="1" si="22"/>
        <v>43560.109999999986</v>
      </c>
      <c r="G91" s="5" cm="1">
        <f t="array" aca="1" ref="G91" ca="1">OFFSET('Input IBGE'!$A$5,ROW()-2,COLUMN()-2,,)</f>
        <v>296118.06</v>
      </c>
      <c r="I91" s="4">
        <f t="shared" ca="1" si="28"/>
        <v>1.7210699653926964</v>
      </c>
      <c r="J91" s="4">
        <f t="shared" ca="1" si="29"/>
        <v>0.26611160926908184</v>
      </c>
      <c r="K91" s="4">
        <f t="shared" ca="1" si="30"/>
        <v>0.77438361264077216</v>
      </c>
      <c r="L91" s="4">
        <f t="shared" ca="1" si="31"/>
        <v>0.49430660275555649</v>
      </c>
      <c r="M91" s="4">
        <f t="shared" ca="1" si="32"/>
        <v>0.78161078036595999</v>
      </c>
      <c r="N91" s="4">
        <f t="shared" ca="1" si="33"/>
        <v>0.53646735381747135</v>
      </c>
      <c r="P91" s="4">
        <f t="shared" ca="1" si="23"/>
        <v>6.6137539314064711</v>
      </c>
      <c r="Q91" s="4">
        <f t="shared" ca="1" si="24"/>
        <v>18.496836442814342</v>
      </c>
      <c r="R91" s="4">
        <f t="shared" ca="1" si="25"/>
        <v>60.264631271524586</v>
      </c>
      <c r="S91" s="4">
        <f t="shared" ca="1" si="26"/>
        <v>14.624778354254611</v>
      </c>
      <c r="U91" s="4">
        <f t="shared" ca="1" si="34"/>
        <v>2.3356509037101656</v>
      </c>
      <c r="V91" s="4">
        <f t="shared" ca="1" si="35"/>
        <v>1.322223264880297</v>
      </c>
      <c r="W91" s="4">
        <f t="shared" ca="1" si="36"/>
        <v>1.7341584041717408</v>
      </c>
      <c r="X91" s="4">
        <f t="shared" ca="1" si="37"/>
        <v>1.6554257912135621</v>
      </c>
      <c r="Y91" s="4">
        <f t="shared" ca="1" si="38"/>
        <v>1.8545818895601553</v>
      </c>
    </row>
    <row r="92" spans="1:25" x14ac:dyDescent="0.15">
      <c r="A92" s="8">
        <f t="shared" si="27"/>
        <v>43281</v>
      </c>
      <c r="B92" s="5" cm="1">
        <f t="array" aca="1" ref="B92" ca="1">OFFSET('Input IBGE'!$A$5,ROW()-2,COLUMN()-1,,)</f>
        <v>19836.060000000001</v>
      </c>
      <c r="C92" s="5" cm="1">
        <f t="array" aca="1" ref="C92" ca="1">OFFSET('Input IBGE'!$A$5,ROW()-2,COLUMN()-1,,)</f>
        <v>54498.51</v>
      </c>
      <c r="D92" s="5" cm="1">
        <f t="array" aca="1" ref="D92" ca="1">OFFSET('Input IBGE'!$A$5,ROW()-2,COLUMN()-1,,)</f>
        <v>180244.34</v>
      </c>
      <c r="E92" s="5" cm="1">
        <f t="array" aca="1" ref="E92" ca="1">OFFSET('Input IBGE'!$A$5,ROW()-2,COLUMN()-1,,)</f>
        <v>253584.84</v>
      </c>
      <c r="F92" s="5">
        <f t="shared" ca="1" si="22"/>
        <v>43033.78</v>
      </c>
      <c r="G92" s="5" cm="1">
        <f t="array" aca="1" ref="G92" ca="1">OFFSET('Input IBGE'!$A$5,ROW()-2,COLUMN()-2,,)</f>
        <v>296618.62</v>
      </c>
      <c r="I92" s="4">
        <f t="shared" ca="1" si="28"/>
        <v>0.69495349040264998</v>
      </c>
      <c r="J92" s="4">
        <f t="shared" ca="1" si="29"/>
        <v>-1.0792279031725971</v>
      </c>
      <c r="K92" s="4">
        <f t="shared" ca="1" si="30"/>
        <v>0.41519994589387377</v>
      </c>
      <c r="L92" s="4">
        <f t="shared" ca="1" si="31"/>
        <v>0.40659579316351113</v>
      </c>
      <c r="M92" s="4">
        <f t="shared" ca="1" si="32"/>
        <v>-1.2082843684278699</v>
      </c>
      <c r="N92" s="4">
        <f t="shared" ca="1" si="33"/>
        <v>0.16904068600205324</v>
      </c>
      <c r="P92" s="4">
        <f t="shared" ca="1" si="23"/>
        <v>6.6650585363144303</v>
      </c>
      <c r="Q92" s="4">
        <f t="shared" ca="1" si="24"/>
        <v>18.311890531280774</v>
      </c>
      <c r="R92" s="4">
        <f t="shared" ca="1" si="25"/>
        <v>60.563391970953937</v>
      </c>
      <c r="S92" s="4">
        <f t="shared" ca="1" si="26"/>
        <v>14.459658961450868</v>
      </c>
      <c r="U92" s="4">
        <f t="shared" ca="1" si="34"/>
        <v>2.3518825911891206</v>
      </c>
      <c r="V92" s="4">
        <f t="shared" ca="1" si="35"/>
        <v>1.307953462463469</v>
      </c>
      <c r="W92" s="4">
        <f t="shared" ca="1" si="36"/>
        <v>1.741358628927576</v>
      </c>
      <c r="X92" s="4">
        <f t="shared" ca="1" si="37"/>
        <v>1.6621566828395802</v>
      </c>
      <c r="Y92" s="4">
        <f t="shared" ca="1" si="38"/>
        <v>1.8321732664889057</v>
      </c>
    </row>
    <row r="93" spans="1:25" x14ac:dyDescent="0.15">
      <c r="A93" s="8">
        <f t="shared" si="27"/>
        <v>43373</v>
      </c>
      <c r="B93" s="5" cm="1">
        <f t="array" aca="1" ref="B93" ca="1">OFFSET('Input IBGE'!$A$5,ROW()-2,COLUMN()-1,,)</f>
        <v>20296.060000000001</v>
      </c>
      <c r="C93" s="5" cm="1">
        <f t="array" aca="1" ref="C93" ca="1">OFFSET('Input IBGE'!$A$5,ROW()-2,COLUMN()-1,,)</f>
        <v>54950.1</v>
      </c>
      <c r="D93" s="5" cm="1">
        <f t="array" aca="1" ref="D93" ca="1">OFFSET('Input IBGE'!$A$5,ROW()-2,COLUMN()-1,,)</f>
        <v>181366.65</v>
      </c>
      <c r="E93" s="5" cm="1">
        <f t="array" aca="1" ref="E93" ca="1">OFFSET('Input IBGE'!$A$5,ROW()-2,COLUMN()-1,,)</f>
        <v>255276.95</v>
      </c>
      <c r="F93" s="5">
        <f t="shared" ca="1" si="22"/>
        <v>43949.76999999996</v>
      </c>
      <c r="G93" s="5" cm="1">
        <f t="array" aca="1" ref="G93" ca="1">OFFSET('Input IBGE'!$A$5,ROW()-2,COLUMN()-2,,)</f>
        <v>299226.71999999997</v>
      </c>
      <c r="I93" s="4">
        <f t="shared" ca="1" si="28"/>
        <v>2.3190089160851413</v>
      </c>
      <c r="J93" s="4">
        <f t="shared" ca="1" si="29"/>
        <v>0.8286281588248956</v>
      </c>
      <c r="K93" s="4">
        <f t="shared" ca="1" si="30"/>
        <v>0.622660328751512</v>
      </c>
      <c r="L93" s="4">
        <f t="shared" ca="1" si="31"/>
        <v>0.66727569361009209</v>
      </c>
      <c r="M93" s="4">
        <f t="shared" ca="1" si="32"/>
        <v>2.128537163130817</v>
      </c>
      <c r="N93" s="4">
        <f t="shared" ca="1" si="33"/>
        <v>0.87927723485463627</v>
      </c>
      <c r="P93" s="4">
        <f t="shared" ca="1" si="23"/>
        <v>6.7526902384189027</v>
      </c>
      <c r="Q93" s="4">
        <f t="shared" ca="1" si="24"/>
        <v>18.282415595447716</v>
      </c>
      <c r="R93" s="4">
        <f t="shared" ca="1" si="25"/>
        <v>60.342391923838299</v>
      </c>
      <c r="S93" s="4">
        <f t="shared" ca="1" si="26"/>
        <v>14.622502242295088</v>
      </c>
      <c r="U93" s="4">
        <f t="shared" ca="1" si="34"/>
        <v>2.4064229581746504</v>
      </c>
      <c r="V93" s="4">
        <f t="shared" ca="1" si="35"/>
        <v>1.3187915331577664</v>
      </c>
      <c r="W93" s="4">
        <f t="shared" ca="1" si="36"/>
        <v>1.7522013782911992</v>
      </c>
      <c r="X93" s="4">
        <f t="shared" ca="1" si="37"/>
        <v>1.6732478503738846</v>
      </c>
      <c r="Y93" s="4">
        <f t="shared" ca="1" si="38"/>
        <v>1.8711717553590699</v>
      </c>
    </row>
    <row r="94" spans="1:25" x14ac:dyDescent="0.15">
      <c r="A94" s="8">
        <f t="shared" si="27"/>
        <v>43465</v>
      </c>
      <c r="B94" s="5" cm="1">
        <f t="array" aca="1" ref="B94" ca="1">OFFSET('Input IBGE'!$A$5,ROW()-2,COLUMN()-1,,)</f>
        <v>20545.349999999999</v>
      </c>
      <c r="C94" s="5" cm="1">
        <f t="array" aca="1" ref="C94" ca="1">OFFSET('Input IBGE'!$A$5,ROW()-2,COLUMN()-1,,)</f>
        <v>54570</v>
      </c>
      <c r="D94" s="5" cm="1">
        <f t="array" aca="1" ref="D94" ca="1">OFFSET('Input IBGE'!$A$5,ROW()-2,COLUMN()-1,,)</f>
        <v>180539.62</v>
      </c>
      <c r="E94" s="5" cm="1">
        <f t="array" aca="1" ref="E94" ca="1">OFFSET('Input IBGE'!$A$5,ROW()-2,COLUMN()-1,,)</f>
        <v>254727.69</v>
      </c>
      <c r="F94" s="5">
        <f t="shared" ca="1" si="22"/>
        <v>43409.69</v>
      </c>
      <c r="G94" s="5" cm="1">
        <f t="array" aca="1" ref="G94" ca="1">OFFSET('Input IBGE'!$A$5,ROW()-2,COLUMN()-2,,)</f>
        <v>298137.38</v>
      </c>
      <c r="I94" s="4">
        <f t="shared" ca="1" si="28"/>
        <v>1.2282679495428939</v>
      </c>
      <c r="J94" s="4">
        <f t="shared" ca="1" si="29"/>
        <v>-0.6917184864085768</v>
      </c>
      <c r="K94" s="4">
        <f t="shared" ca="1" si="30"/>
        <v>-0.45599893916549172</v>
      </c>
      <c r="L94" s="4">
        <f t="shared" ca="1" si="31"/>
        <v>-0.21516239519471236</v>
      </c>
      <c r="M94" s="4">
        <f t="shared" ca="1" si="32"/>
        <v>-1.2288573978884498</v>
      </c>
      <c r="N94" s="4">
        <f t="shared" ca="1" si="33"/>
        <v>-0.36405171302882344</v>
      </c>
      <c r="P94" s="4">
        <f t="shared" ca="1" si="23"/>
        <v>6.8698688771852883</v>
      </c>
      <c r="Q94" s="4">
        <f t="shared" ca="1" si="24"/>
        <v>18.246890154122521</v>
      </c>
      <c r="R94" s="4">
        <f t="shared" ca="1" si="25"/>
        <v>60.368088961096234</v>
      </c>
      <c r="S94" s="4">
        <f t="shared" ca="1" si="26"/>
        <v>14.515152007595949</v>
      </c>
      <c r="U94" s="4">
        <f t="shared" ca="1" si="34"/>
        <v>2.4359802801003516</v>
      </c>
      <c r="V94" s="4">
        <f t="shared" ca="1" si="35"/>
        <v>1.3096692083257231</v>
      </c>
      <c r="W94" s="4">
        <f t="shared" ca="1" si="36"/>
        <v>1.7442113585941481</v>
      </c>
      <c r="X94" s="4">
        <f t="shared" ca="1" si="37"/>
        <v>1.6696476502214761</v>
      </c>
      <c r="Y94" s="4">
        <f t="shared" ca="1" si="38"/>
        <v>1.8481777228161407</v>
      </c>
    </row>
    <row r="95" spans="1:25" x14ac:dyDescent="0.15">
      <c r="A95" s="8">
        <f t="shared" si="27"/>
        <v>43555</v>
      </c>
      <c r="B95" s="5" cm="1">
        <f t="array" aca="1" ref="B95" ca="1">OFFSET('Input IBGE'!$A$5,ROW()-2,COLUMN()-1,,)</f>
        <v>19671.37</v>
      </c>
      <c r="C95" s="5" cm="1">
        <f t="array" aca="1" ref="C95" ca="1">OFFSET('Input IBGE'!$A$5,ROW()-2,COLUMN()-1,,)</f>
        <v>53901.41</v>
      </c>
      <c r="D95" s="5" cm="1">
        <f t="array" aca="1" ref="D95" ca="1">OFFSET('Input IBGE'!$A$5,ROW()-2,COLUMN()-1,,)</f>
        <v>183080.7</v>
      </c>
      <c r="E95" s="5" cm="1">
        <f t="array" aca="1" ref="E95" ca="1">OFFSET('Input IBGE'!$A$5,ROW()-2,COLUMN()-1,,)</f>
        <v>255699.06</v>
      </c>
      <c r="F95" s="5">
        <f t="shared" ca="1" si="22"/>
        <v>43911.390000000014</v>
      </c>
      <c r="G95" s="5" cm="1">
        <f t="array" aca="1" ref="G95" ca="1">OFFSET('Input IBGE'!$A$5,ROW()-2,COLUMN()-2,,)</f>
        <v>299610.45</v>
      </c>
      <c r="I95" s="4">
        <f t="shared" ca="1" si="28"/>
        <v>-4.2539066017371336</v>
      </c>
      <c r="J95" s="4">
        <f t="shared" ca="1" si="29"/>
        <v>-1.2251969946857177</v>
      </c>
      <c r="K95" s="4">
        <f t="shared" ca="1" si="30"/>
        <v>1.4074916076593169</v>
      </c>
      <c r="L95" s="4">
        <f t="shared" ca="1" si="31"/>
        <v>0.38133663442714294</v>
      </c>
      <c r="M95" s="4">
        <f t="shared" ca="1" si="32"/>
        <v>1.1557327407774931</v>
      </c>
      <c r="N95" s="4">
        <f t="shared" ca="1" si="33"/>
        <v>0.49409101267341438</v>
      </c>
      <c r="P95" s="4">
        <f t="shared" ca="1" si="23"/>
        <v>6.5448001291701194</v>
      </c>
      <c r="Q95" s="4">
        <f t="shared" ca="1" si="24"/>
        <v>17.933369924435947</v>
      </c>
      <c r="R95" s="4">
        <f t="shared" ca="1" si="25"/>
        <v>60.91220840279837</v>
      </c>
      <c r="S95" s="4">
        <f t="shared" ca="1" si="26"/>
        <v>14.609621543595569</v>
      </c>
      <c r="U95" s="4">
        <f t="shared" ca="1" si="34"/>
        <v>2.3323559541481482</v>
      </c>
      <c r="V95" s="4">
        <f t="shared" ca="1" si="35"/>
        <v>1.293623180544992</v>
      </c>
      <c r="W95" s="4">
        <f t="shared" ca="1" si="36"/>
        <v>1.7687609870862013</v>
      </c>
      <c r="X95" s="4">
        <f t="shared" ca="1" si="37"/>
        <v>1.6760146283776225</v>
      </c>
      <c r="Y95" s="4">
        <f t="shared" ca="1" si="38"/>
        <v>1.8695377178664827</v>
      </c>
    </row>
    <row r="96" spans="1:25" x14ac:dyDescent="0.15">
      <c r="A96" s="8">
        <f t="shared" si="27"/>
        <v>43646</v>
      </c>
      <c r="B96" s="5" cm="1">
        <f t="array" aca="1" ref="B96" ca="1">OFFSET('Input IBGE'!$A$5,ROW()-2,COLUMN()-1,,)</f>
        <v>20021.61</v>
      </c>
      <c r="C96" s="5" cm="1">
        <f t="array" aca="1" ref="C96" ca="1">OFFSET('Input IBGE'!$A$5,ROW()-2,COLUMN()-1,,)</f>
        <v>54731.38</v>
      </c>
      <c r="D96" s="5" cm="1">
        <f t="array" aca="1" ref="D96" ca="1">OFFSET('Input IBGE'!$A$5,ROW()-2,COLUMN()-1,,)</f>
        <v>183057.1</v>
      </c>
      <c r="E96" s="5" cm="1">
        <f t="array" aca="1" ref="E96" ca="1">OFFSET('Input IBGE'!$A$5,ROW()-2,COLUMN()-1,,)</f>
        <v>256250.57</v>
      </c>
      <c r="F96" s="5">
        <f t="shared" ca="1" si="22"/>
        <v>45104.760000000009</v>
      </c>
      <c r="G96" s="5" cm="1">
        <f t="array" aca="1" ref="G96" ca="1">OFFSET('Input IBGE'!$A$5,ROW()-2,COLUMN()-2,,)</f>
        <v>301355.33</v>
      </c>
      <c r="I96" s="4">
        <f t="shared" ca="1" si="28"/>
        <v>1.7804555554595369</v>
      </c>
      <c r="J96" s="4">
        <f t="shared" ca="1" si="29"/>
        <v>1.5397927438261627</v>
      </c>
      <c r="K96" s="4">
        <f t="shared" ca="1" si="30"/>
        <v>-1.2890490368455687E-2</v>
      </c>
      <c r="L96" s="4">
        <f t="shared" ca="1" si="31"/>
        <v>0.21568714409823109</v>
      </c>
      <c r="M96" s="4">
        <f t="shared" ca="1" si="32"/>
        <v>2.7176775775032302</v>
      </c>
      <c r="N96" s="4">
        <f t="shared" ca="1" si="33"/>
        <v>0.58238289085044137</v>
      </c>
      <c r="P96" s="4">
        <f t="shared" ca="1" si="23"/>
        <v>6.6096495434277998</v>
      </c>
      <c r="Q96" s="4">
        <f t="shared" ca="1" si="24"/>
        <v>18.068239308835469</v>
      </c>
      <c r="R96" s="4">
        <f t="shared" ca="1" si="25"/>
        <v>60.431867239258828</v>
      </c>
      <c r="S96" s="4">
        <f t="shared" ca="1" si="26"/>
        <v>14.890243908477915</v>
      </c>
      <c r="U96" s="4">
        <f t="shared" ca="1" si="34"/>
        <v>2.3738825153068701</v>
      </c>
      <c r="V96" s="4">
        <f t="shared" ca="1" si="35"/>
        <v>1.3135422964114771</v>
      </c>
      <c r="W96" s="4">
        <f t="shared" ca="1" si="36"/>
        <v>1.7685329851215199</v>
      </c>
      <c r="X96" s="4">
        <f t="shared" ca="1" si="37"/>
        <v>1.6796295764642388</v>
      </c>
      <c r="Y96" s="4">
        <f t="shared" ca="1" si="38"/>
        <v>1.9203457252279057</v>
      </c>
    </row>
    <row r="97" spans="1:25" x14ac:dyDescent="0.15">
      <c r="A97" s="8">
        <f t="shared" si="27"/>
        <v>43738</v>
      </c>
      <c r="B97" s="5" cm="1">
        <f t="array" aca="1" ref="B97" ca="1">OFFSET('Input IBGE'!$A$5,ROW()-2,COLUMN()-1,,)</f>
        <v>20578.62</v>
      </c>
      <c r="C97" s="5" cm="1">
        <f t="array" aca="1" ref="C97" ca="1">OFFSET('Input IBGE'!$A$5,ROW()-2,COLUMN()-1,,)</f>
        <v>54566.69</v>
      </c>
      <c r="D97" s="5" cm="1">
        <f t="array" aca="1" ref="D97" ca="1">OFFSET('Input IBGE'!$A$5,ROW()-2,COLUMN()-1,,)</f>
        <v>183131.42</v>
      </c>
      <c r="E97" s="5" cm="1">
        <f t="array" aca="1" ref="E97" ca="1">OFFSET('Input IBGE'!$A$5,ROW()-2,COLUMN()-1,,)</f>
        <v>256449.8</v>
      </c>
      <c r="F97" s="5">
        <f t="shared" ca="1" si="22"/>
        <v>44864.330000000016</v>
      </c>
      <c r="G97" s="5" cm="1">
        <f t="array" aca="1" ref="G97" ca="1">OFFSET('Input IBGE'!$A$5,ROW()-2,COLUMN()-2,,)</f>
        <v>301314.13</v>
      </c>
      <c r="I97" s="4">
        <f t="shared" ca="1" si="28"/>
        <v>2.7820440014564074</v>
      </c>
      <c r="J97" s="4">
        <f t="shared" ca="1" si="29"/>
        <v>-0.30090598848411254</v>
      </c>
      <c r="K97" s="4">
        <f t="shared" ca="1" si="30"/>
        <v>4.0599353972070595E-2</v>
      </c>
      <c r="L97" s="4">
        <f t="shared" ca="1" si="31"/>
        <v>7.7748119740750354E-2</v>
      </c>
      <c r="M97" s="4">
        <f t="shared" ca="1" si="32"/>
        <v>-0.53304795325369581</v>
      </c>
      <c r="N97" s="4">
        <f t="shared" ca="1" si="33"/>
        <v>-1.3671568377437993E-2</v>
      </c>
      <c r="P97" s="4">
        <f t="shared" ca="1" si="23"/>
        <v>6.7884634301931905</v>
      </c>
      <c r="Q97" s="4">
        <f t="shared" ca="1" si="24"/>
        <v>18.000428579355102</v>
      </c>
      <c r="R97" s="4">
        <f t="shared" ca="1" si="25"/>
        <v>60.411288394914244</v>
      </c>
      <c r="S97" s="4">
        <f t="shared" ca="1" si="26"/>
        <v>14.799819595537473</v>
      </c>
      <c r="U97" s="4">
        <f t="shared" ca="1" si="34"/>
        <v>2.4399249714255875</v>
      </c>
      <c r="V97" s="4">
        <f t="shared" ca="1" si="35"/>
        <v>1.3095897689803033</v>
      </c>
      <c r="W97" s="4">
        <f t="shared" ca="1" si="36"/>
        <v>1.7692509980882623</v>
      </c>
      <c r="X97" s="4">
        <f t="shared" ca="1" si="37"/>
        <v>1.6809354568785493</v>
      </c>
      <c r="Y97" s="4">
        <f t="shared" ca="1" si="38"/>
        <v>1.9101093616441835</v>
      </c>
    </row>
    <row r="98" spans="1:25" x14ac:dyDescent="0.15">
      <c r="A98" s="8">
        <f t="shared" si="27"/>
        <v>43830</v>
      </c>
      <c r="B98" s="5" cm="1">
        <f t="array" aca="1" ref="B98" ca="1">OFFSET('Input IBGE'!$A$5,ROW()-2,COLUMN()-1,,)</f>
        <v>20439.099999999999</v>
      </c>
      <c r="C98" s="5" cm="1">
        <f t="array" aca="1" ref="C98" ca="1">OFFSET('Input IBGE'!$A$5,ROW()-2,COLUMN()-1,,)</f>
        <v>54442.49</v>
      </c>
      <c r="D98" s="5" cm="1">
        <f t="array" aca="1" ref="D98" ca="1">OFFSET('Input IBGE'!$A$5,ROW()-2,COLUMN()-1,,)</f>
        <v>183312.98</v>
      </c>
      <c r="E98" s="5" cm="1">
        <f t="array" aca="1" ref="E98" ca="1">OFFSET('Input IBGE'!$A$5,ROW()-2,COLUMN()-1,,)</f>
        <v>257676.99</v>
      </c>
      <c r="F98" s="5">
        <f t="shared" ca="1" si="22"/>
        <v>44636.710000000021</v>
      </c>
      <c r="G98" s="5" cm="1">
        <f t="array" aca="1" ref="G98" ca="1">OFFSET('Input IBGE'!$A$5,ROW()-2,COLUMN()-2,,)</f>
        <v>302313.7</v>
      </c>
      <c r="I98" s="4">
        <f t="shared" ca="1" si="28"/>
        <v>-0.67798520989259536</v>
      </c>
      <c r="J98" s="4">
        <f t="shared" ca="1" si="29"/>
        <v>-0.22761138709348483</v>
      </c>
      <c r="K98" s="4">
        <f t="shared" ca="1" si="30"/>
        <v>9.9141916772116367E-2</v>
      </c>
      <c r="L98" s="4">
        <f t="shared" ca="1" si="31"/>
        <v>0.47853030105697858</v>
      </c>
      <c r="M98" s="4">
        <f t="shared" ca="1" si="32"/>
        <v>-0.50735183162212705</v>
      </c>
      <c r="N98" s="4">
        <f t="shared" ca="1" si="33"/>
        <v>0.33173684884941768</v>
      </c>
      <c r="P98" s="4">
        <f t="shared" ca="1" si="23"/>
        <v>6.7493358017705427</v>
      </c>
      <c r="Q98" s="4">
        <f t="shared" ca="1" si="24"/>
        <v>17.97782910668937</v>
      </c>
      <c r="R98" s="4">
        <f t="shared" ca="1" si="25"/>
        <v>60.533040047910504</v>
      </c>
      <c r="S98" s="4">
        <f t="shared" ca="1" si="26"/>
        <v>14.739795043629581</v>
      </c>
      <c r="U98" s="4">
        <f t="shared" ca="1" si="34"/>
        <v>2.423382640986846</v>
      </c>
      <c r="V98" s="4">
        <f t="shared" ca="1" si="35"/>
        <v>1.306608993541893</v>
      </c>
      <c r="W98" s="4">
        <f t="shared" ca="1" si="36"/>
        <v>1.7710050674402769</v>
      </c>
      <c r="X98" s="4">
        <f t="shared" ca="1" si="37"/>
        <v>1.6889792423809238</v>
      </c>
      <c r="Y98" s="4">
        <f t="shared" ca="1" si="38"/>
        <v>1.900418386811896</v>
      </c>
    </row>
    <row r="99" spans="1:25" x14ac:dyDescent="0.15">
      <c r="A99" s="8">
        <f t="shared" si="27"/>
        <v>43921</v>
      </c>
      <c r="B99" s="5" cm="1">
        <f t="array" aca="1" ref="B99" ca="1">OFFSET('Input IBGE'!$A$5,ROW()-2,COLUMN()-1,,)</f>
        <v>20600.27</v>
      </c>
      <c r="C99" s="5" cm="1">
        <f t="array" aca="1" ref="C99" ca="1">OFFSET('Input IBGE'!$A$5,ROW()-2,COLUMN()-1,,)</f>
        <v>53415.59</v>
      </c>
      <c r="D99" s="5" cm="1">
        <f t="array" aca="1" ref="D99" ca="1">OFFSET('Input IBGE'!$A$5,ROW()-2,COLUMN()-1,,)</f>
        <v>180381.02</v>
      </c>
      <c r="E99" s="5" cm="1">
        <f t="array" aca="1" ref="E99" ca="1">OFFSET('Input IBGE'!$A$5,ROW()-2,COLUMN()-1,,)</f>
        <v>252174.13</v>
      </c>
      <c r="F99" s="5">
        <f t="shared" ca="1" si="22"/>
        <v>43274.179999999993</v>
      </c>
      <c r="G99" s="5" cm="1">
        <f t="array" aca="1" ref="G99" ca="1">OFFSET('Input IBGE'!$A$5,ROW()-2,COLUMN()-2,,)</f>
        <v>295448.31</v>
      </c>
      <c r="I99" s="4">
        <f t="shared" ca="1" si="28"/>
        <v>0.78853765576762935</v>
      </c>
      <c r="J99" s="4">
        <f t="shared" ca="1" si="29"/>
        <v>-1.8862105682528552</v>
      </c>
      <c r="K99" s="4">
        <f t="shared" ca="1" si="30"/>
        <v>-1.5994284747321341</v>
      </c>
      <c r="L99" s="4">
        <f t="shared" ca="1" si="31"/>
        <v>-2.1355651507726781</v>
      </c>
      <c r="M99" s="4">
        <f t="shared" ca="1" si="32"/>
        <v>-3.0524875153209674</v>
      </c>
      <c r="N99" s="4">
        <f t="shared" ca="1" si="33"/>
        <v>-2.2709490175271574</v>
      </c>
      <c r="P99" s="4">
        <f t="shared" ca="1" si="23"/>
        <v>6.9204812856177549</v>
      </c>
      <c r="Q99" s="4">
        <f t="shared" ca="1" si="24"/>
        <v>17.944502230079067</v>
      </c>
      <c r="R99" s="4">
        <f t="shared" ca="1" si="25"/>
        <v>60.59743261572018</v>
      </c>
      <c r="S99" s="4">
        <f t="shared" ca="1" si="26"/>
        <v>14.53758386858299</v>
      </c>
      <c r="U99" s="4">
        <f t="shared" ca="1" si="34"/>
        <v>2.4424919256543633</v>
      </c>
      <c r="V99" s="4">
        <f t="shared" ca="1" si="35"/>
        <v>1.2819635966199636</v>
      </c>
      <c r="W99" s="4">
        <f t="shared" ca="1" si="36"/>
        <v>1.742679108102688</v>
      </c>
      <c r="X99" s="4">
        <f t="shared" ca="1" si="37"/>
        <v>1.6529099902768525</v>
      </c>
      <c r="Y99" s="4">
        <f t="shared" ca="1" si="38"/>
        <v>1.8424083528155988</v>
      </c>
    </row>
    <row r="100" spans="1:25" x14ac:dyDescent="0.15">
      <c r="A100" s="8">
        <f t="shared" si="27"/>
        <v>44012</v>
      </c>
      <c r="B100" s="5" cm="1">
        <f t="array" aca="1" ref="B100" ca="1">OFFSET('Input IBGE'!$A$5,ROW()-2,COLUMN()-1,,)</f>
        <v>20973.72</v>
      </c>
      <c r="C100" s="5" cm="1">
        <f t="array" aca="1" ref="C100" ca="1">OFFSET('Input IBGE'!$A$5,ROW()-2,COLUMN()-1,,)</f>
        <v>47610.97</v>
      </c>
      <c r="D100" s="5" cm="1">
        <f t="array" aca="1" ref="D100" ca="1">OFFSET('Input IBGE'!$A$5,ROW()-2,COLUMN()-1,,)</f>
        <v>164194.57999999999</v>
      </c>
      <c r="E100" s="5" cm="1">
        <f t="array" aca="1" ref="E100" ca="1">OFFSET('Input IBGE'!$A$5,ROW()-2,COLUMN()-1,,)</f>
        <v>230226.19</v>
      </c>
      <c r="F100" s="5">
        <f t="shared" ref="F100" ca="1" si="39">G100-E100</f>
        <v>39062.349999999977</v>
      </c>
      <c r="G100" s="5" cm="1">
        <f t="array" aca="1" ref="G100" ca="1">OFFSET('Input IBGE'!$A$5,ROW()-2,COLUMN()-2,,)</f>
        <v>269288.53999999998</v>
      </c>
      <c r="I100" s="4">
        <f t="shared" ref="I100" ca="1" si="40">100*(B100/B99-1)</f>
        <v>1.8128403171414842</v>
      </c>
      <c r="J100" s="4">
        <f t="shared" ref="J100" ca="1" si="41">100*(C100/C99-1)</f>
        <v>-10.866902340683682</v>
      </c>
      <c r="K100" s="4">
        <f t="shared" ref="K100" ca="1" si="42">100*(D100/D99-1)</f>
        <v>-8.9734718209266155</v>
      </c>
      <c r="L100" s="4">
        <f t="shared" ref="L100" ca="1" si="43">100*(E100/E99-1)</f>
        <v>-8.7034859602767352</v>
      </c>
      <c r="M100" s="4">
        <f t="shared" ref="M100" ca="1" si="44">100*(F100/F99-1)</f>
        <v>-9.7328938410849553</v>
      </c>
      <c r="N100" s="4">
        <f t="shared" ref="N100" ca="1" si="45">100*(G100/G99-1)</f>
        <v>-8.8542628658123022</v>
      </c>
      <c r="P100" s="4">
        <f t="shared" ref="P100" ca="1" si="46">B100/$G100/(SUM($B100:$D100,$F100)/$G100)*100</f>
        <v>7.7154190002252045</v>
      </c>
      <c r="Q100" s="4">
        <f t="shared" ref="Q100" ca="1" si="47">C100/$G100/(SUM($B100:$D100,$F100)/$G100)*100</f>
        <v>17.514231264513505</v>
      </c>
      <c r="R100" s="4">
        <f t="shared" ref="R100" ca="1" si="48">D100/$G100/(SUM($B100:$D100,$F100)/$G100)*100</f>
        <v>60.400824568364477</v>
      </c>
      <c r="S100" s="4">
        <f t="shared" ref="S100" ca="1" si="49">F100/$G100/(SUM($B100:$D100,$F100)/$G100)*100</f>
        <v>14.369525166896802</v>
      </c>
      <c r="U100" s="4">
        <f t="shared" ca="1" si="34"/>
        <v>2.4867704040255512</v>
      </c>
      <c r="V100" s="4">
        <f t="shared" ca="1" si="35"/>
        <v>1.142653864532156</v>
      </c>
      <c r="W100" s="4">
        <f t="shared" ca="1" si="36"/>
        <v>1.5863002894079181</v>
      </c>
      <c r="X100" s="4">
        <f t="shared" ca="1" si="37"/>
        <v>1.5090492013370951</v>
      </c>
      <c r="Y100" s="4">
        <f t="shared" ca="1" si="38"/>
        <v>1.6630887037167745</v>
      </c>
    </row>
    <row r="101" spans="1:25" x14ac:dyDescent="0.15">
      <c r="A101" s="8">
        <f t="shared" si="27"/>
        <v>44104</v>
      </c>
      <c r="B101" s="5" cm="1">
        <f t="array" aca="1" ref="B101" ca="1">OFFSET('Input IBGE'!$A$5,ROW()-2,COLUMN()-1,,)</f>
        <v>21093.5</v>
      </c>
      <c r="C101" s="5" cm="1">
        <f t="array" aca="1" ref="C101" ca="1">OFFSET('Input IBGE'!$A$5,ROW()-2,COLUMN()-1,,)</f>
        <v>54329</v>
      </c>
      <c r="D101" s="5" cm="1">
        <f t="array" aca="1" ref="D101" ca="1">OFFSET('Input IBGE'!$A$5,ROW()-2,COLUMN()-1,,)</f>
        <v>174374.2</v>
      </c>
      <c r="E101" s="5" cm="1">
        <f t="array" aca="1" ref="E101" ca="1">OFFSET('Input IBGE'!$A$5,ROW()-2,COLUMN()-1,,)</f>
        <v>247563.98</v>
      </c>
      <c r="F101" s="5">
        <f t="shared" ref="F101" ca="1" si="50">G101-E101</f>
        <v>42643.649999999994</v>
      </c>
      <c r="G101" s="5" cm="1">
        <f t="array" aca="1" ref="G101" ca="1">OFFSET('Input IBGE'!$A$5,ROW()-2,COLUMN()-2,,)</f>
        <v>290207.63</v>
      </c>
      <c r="I101" s="4">
        <f t="shared" ref="I101" ca="1" si="51">100*(B101/B100-1)</f>
        <v>0.57109563777908434</v>
      </c>
      <c r="J101" s="4">
        <f t="shared" ref="J101" ca="1" si="52">100*(C101/C100-1)</f>
        <v>14.11025652281397</v>
      </c>
      <c r="K101" s="4">
        <f t="shared" ref="K101" ca="1" si="53">100*(D101/D100-1)</f>
        <v>6.1997296134866486</v>
      </c>
      <c r="L101" s="4">
        <f t="shared" ref="L101" ca="1" si="54">100*(E101/E100-1)</f>
        <v>7.5307635504023196</v>
      </c>
      <c r="M101" s="4">
        <f t="shared" ref="M101" ca="1" si="55">100*(F101/F100-1)</f>
        <v>9.1681632057467599</v>
      </c>
      <c r="N101" s="4">
        <f t="shared" ref="N101" ca="1" si="56">100*(G101/G100-1)</f>
        <v>7.7682808187827135</v>
      </c>
      <c r="P101" s="4">
        <f t="shared" ref="P101" ca="1" si="57">B101/$G101/(SUM($B101:$D101,$F101)/$G101)*100</f>
        <v>7.2129239347442988</v>
      </c>
      <c r="Q101" s="4">
        <f t="shared" ref="Q101" ca="1" si="58">C101/$G101/(SUM($B101:$D101,$F101)/$G101)*100</f>
        <v>18.577805696101787</v>
      </c>
      <c r="R101" s="4">
        <f t="shared" ref="R101" ca="1" si="59">D101/$G101/(SUM($B101:$D101,$F101)/$G101)*100</f>
        <v>59.627270997316209</v>
      </c>
      <c r="S101" s="4">
        <f t="shared" ref="S101" ca="1" si="60">F101/$G101/(SUM($B101:$D101,$F101)/$G101)*100</f>
        <v>14.581999371837709</v>
      </c>
      <c r="U101" s="4">
        <f t="shared" ca="1" si="34"/>
        <v>2.5009722413245226</v>
      </c>
      <c r="V101" s="4">
        <f t="shared" ca="1" si="35"/>
        <v>1.3038852559854905</v>
      </c>
      <c r="W101" s="4">
        <f t="shared" ca="1" si="36"/>
        <v>1.6846466182091653</v>
      </c>
      <c r="X101" s="4">
        <f t="shared" ca="1" si="37"/>
        <v>1.6226921285490263</v>
      </c>
      <c r="Y101" s="4">
        <f t="shared" ca="1" si="38"/>
        <v>1.8155633903298667</v>
      </c>
    </row>
    <row r="102" spans="1:25" x14ac:dyDescent="0.15">
      <c r="A102" s="8">
        <f t="shared" si="27"/>
        <v>44196</v>
      </c>
      <c r="B102" s="5" cm="1">
        <f t="array" aca="1" ref="B102" ca="1">OFFSET('Input IBGE'!$A$5,ROW()-2,COLUMN()-1,,)</f>
        <v>20867.919999999998</v>
      </c>
      <c r="C102" s="5" cm="1">
        <f t="array" aca="1" ref="C102" ca="1">OFFSET('Input IBGE'!$A$5,ROW()-2,COLUMN()-1,,)</f>
        <v>54893.25</v>
      </c>
      <c r="D102" s="5" cm="1">
        <f t="array" aca="1" ref="D102" ca="1">OFFSET('Input IBGE'!$A$5,ROW()-2,COLUMN()-1,,)</f>
        <v>179664.83</v>
      </c>
      <c r="E102" s="5" cm="1">
        <f t="array" aca="1" ref="E102" ca="1">OFFSET('Input IBGE'!$A$5,ROW()-2,COLUMN()-1,,)</f>
        <v>254703.09</v>
      </c>
      <c r="F102" s="5">
        <f t="shared" ref="F102" ca="1" si="61">G102-E102</f>
        <v>44543.709999999992</v>
      </c>
      <c r="G102" s="5" cm="1">
        <f t="array" aca="1" ref="G102" ca="1">OFFSET('Input IBGE'!$A$5,ROW()-2,COLUMN()-2,,)</f>
        <v>299246.8</v>
      </c>
      <c r="I102" s="4">
        <f t="shared" ref="I102" ca="1" si="62">100*(B102/B101-1)</f>
        <v>-1.0694289710100335</v>
      </c>
      <c r="J102" s="4">
        <f t="shared" ref="J102" ca="1" si="63">100*(C102/C101-1)</f>
        <v>1.0385797640302563</v>
      </c>
      <c r="K102" s="4">
        <f t="shared" ref="K102" ca="1" si="64">100*(D102/D101-1)</f>
        <v>3.0340669663287301</v>
      </c>
      <c r="L102" s="4">
        <f t="shared" ref="L102" ca="1" si="65">100*(E102/E101-1)</f>
        <v>2.8837434266487438</v>
      </c>
      <c r="M102" s="4">
        <f t="shared" ref="M102" ca="1" si="66">100*(F102/F101-1)</f>
        <v>4.4556692497007111</v>
      </c>
      <c r="N102" s="4">
        <f t="shared" ref="N102" ca="1" si="67">100*(G102/G101-1)</f>
        <v>3.1147251366202777</v>
      </c>
      <c r="P102" s="4">
        <f t="shared" ref="P102" ca="1" si="68">B102/$G102/(SUM($B102:$D102,$F102)/$G102)*100</f>
        <v>6.9566757256924392</v>
      </c>
      <c r="Q102" s="4">
        <f t="shared" ref="Q102" ca="1" si="69">C102/$G102/(SUM($B102:$D102,$F102)/$G102)*100</f>
        <v>18.299597649376004</v>
      </c>
      <c r="R102" s="4">
        <f t="shared" ref="R102" ca="1" si="70">D102/$G102/(SUM($B102:$D102,$F102)/$G102)*100</f>
        <v>59.894323996912902</v>
      </c>
      <c r="S102" s="4">
        <f t="shared" ref="S102" ca="1" si="71">F102/$G102/(SUM($B102:$D102,$F102)/$G102)*100</f>
        <v>14.849402628018677</v>
      </c>
      <c r="U102" s="4">
        <f t="shared" ca="1" si="34"/>
        <v>2.4742261196188791</v>
      </c>
      <c r="V102" s="4">
        <f t="shared" ca="1" si="35"/>
        <v>1.31742714440033</v>
      </c>
      <c r="W102" s="4">
        <f t="shared" ca="1" si="36"/>
        <v>1.7357599247516236</v>
      </c>
      <c r="X102" s="4">
        <f t="shared" ca="1" si="37"/>
        <v>1.6694864061408055</v>
      </c>
      <c r="Y102" s="4">
        <f t="shared" ca="1" si="38"/>
        <v>1.8964588900216182</v>
      </c>
    </row>
    <row r="103" spans="1:25" x14ac:dyDescent="0.15">
      <c r="A103" s="8">
        <f t="shared" si="27"/>
        <v>44286</v>
      </c>
      <c r="B103" s="5" cm="1">
        <f t="array" aca="1" ref="B103" ca="1">OFFSET('Input IBGE'!$A$5,ROW()-2,COLUMN()-1,,)</f>
        <v>21666.57</v>
      </c>
      <c r="C103" s="5" cm="1">
        <f t="array" aca="1" ref="C103" ca="1">OFFSET('Input IBGE'!$A$5,ROW()-2,COLUMN()-1,,)</f>
        <v>55381.71</v>
      </c>
      <c r="D103" s="5" cm="1">
        <f t="array" aca="1" ref="D103" ca="1">OFFSET('Input IBGE'!$A$5,ROW()-2,COLUMN()-1,,)</f>
        <v>181353.5</v>
      </c>
      <c r="E103" s="5" cm="1">
        <f t="array" aca="1" ref="E103" ca="1">OFFSET('Input IBGE'!$A$5,ROW()-2,COLUMN()-1,,)</f>
        <v>258094.34</v>
      </c>
      <c r="F103" s="5">
        <f t="shared" ref="F103" ca="1" si="72">G103-E103</f>
        <v>45172.74000000002</v>
      </c>
      <c r="G103" s="5" cm="1">
        <f t="array" aca="1" ref="G103" ca="1">OFFSET('Input IBGE'!$A$5,ROW()-2,COLUMN()-2,,)</f>
        <v>303267.08</v>
      </c>
      <c r="I103" s="4">
        <f t="shared" ref="I103" ca="1" si="73">100*(B103/B102-1)</f>
        <v>3.8271662916093296</v>
      </c>
      <c r="J103" s="4">
        <f t="shared" ref="J103" ca="1" si="74">100*(C103/C102-1)</f>
        <v>0.88983618204423465</v>
      </c>
      <c r="K103" s="4">
        <f t="shared" ref="K103" ca="1" si="75">100*(D103/D102-1)</f>
        <v>0.93990014628906327</v>
      </c>
      <c r="L103" s="4">
        <f t="shared" ref="L103" ca="1" si="76">100*(E103/E102-1)</f>
        <v>1.3314522411173035</v>
      </c>
      <c r="M103" s="4">
        <f t="shared" ref="M103" ca="1" si="77">100*(F103/F102-1)</f>
        <v>1.4121634681979245</v>
      </c>
      <c r="N103" s="4">
        <f t="shared" ref="N103" ca="1" si="78">100*(G103/G102-1)</f>
        <v>1.3434663294645155</v>
      </c>
      <c r="P103" s="4">
        <f t="shared" ref="P103" ca="1" si="79">B103/$G103/(SUM($B103:$D103,$F103)/$G103)*100</f>
        <v>7.1371503774427429</v>
      </c>
      <c r="Q103" s="4">
        <f t="shared" ref="Q103" ca="1" si="80">C103/$G103/(SUM($B103:$D103,$F103)/$G103)*100</f>
        <v>18.243201043355022</v>
      </c>
      <c r="R103" s="4">
        <f t="shared" ref="R103" ca="1" si="81">D103/$G103/(SUM($B103:$D103,$F103)/$G103)*100</f>
        <v>59.73936811297601</v>
      </c>
      <c r="S103" s="4">
        <f t="shared" ref="S103" ca="1" si="82">F103/$G103/(SUM($B103:$D103,$F103)/$G103)*100</f>
        <v>14.880280466226219</v>
      </c>
      <c r="U103" s="4">
        <f t="shared" ca="1" si="34"/>
        <v>2.5689188676471262</v>
      </c>
      <c r="V103" s="4">
        <f t="shared" ca="1" si="35"/>
        <v>1.3291500878032763</v>
      </c>
      <c r="W103" s="4">
        <f t="shared" ca="1" si="36"/>
        <v>1.752074334823591</v>
      </c>
      <c r="X103" s="4">
        <f t="shared" ca="1" si="37"/>
        <v>1.6917148203105159</v>
      </c>
      <c r="Y103" s="4">
        <f t="shared" ca="1" si="38"/>
        <v>1.9232399896558954</v>
      </c>
    </row>
    <row r="104" spans="1:25" x14ac:dyDescent="0.15">
      <c r="A104" s="8">
        <f t="shared" si="27"/>
        <v>44377</v>
      </c>
      <c r="B104" s="5" cm="1">
        <f t="array" aca="1" ref="B104" ca="1">OFFSET('Input IBGE'!$A$5,ROW()-2,COLUMN()-1,,)</f>
        <v>21048.51</v>
      </c>
      <c r="C104" s="5" cm="1">
        <f t="array" aca="1" ref="C104" ca="1">OFFSET('Input IBGE'!$A$5,ROW()-2,COLUMN()-1,,)</f>
        <v>55077.67</v>
      </c>
      <c r="D104" s="5" cm="1">
        <f t="array" aca="1" ref="D104" ca="1">OFFSET('Input IBGE'!$A$5,ROW()-2,COLUMN()-1,,)</f>
        <v>182397.09</v>
      </c>
      <c r="E104" s="5" cm="1">
        <f t="array" aca="1" ref="E104" ca="1">OFFSET('Input IBGE'!$A$5,ROW()-2,COLUMN()-1,,)</f>
        <v>257110.45</v>
      </c>
      <c r="F104" s="5">
        <f t="shared" ref="F104" ca="1" si="83">G104-E104</f>
        <v>45091.659999999974</v>
      </c>
      <c r="G104" s="5" cm="1">
        <f t="array" aca="1" ref="G104" ca="1">OFFSET('Input IBGE'!$A$5,ROW()-2,COLUMN()-2,,)</f>
        <v>302202.11</v>
      </c>
      <c r="I104" s="4">
        <f t="shared" ref="I104" ca="1" si="84">100*(B104/B103-1)</f>
        <v>-2.8525973423573769</v>
      </c>
      <c r="J104" s="4">
        <f t="shared" ref="J104" ca="1" si="85">100*(C104/C103-1)</f>
        <v>-0.54898991020682075</v>
      </c>
      <c r="K104" s="4">
        <f t="shared" ref="K104" ca="1" si="86">100*(D104/D103-1)</f>
        <v>0.57544519405470229</v>
      </c>
      <c r="L104" s="4">
        <f t="shared" ref="L104" ca="1" si="87">100*(E104/E103-1)</f>
        <v>-0.38121331912973622</v>
      </c>
      <c r="M104" s="4">
        <f t="shared" ref="M104" ca="1" si="88">100*(F104/F103-1)</f>
        <v>-0.17948878018035908</v>
      </c>
      <c r="N104" s="4">
        <f t="shared" ref="N104" ca="1" si="89">100*(G104/G103-1)</f>
        <v>-0.35116571175480837</v>
      </c>
      <c r="P104" s="4">
        <f t="shared" ref="P104" ca="1" si="90">B104/$G104/(SUM($B104:$D104,$F104)/$G104)*100</f>
        <v>6.9326333853213349</v>
      </c>
      <c r="Q104" s="4">
        <f t="shared" ref="Q104" ca="1" si="91">C104/$G104/(SUM($B104:$D104,$F104)/$G104)*100</f>
        <v>18.14063293922997</v>
      </c>
      <c r="R104" s="4">
        <f t="shared" ref="R104" ca="1" si="92">D104/$G104/(SUM($B104:$D104,$F104)/$G104)*100</f>
        <v>60.075138597433273</v>
      </c>
      <c r="S104" s="4">
        <f t="shared" ref="S104" ca="1" si="93">F104/$G104/(SUM($B104:$D104,$F104)/$G104)*100</f>
        <v>14.851595078015428</v>
      </c>
      <c r="U104" s="4">
        <f t="shared" ca="1" si="34"/>
        <v>2.4956379563013069</v>
      </c>
      <c r="V104" s="4">
        <f t="shared" ca="1" si="35"/>
        <v>1.3218531879297313</v>
      </c>
      <c r="W104" s="4">
        <f t="shared" ca="1" si="36"/>
        <v>1.7621565623795992</v>
      </c>
      <c r="X104" s="4">
        <f t="shared" ca="1" si="37"/>
        <v>1.6852657780938005</v>
      </c>
      <c r="Y104" s="4">
        <f t="shared" ca="1" si="38"/>
        <v>1.919787989658521</v>
      </c>
    </row>
    <row r="105" spans="1:25" x14ac:dyDescent="0.15">
      <c r="A105" s="8">
        <f t="shared" si="27"/>
        <v>44469</v>
      </c>
      <c r="B105" s="5" cm="1">
        <f t="array" aca="1" ref="B105" ca="1">OFFSET('Input IBGE'!$A$5,ROW()-2,COLUMN()-1,,)</f>
        <v>19373</v>
      </c>
      <c r="C105" s="5" cm="1">
        <f t="array" aca="1" ref="C105" ca="1">OFFSET('Input IBGE'!$A$5,ROW()-2,COLUMN()-1,,)</f>
        <v>55063.29</v>
      </c>
      <c r="D105" s="5" cm="1">
        <f t="array" aca="1" ref="D105" ca="1">OFFSET('Input IBGE'!$A$5,ROW()-2,COLUMN()-1,,)</f>
        <v>184461.69</v>
      </c>
      <c r="E105" s="5" cm="1">
        <f t="array" aca="1" ref="E105" ca="1">OFFSET('Input IBGE'!$A$5,ROW()-2,COLUMN()-1,,)</f>
        <v>256721.61</v>
      </c>
      <c r="F105" s="5">
        <f t="shared" ref="F105" ca="1" si="94">G105-E105</f>
        <v>45196.910000000033</v>
      </c>
      <c r="G105" s="5" cm="1">
        <f t="array" aca="1" ref="G105" ca="1">OFFSET('Input IBGE'!$A$5,ROW()-2,COLUMN()-2,,)</f>
        <v>301918.52</v>
      </c>
      <c r="I105" s="4">
        <f t="shared" ref="I105" ca="1" si="95">100*(B105/B104-1)</f>
        <v>-7.960230914207223</v>
      </c>
      <c r="J105" s="4">
        <f t="shared" ref="J105" ca="1" si="96">100*(C105/C104-1)</f>
        <v>-2.6108584477158026E-2</v>
      </c>
      <c r="K105" s="4">
        <f t="shared" ref="K105" ca="1" si="97">100*(D105/D104-1)</f>
        <v>1.131925953423929</v>
      </c>
      <c r="L105" s="4">
        <f t="shared" ref="L105" ca="1" si="98">100*(E105/E104-1)</f>
        <v>-0.15123461531805216</v>
      </c>
      <c r="M105" s="4">
        <f t="shared" ref="M105" ca="1" si="99">100*(F105/F104-1)</f>
        <v>0.23341345162288807</v>
      </c>
      <c r="N105" s="4">
        <f t="shared" ref="N105" ca="1" si="100">100*(G105/G104-1)</f>
        <v>-9.3841171393527212E-2</v>
      </c>
      <c r="P105" s="4">
        <f t="shared" ref="P105" ca="1" si="101">B105/$G105/(SUM($B105:$D105,$F105)/$G105)*100</f>
        <v>6.3707088271032761</v>
      </c>
      <c r="Q105" s="4">
        <f t="shared" ref="Q105" ca="1" si="102">C105/$G105/(SUM($B105:$D105,$F105)/$G105)*100</f>
        <v>18.107272371462734</v>
      </c>
      <c r="R105" s="4">
        <f t="shared" ref="R105" ca="1" si="103">D105/$G105/(SUM($B105:$D105,$F105)/$G105)*100</f>
        <v>60.659253432374349</v>
      </c>
      <c r="S105" s="4">
        <f t="shared" ref="S105" ca="1" si="104">F105/$G105/(SUM($B105:$D105,$F105)/$G105)*100</f>
        <v>14.86276536905965</v>
      </c>
      <c r="U105" s="4">
        <f t="shared" ca="1" si="34"/>
        <v>2.2969794121971208</v>
      </c>
      <c r="V105" s="4">
        <f t="shared" ca="1" si="35"/>
        <v>1.3215080707734967</v>
      </c>
      <c r="W105" s="4">
        <f t="shared" ca="1" si="36"/>
        <v>1.7821028698491368</v>
      </c>
      <c r="X105" s="4">
        <f t="shared" ca="1" si="37"/>
        <v>1.6827170728772136</v>
      </c>
      <c r="Y105" s="4">
        <f t="shared" ca="1" si="38"/>
        <v>1.9242690330690246</v>
      </c>
    </row>
    <row r="106" spans="1:25" x14ac:dyDescent="0.15">
      <c r="A106" s="8"/>
      <c r="B106" s="3"/>
      <c r="C106" s="3"/>
      <c r="D106" s="3"/>
      <c r="E106" s="3"/>
      <c r="F106" s="3"/>
      <c r="G106" s="3"/>
    </row>
    <row r="107" spans="1:25" x14ac:dyDescent="0.15">
      <c r="A107" s="8"/>
      <c r="B107" s="3"/>
      <c r="C107" s="3"/>
      <c r="D107" s="3"/>
      <c r="E107" s="3"/>
      <c r="F107" s="3"/>
      <c r="G107" s="3"/>
    </row>
    <row r="108" spans="1:25" x14ac:dyDescent="0.15">
      <c r="A108" s="8"/>
      <c r="B108" s="3"/>
      <c r="C108" s="3"/>
      <c r="D108" s="3"/>
      <c r="E108" s="3"/>
      <c r="F108" s="3"/>
      <c r="G108" s="3"/>
    </row>
    <row r="109" spans="1:25" x14ac:dyDescent="0.15">
      <c r="A109" s="8"/>
      <c r="B109" s="3"/>
      <c r="C109" s="3"/>
      <c r="D109" s="3"/>
      <c r="E109" s="3"/>
      <c r="F109" s="3"/>
      <c r="G109" s="3"/>
    </row>
    <row r="110" spans="1:25" x14ac:dyDescent="0.15">
      <c r="A110" s="8"/>
      <c r="B110" s="3"/>
      <c r="C110" s="3"/>
      <c r="D110" s="3"/>
      <c r="E110" s="3"/>
      <c r="F110" s="3"/>
      <c r="G110" s="3"/>
    </row>
    <row r="111" spans="1:25" x14ac:dyDescent="0.15">
      <c r="A111" s="8"/>
      <c r="B111" s="3"/>
      <c r="C111" s="3"/>
      <c r="D111" s="3"/>
      <c r="E111" s="3"/>
      <c r="F111" s="3"/>
      <c r="G111" s="3"/>
    </row>
    <row r="112" spans="1:25" x14ac:dyDescent="0.15">
      <c r="A112" s="8"/>
      <c r="B112" s="3"/>
      <c r="C112" s="3"/>
      <c r="D112" s="3"/>
      <c r="E112" s="3"/>
      <c r="F112" s="3"/>
      <c r="G112" s="3"/>
    </row>
    <row r="113" spans="1:7" x14ac:dyDescent="0.15">
      <c r="A113" s="8"/>
      <c r="B113" s="3"/>
      <c r="C113" s="3"/>
      <c r="D113" s="3"/>
      <c r="E113" s="3"/>
      <c r="F113" s="3"/>
      <c r="G113" s="3"/>
    </row>
    <row r="114" spans="1:7" x14ac:dyDescent="0.15">
      <c r="A114" s="8"/>
      <c r="B114" s="3"/>
      <c r="C114" s="3"/>
      <c r="D114" s="3"/>
      <c r="E114" s="3"/>
      <c r="F114" s="3"/>
      <c r="G114" s="3"/>
    </row>
    <row r="115" spans="1:7" x14ac:dyDescent="0.15">
      <c r="A115" s="8"/>
      <c r="B115" s="3"/>
      <c r="C115" s="3"/>
      <c r="D115" s="3"/>
      <c r="E115" s="3"/>
      <c r="F115" s="3"/>
      <c r="G115" s="3"/>
    </row>
    <row r="116" spans="1:7" x14ac:dyDescent="0.15">
      <c r="A116" s="8"/>
      <c r="B116" s="3"/>
      <c r="C116" s="3"/>
      <c r="D116" s="3"/>
      <c r="E116" s="3"/>
      <c r="F116" s="3"/>
      <c r="G116" s="3"/>
    </row>
    <row r="117" spans="1:7" x14ac:dyDescent="0.15">
      <c r="A117" s="8"/>
      <c r="B117" s="3"/>
      <c r="C117" s="3"/>
      <c r="D117" s="3"/>
      <c r="E117" s="3"/>
      <c r="F117" s="3"/>
      <c r="G117" s="3"/>
    </row>
    <row r="118" spans="1:7" x14ac:dyDescent="0.15">
      <c r="A118" s="8"/>
      <c r="B118" s="3"/>
      <c r="C118" s="3"/>
      <c r="D118" s="3"/>
      <c r="E118" s="3"/>
      <c r="F118" s="3"/>
      <c r="G118" s="3"/>
    </row>
    <row r="119" spans="1:7" x14ac:dyDescent="0.15">
      <c r="A119" s="8"/>
      <c r="B119" s="3"/>
      <c r="C119" s="3"/>
      <c r="D119" s="3"/>
      <c r="E119" s="3"/>
      <c r="F119" s="3"/>
      <c r="G119" s="3"/>
    </row>
    <row r="120" spans="1:7" x14ac:dyDescent="0.15">
      <c r="A120" s="8"/>
      <c r="B120" s="3"/>
      <c r="C120" s="3"/>
      <c r="D120" s="3"/>
      <c r="E120" s="3"/>
      <c r="F120" s="3"/>
      <c r="G120" s="3"/>
    </row>
    <row r="121" spans="1:7" x14ac:dyDescent="0.15">
      <c r="A121" s="8"/>
      <c r="B121" s="3"/>
      <c r="C121" s="3"/>
      <c r="D121" s="3"/>
      <c r="E121" s="3"/>
      <c r="F121" s="3"/>
      <c r="G121" s="3"/>
    </row>
    <row r="122" spans="1:7" x14ac:dyDescent="0.15">
      <c r="A122" s="8"/>
      <c r="B122" s="3"/>
      <c r="C122" s="3"/>
      <c r="D122" s="3"/>
      <c r="E122" s="3"/>
      <c r="F122" s="3"/>
      <c r="G122" s="3"/>
    </row>
    <row r="123" spans="1:7" x14ac:dyDescent="0.15">
      <c r="A123" s="8"/>
      <c r="B123" s="3"/>
      <c r="C123" s="3"/>
      <c r="D123" s="3"/>
      <c r="E123" s="3"/>
      <c r="F123" s="3"/>
      <c r="G123" s="3"/>
    </row>
    <row r="124" spans="1:7" x14ac:dyDescent="0.15">
      <c r="A124" s="8"/>
      <c r="B124" s="3"/>
      <c r="C124" s="3"/>
      <c r="D124" s="3"/>
      <c r="E124" s="3"/>
      <c r="F124" s="3"/>
      <c r="G124" s="3"/>
    </row>
    <row r="125" spans="1:7" x14ac:dyDescent="0.15">
      <c r="A125" s="8"/>
      <c r="B125" s="3"/>
      <c r="C125" s="3"/>
      <c r="D125" s="3"/>
      <c r="E125" s="3"/>
      <c r="F125" s="3"/>
      <c r="G125" s="3"/>
    </row>
    <row r="126" spans="1:7" x14ac:dyDescent="0.15">
      <c r="A126" s="8"/>
      <c r="B126" s="3"/>
      <c r="C126" s="3"/>
      <c r="D126" s="3"/>
      <c r="E126" s="3"/>
      <c r="F126" s="3"/>
      <c r="G126" s="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8A587-3ADE-4F9E-A0B3-EB175DE0D187}">
  <sheetPr codeName="Sheet3">
    <tabColor theme="0" tint="-0.249977111117893"/>
  </sheetPr>
  <dimension ref="A1:BN126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baseColWidth="10" defaultColWidth="8.83203125" defaultRowHeight="11" x14ac:dyDescent="0.15"/>
  <cols>
    <col min="1" max="1" width="8.83203125" style="2"/>
    <col min="2" max="17" width="11" style="2" customWidth="1"/>
    <col min="18" max="18" width="5.1640625" style="2" customWidth="1"/>
    <col min="19" max="33" width="14.33203125" style="2" customWidth="1"/>
    <col min="34" max="34" width="5.1640625" style="2" customWidth="1"/>
    <col min="35" max="43" width="20" style="2" bestFit="1" customWidth="1"/>
    <col min="44" max="49" width="20.83203125" style="2" bestFit="1" customWidth="1"/>
    <col min="50" max="50" width="4.5" style="2" customWidth="1"/>
    <col min="51" max="59" width="8.83203125" style="2"/>
    <col min="60" max="60" width="1.5" style="2" customWidth="1"/>
    <col min="61" max="62" width="8.83203125" style="2"/>
    <col min="63" max="63" width="8.33203125" style="2" bestFit="1" customWidth="1"/>
    <col min="64" max="64" width="4.5" style="2" customWidth="1"/>
    <col min="65" max="16384" width="8.83203125" style="2"/>
  </cols>
  <sheetData>
    <row r="1" spans="1:63" x14ac:dyDescent="0.15">
      <c r="A1" s="7">
        <v>3</v>
      </c>
      <c r="B1" s="1" t="s">
        <v>125</v>
      </c>
      <c r="C1" s="1" t="s">
        <v>118</v>
      </c>
      <c r="D1" s="1" t="s">
        <v>119</v>
      </c>
      <c r="E1" s="1" t="s">
        <v>120</v>
      </c>
      <c r="F1" s="1" t="s">
        <v>121</v>
      </c>
      <c r="G1" s="1" t="s">
        <v>122</v>
      </c>
      <c r="H1" s="1" t="s">
        <v>123</v>
      </c>
      <c r="I1" s="1" t="s">
        <v>126</v>
      </c>
      <c r="J1" s="1" t="s">
        <v>127</v>
      </c>
      <c r="K1" s="1" t="s">
        <v>128</v>
      </c>
      <c r="L1" s="1" t="s">
        <v>149</v>
      </c>
      <c r="M1" s="1" t="s">
        <v>150</v>
      </c>
      <c r="N1" s="1" t="s">
        <v>151</v>
      </c>
      <c r="O1" s="1" t="s">
        <v>155</v>
      </c>
      <c r="P1" s="1" t="s">
        <v>156</v>
      </c>
      <c r="Q1" s="1" t="s">
        <v>157</v>
      </c>
      <c r="R1" s="1" t="s">
        <v>137</v>
      </c>
      <c r="S1" s="3" t="str">
        <f>"Resíduo - "&amp;C1</f>
        <v>Resíduo - Modelo 1</v>
      </c>
      <c r="T1" s="3" t="str">
        <f t="shared" ref="T1:AA1" si="0">"Resíduo - "&amp;D1</f>
        <v>Resíduo - Modelo 2</v>
      </c>
      <c r="U1" s="3" t="str">
        <f t="shared" si="0"/>
        <v>Resíduo - Modelo 3</v>
      </c>
      <c r="V1" s="3" t="str">
        <f t="shared" si="0"/>
        <v>Resíduo - Modelo 4</v>
      </c>
      <c r="W1" s="3" t="str">
        <f t="shared" si="0"/>
        <v>Resíduo - Modelo 5</v>
      </c>
      <c r="X1" s="3" t="str">
        <f t="shared" si="0"/>
        <v>Resíduo - Modelo 6</v>
      </c>
      <c r="Y1" s="3" t="str">
        <f t="shared" si="0"/>
        <v>Resíduo - Modelo 7</v>
      </c>
      <c r="Z1" s="3" t="str">
        <f t="shared" si="0"/>
        <v>Resíduo - Modelo 8</v>
      </c>
      <c r="AA1" s="3" t="str">
        <f t="shared" si="0"/>
        <v>Resíduo - Modelo 9</v>
      </c>
      <c r="AB1" s="3" t="str">
        <f t="shared" ref="AB1" si="1">"Resíduo - "&amp;L1</f>
        <v>Resíduo - Modelo 10</v>
      </c>
      <c r="AC1" s="3" t="str">
        <f t="shared" ref="AC1" si="2">"Resíduo - "&amp;M1</f>
        <v>Resíduo - Modelo 11</v>
      </c>
      <c r="AD1" s="3" t="str">
        <f t="shared" ref="AD1" si="3">"Resíduo - "&amp;N1</f>
        <v>Resíduo - Modelo 12</v>
      </c>
      <c r="AE1" s="3" t="str">
        <f t="shared" ref="AE1" si="4">"Resíduo - "&amp;O1</f>
        <v>Resíduo - Modelo 13</v>
      </c>
      <c r="AF1" s="3" t="str">
        <f t="shared" ref="AF1" si="5">"Resíduo - "&amp;P1</f>
        <v>Resíduo - Modelo 14</v>
      </c>
      <c r="AG1" s="3" t="str">
        <f t="shared" ref="AG1" si="6">"Resíduo - "&amp;Q1</f>
        <v>Resíduo - Modelo 15</v>
      </c>
      <c r="AH1" s="1"/>
      <c r="AI1" s="3" t="str">
        <f>"Resíduo^2 - "&amp;C1</f>
        <v>Resíduo^2 - Modelo 1</v>
      </c>
      <c r="AJ1" s="3" t="str">
        <f t="shared" ref="AJ1:AW1" si="7">"Resíduo^2 - "&amp;D1</f>
        <v>Resíduo^2 - Modelo 2</v>
      </c>
      <c r="AK1" s="3" t="str">
        <f t="shared" si="7"/>
        <v>Resíduo^2 - Modelo 3</v>
      </c>
      <c r="AL1" s="3" t="str">
        <f t="shared" si="7"/>
        <v>Resíduo^2 - Modelo 4</v>
      </c>
      <c r="AM1" s="3" t="str">
        <f t="shared" si="7"/>
        <v>Resíduo^2 - Modelo 5</v>
      </c>
      <c r="AN1" s="3" t="str">
        <f t="shared" si="7"/>
        <v>Resíduo^2 - Modelo 6</v>
      </c>
      <c r="AO1" s="3" t="str">
        <f t="shared" si="7"/>
        <v>Resíduo^2 - Modelo 7</v>
      </c>
      <c r="AP1" s="3" t="str">
        <f t="shared" si="7"/>
        <v>Resíduo^2 - Modelo 8</v>
      </c>
      <c r="AQ1" s="3" t="str">
        <f t="shared" si="7"/>
        <v>Resíduo^2 - Modelo 9</v>
      </c>
      <c r="AR1" s="3" t="str">
        <f t="shared" si="7"/>
        <v>Resíduo^2 - Modelo 10</v>
      </c>
      <c r="AS1" s="3" t="str">
        <f t="shared" si="7"/>
        <v>Resíduo^2 - Modelo 11</v>
      </c>
      <c r="AT1" s="3" t="str">
        <f t="shared" si="7"/>
        <v>Resíduo^2 - Modelo 12</v>
      </c>
      <c r="AU1" s="3" t="str">
        <f t="shared" si="7"/>
        <v>Resíduo^2 - Modelo 13</v>
      </c>
      <c r="AV1" s="3" t="str">
        <f t="shared" si="7"/>
        <v>Resíduo^2 - Modelo 14</v>
      </c>
      <c r="AW1" s="3" t="str">
        <f t="shared" si="7"/>
        <v>Resíduo^2 - Modelo 15</v>
      </c>
    </row>
    <row r="2" spans="1:63" x14ac:dyDescent="0.15">
      <c r="A2" s="3" t="s">
        <v>111</v>
      </c>
      <c r="B2" s="6" t="str" cm="1">
        <f t="array" ref="B2">INDEX(Dados!$I:$N,MATCH(Modelos!$A2,Dados!A:A,0),Modelos!$A$1)</f>
        <v>Serviços</v>
      </c>
      <c r="C2" s="6" t="s">
        <v>146</v>
      </c>
      <c r="D2" s="6" t="s">
        <v>147</v>
      </c>
      <c r="E2" s="6" t="s">
        <v>162</v>
      </c>
      <c r="F2" s="6" t="s">
        <v>129</v>
      </c>
      <c r="G2" s="6" t="s">
        <v>148</v>
      </c>
      <c r="H2" s="6" t="s">
        <v>130</v>
      </c>
      <c r="I2" s="6" t="s">
        <v>152</v>
      </c>
      <c r="J2" s="6" t="s">
        <v>131</v>
      </c>
      <c r="K2" s="6" t="s">
        <v>132</v>
      </c>
      <c r="L2" s="6" t="s">
        <v>153</v>
      </c>
      <c r="M2" s="6" t="s">
        <v>154</v>
      </c>
      <c r="N2" s="6" t="s">
        <v>133</v>
      </c>
      <c r="O2" s="6" t="s">
        <v>136</v>
      </c>
      <c r="P2" s="6" t="s">
        <v>134</v>
      </c>
      <c r="Q2" s="6" t="s">
        <v>135</v>
      </c>
      <c r="R2" s="6"/>
      <c r="S2" s="6" t="str">
        <f>C2</f>
        <v>ARMA(1,0)</v>
      </c>
      <c r="T2" s="6" t="str">
        <f t="shared" ref="T2:AG2" si="8">D2</f>
        <v>ARMA(0,1)</v>
      </c>
      <c r="U2" s="6" t="str">
        <f t="shared" si="8"/>
        <v>ARMA(1,1)</v>
      </c>
      <c r="V2" s="6" t="str">
        <f t="shared" si="8"/>
        <v>ARMA(2,2)</v>
      </c>
      <c r="W2" s="6" t="str">
        <f t="shared" si="8"/>
        <v>ARMA(2,0)</v>
      </c>
      <c r="X2" s="6" t="str">
        <f t="shared" si="8"/>
        <v>ARMA(2,1)</v>
      </c>
      <c r="Y2" s="6" t="str">
        <f t="shared" si="8"/>
        <v>ARMA(0,2)</v>
      </c>
      <c r="Z2" s="6" t="str">
        <f t="shared" si="8"/>
        <v>ARMA(1,2)</v>
      </c>
      <c r="AA2" s="6" t="str">
        <f t="shared" si="8"/>
        <v>ARMA(3,1)</v>
      </c>
      <c r="AB2" s="6" t="str">
        <f t="shared" si="8"/>
        <v>ARMA(3,0)</v>
      </c>
      <c r="AC2" s="6" t="str">
        <f t="shared" si="8"/>
        <v>ARMA(0,3)</v>
      </c>
      <c r="AD2" s="6" t="str">
        <f t="shared" si="8"/>
        <v>ARMA(3,2)</v>
      </c>
      <c r="AE2" s="6" t="str">
        <f t="shared" si="8"/>
        <v>ARMA(3,3)</v>
      </c>
      <c r="AF2" s="6" t="str">
        <f t="shared" si="8"/>
        <v>ARMA(2,3)</v>
      </c>
      <c r="AG2" s="6" t="str">
        <f t="shared" si="8"/>
        <v>ARMA(1,3)</v>
      </c>
      <c r="AH2" s="6"/>
      <c r="AI2" s="6" t="str">
        <f>S2</f>
        <v>ARMA(1,0)</v>
      </c>
      <c r="AJ2" s="6" t="str">
        <f t="shared" ref="AJ2" si="9">T2</f>
        <v>ARMA(0,1)</v>
      </c>
      <c r="AK2" s="6" t="str">
        <f t="shared" ref="AK2" si="10">U2</f>
        <v>ARMA(1,1)</v>
      </c>
      <c r="AL2" s="6" t="str">
        <f t="shared" ref="AL2" si="11">V2</f>
        <v>ARMA(2,2)</v>
      </c>
      <c r="AM2" s="6" t="str">
        <f t="shared" ref="AM2" si="12">W2</f>
        <v>ARMA(2,0)</v>
      </c>
      <c r="AN2" s="6" t="str">
        <f t="shared" ref="AN2" si="13">X2</f>
        <v>ARMA(2,1)</v>
      </c>
      <c r="AO2" s="6" t="str">
        <f t="shared" ref="AO2" si="14">Y2</f>
        <v>ARMA(0,2)</v>
      </c>
      <c r="AP2" s="6" t="str">
        <f t="shared" ref="AP2" si="15">Z2</f>
        <v>ARMA(1,2)</v>
      </c>
      <c r="AQ2" s="6" t="str">
        <f t="shared" ref="AQ2" si="16">AA2</f>
        <v>ARMA(3,1)</v>
      </c>
      <c r="AR2" s="6" t="str">
        <f t="shared" ref="AR2" si="17">AB2</f>
        <v>ARMA(3,0)</v>
      </c>
      <c r="AS2" s="6" t="str">
        <f t="shared" ref="AS2" si="18">AC2</f>
        <v>ARMA(0,3)</v>
      </c>
      <c r="AT2" s="6" t="str">
        <f t="shared" ref="AT2" si="19">AD2</f>
        <v>ARMA(3,2)</v>
      </c>
      <c r="AU2" s="6" t="str">
        <f t="shared" ref="AU2" si="20">AE2</f>
        <v>ARMA(3,3)</v>
      </c>
      <c r="AV2" s="6" t="str">
        <f t="shared" ref="AV2" si="21">AF2</f>
        <v>ARMA(2,3)</v>
      </c>
      <c r="AW2" s="6" t="str">
        <f t="shared" ref="AW2" si="22">AG2</f>
        <v>ARMA(1,3)</v>
      </c>
      <c r="AY2" s="12" t="s">
        <v>186</v>
      </c>
    </row>
    <row r="3" spans="1:63" x14ac:dyDescent="0.15">
      <c r="A3" s="8">
        <v>35125</v>
      </c>
      <c r="B3" s="6" cm="1">
        <f t="array" ref="B3">INDEX(Dados!$I:$N,MATCH(Modelos!$A3,Dados!A:A,0),Modelos!$A$1)</f>
        <v>0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63" x14ac:dyDescent="0.15">
      <c r="A4" s="8">
        <v>35246</v>
      </c>
      <c r="B4" s="6">
        <v>1.2486102507364594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</row>
    <row r="5" spans="1:63" x14ac:dyDescent="0.15">
      <c r="A5" s="8">
        <v>35338</v>
      </c>
      <c r="B5" s="6">
        <v>1.4602726767263707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Y5" s="12" t="s">
        <v>185</v>
      </c>
    </row>
    <row r="6" spans="1:63" x14ac:dyDescent="0.15">
      <c r="A6" s="8">
        <v>35430</v>
      </c>
      <c r="B6" s="6">
        <v>-2.0480358158220802</v>
      </c>
      <c r="C6" s="9">
        <f>B5*$BA$10+$BG$10</f>
        <v>-8.0003362068340023E-2</v>
      </c>
      <c r="D6" s="9">
        <f>$T5*$BD$11+$BG$11</f>
        <v>0.58752252407094641</v>
      </c>
      <c r="E6" s="9">
        <f>$B5*$BA$12+U5*$BD$12+$BG$12</f>
        <v>-0.11749882682001922</v>
      </c>
      <c r="F6" s="9">
        <f>$B5*$BA$13+$B4*$BB$13+$V5*$BD$13+$BG$13+V4*$BE$13</f>
        <v>-1.1311894467321622</v>
      </c>
      <c r="G6" s="9">
        <f>$B5*$BA$14+$B4*$BB$14+$BG$14</f>
        <v>-1.0572886696250128</v>
      </c>
      <c r="H6" s="9">
        <f>B5*$BA$15+$BB$15*B4+$BD$15*X5+$BG$15</f>
        <v>-1.0637697563301947</v>
      </c>
      <c r="I6" s="9">
        <f>Y5*$BD$16+$BE$16*Y4+$BG$16</f>
        <v>0.58362319402417939</v>
      </c>
      <c r="J6" s="9">
        <f>$BA$17*B5+$BD$17*Z5+$BE$17*Z4+$BG$17</f>
        <v>0.54065703732268899</v>
      </c>
      <c r="K6" s="9">
        <f>B5*$BA$18+B4*$BB$18+$BC$18*B3+$BD$18*AA5+$BG$18</f>
        <v>0.35132165884376132</v>
      </c>
      <c r="L6" s="9">
        <f>B5*$BA$19+B4*$BB$19+$BC$19*B3+$BG$19</f>
        <v>-1.4267332243201492</v>
      </c>
      <c r="M6" s="9">
        <f>AC5*$BD$20+$BE$20*AC4+$BF$20*AC3+$BG$20</f>
        <v>0.57852070005551559</v>
      </c>
      <c r="N6" s="9">
        <f>B5*$BA$21+B4*$BB$21+$BC$21*B3+$BG$21+$BD$21*AD5+$BE$21*AD4</f>
        <v>0.36834706034786524</v>
      </c>
      <c r="O6" s="9">
        <f>B5*$BA$22+B4*$BB$22+$BC$22*B3+$BG$22+$BD$22*AE5+$BE$22*AE4+$BF$22*AE3</f>
        <v>-0.53195919956152737</v>
      </c>
      <c r="P6" s="9">
        <f>B5*$BA$23+B4*$BB$23+$BG$23+$BD$23*AF5+$BE$23*AF4+$BF$23*AF3</f>
        <v>-1.1162400739649982</v>
      </c>
      <c r="Q6" s="9">
        <f>B5*$BA$24+$BG$24+$BD$24*AG5+$BE$24*AG4+$BF$24*AG3</f>
        <v>-0.14262361027919135</v>
      </c>
      <c r="R6" s="5"/>
      <c r="S6" s="9">
        <f t="shared" ref="S6" si="23">$B6-C6</f>
        <v>-1.9680324537537401</v>
      </c>
      <c r="T6" s="9">
        <f t="shared" ref="T6:T69" si="24">$B6-D6</f>
        <v>-2.6355583398930267</v>
      </c>
      <c r="U6" s="9">
        <f t="shared" ref="U6:U69" si="25">$B6-E6</f>
        <v>-1.9305369890020609</v>
      </c>
      <c r="V6" s="9">
        <f t="shared" ref="V6:V69" si="26">$B6-F6</f>
        <v>-0.91684636908991801</v>
      </c>
      <c r="W6" s="9">
        <f t="shared" ref="W6:W69" si="27">$B6-G6</f>
        <v>-0.99074714619706739</v>
      </c>
      <c r="X6" s="9">
        <f t="shared" ref="X6:X69" si="28">$B6-H6</f>
        <v>-0.9842660594918855</v>
      </c>
      <c r="Y6" s="9">
        <f t="shared" ref="Y6:Y69" si="29">$B6-I6</f>
        <v>-2.6316590098462598</v>
      </c>
      <c r="Z6" s="9">
        <f t="shared" ref="Z6:Z69" si="30">$B6-J6</f>
        <v>-2.588692853144769</v>
      </c>
      <c r="AA6" s="9">
        <f t="shared" ref="AA6:AA69" si="31">$B6-K6</f>
        <v>-2.3993574746658415</v>
      </c>
      <c r="AB6" s="9">
        <f t="shared" ref="AB6:AB69" si="32">$B6-L6</f>
        <v>-0.62130259150193101</v>
      </c>
      <c r="AC6" s="9">
        <f t="shared" ref="AC6:AC69" si="33">$B6-M6</f>
        <v>-2.6265565158775956</v>
      </c>
      <c r="AD6" s="9">
        <f t="shared" ref="AD6:AD69" si="34">$B6-N6</f>
        <v>-2.4163828761699455</v>
      </c>
      <c r="AE6" s="9">
        <f t="shared" ref="AE6:AE69" si="35">$B6-O6</f>
        <v>-1.5160766162605528</v>
      </c>
      <c r="AF6" s="9">
        <f t="shared" ref="AF6:AF69" si="36">$B6-P6</f>
        <v>-0.93179574185708192</v>
      </c>
      <c r="AG6" s="9">
        <f t="shared" ref="AG6:AG69" si="37">$B6-Q6</f>
        <v>-1.9054122055428888</v>
      </c>
      <c r="AH6" s="5"/>
      <c r="AI6" s="9">
        <f t="shared" ref="AI6" si="38">S6^2</f>
        <v>3.8731517390279673</v>
      </c>
      <c r="AJ6" s="9">
        <f t="shared" ref="AJ6:AJ69" si="39">T6^2</f>
        <v>6.9461677629796865</v>
      </c>
      <c r="AK6" s="9">
        <f t="shared" ref="AK6:AK69" si="40">U6^2</f>
        <v>3.7269730659051437</v>
      </c>
      <c r="AL6" s="9">
        <f t="shared" ref="AL6:AL69" si="41">V6^2</f>
        <v>0.8406072645133662</v>
      </c>
      <c r="AM6" s="9">
        <f t="shared" ref="AM6:AM69" si="42">W6^2</f>
        <v>0.98157990769763326</v>
      </c>
      <c r="AN6" s="9">
        <f t="shared" ref="AN6:AN69" si="43">X6^2</f>
        <v>0.96877967586768388</v>
      </c>
      <c r="AO6" s="9">
        <f t="shared" ref="AO6:AO69" si="44">Y6^2</f>
        <v>6.9256291441049962</v>
      </c>
      <c r="AP6" s="9">
        <f t="shared" ref="AP6:AP69" si="45">Z6^2</f>
        <v>6.7013306879228045</v>
      </c>
      <c r="AQ6" s="9">
        <f t="shared" ref="AQ6:AQ69" si="46">AA6^2</f>
        <v>5.7569162912348437</v>
      </c>
      <c r="AR6" s="9">
        <f t="shared" ref="AR6:AR69" si="47">AB6^2</f>
        <v>0.38601691020701534</v>
      </c>
      <c r="AS6" s="9">
        <f t="shared" ref="AS6:AS69" si="48">AC6^2</f>
        <v>6.8987991310990546</v>
      </c>
      <c r="AT6" s="9">
        <f t="shared" ref="AT6:AT69" si="49">AD6^2</f>
        <v>5.8389062042473379</v>
      </c>
      <c r="AU6" s="9">
        <f t="shared" ref="AU6:AU69" si="50">AE6^2</f>
        <v>2.2984883063720476</v>
      </c>
      <c r="AV6" s="9">
        <f t="shared" ref="AV6:AV69" si="51">AF6^2</f>
        <v>0.86824330454298959</v>
      </c>
      <c r="AW6" s="9">
        <f t="shared" ref="AW6:AW69" si="52">AG6^2</f>
        <v>3.6305956730318161</v>
      </c>
    </row>
    <row r="7" spans="1:63" x14ac:dyDescent="0.15">
      <c r="A7" s="8">
        <v>35520</v>
      </c>
      <c r="B7" s="6">
        <v>2.4261238061670243</v>
      </c>
      <c r="C7" s="9">
        <f>C6*$BA$10+$BG$10</f>
        <v>1.0698995372752398</v>
      </c>
      <c r="D7" s="9">
        <f>$T6*$BD$11+$BG$11</f>
        <v>0.31131363377324051</v>
      </c>
      <c r="E7" s="9">
        <f>$E6*$BA$12+U6*$BD$12+$BG$12</f>
        <v>0.87724115533515701</v>
      </c>
      <c r="F7" s="9">
        <f>$F6*$BA$13+$B5*$BB$13+$V6*$BD$13+$BG$13+V5*$BE$13</f>
        <v>1.6954086985217747</v>
      </c>
      <c r="G7" s="9">
        <f>$G6*$BA$14+$B5*$BB$14+$BG$14</f>
        <v>2.0166779591871862</v>
      </c>
      <c r="H7" s="9">
        <f>H6*$BA$15+$BB$15*B5+$BD$15*X6+$BG$15</f>
        <v>2.0013005922247129</v>
      </c>
      <c r="I7" s="9">
        <f t="shared" ref="I7:I70" si="53">Y6*$BD$16+$BE$16*Y5+$BG$16</f>
        <v>0.42076284485841053</v>
      </c>
      <c r="J7" s="9">
        <f>$BA$17*J6+$BD$17*Z6+$BE$17*Z5+$BG$17</f>
        <v>0.43296107955457308</v>
      </c>
      <c r="K7" s="9">
        <f>K6*$BA$18+B5*$BB$18+$BC$18*B4+$BD$18*AA6+$BG$18</f>
        <v>1.2971746400104123</v>
      </c>
      <c r="L7" s="9">
        <f>L6*$BA$19+B5*$BB$19+$BC$19*B4+$BG$19</f>
        <v>2.509914891560789</v>
      </c>
      <c r="M7" s="9">
        <f t="shared" ref="M7:M70" si="54">AC6*$BD$20+$BE$20*AC5+$BF$20*AC4+$BG$20</f>
        <v>0.2898464589295276</v>
      </c>
      <c r="N7" s="9">
        <f>N6*$BA$21+B5*$BB$21+$BC$21*B4+$BG$21+$BD$21*AD6+$BE$21*AD5</f>
        <v>1.1755594625219197</v>
      </c>
      <c r="O7" s="9">
        <f>O6*$BA$22+B5*$BB$22+$BC$22*B4+$BG$22+$BD$22*AE6+$BE$22*AE5+$BF$22*AE4</f>
        <v>1.3491383766289111</v>
      </c>
      <c r="P7" s="9">
        <f>P6*$BA$23+B5*$BB$23+$BG$23+$BD$23*AF6+$BE$23*AF5+$BF$23*AF4</f>
        <v>1.8319591355844405</v>
      </c>
      <c r="Q7" s="9">
        <f>Q6*$BA$24+$BG$24+$BD$24*AG6+$BE$24*AG5+$BF$24*AG4</f>
        <v>0.70929349423856003</v>
      </c>
      <c r="R7" s="5"/>
      <c r="S7" s="9">
        <f t="shared" ref="S7:S70" si="55">$B7-C7</f>
        <v>1.3562242688917845</v>
      </c>
      <c r="T7" s="9">
        <f t="shared" si="24"/>
        <v>2.114810172393784</v>
      </c>
      <c r="U7" s="9">
        <f t="shared" si="25"/>
        <v>1.5488826508318674</v>
      </c>
      <c r="V7" s="9">
        <f t="shared" si="26"/>
        <v>0.73071510764524961</v>
      </c>
      <c r="W7" s="9">
        <f t="shared" si="27"/>
        <v>0.4094458469798381</v>
      </c>
      <c r="X7" s="9">
        <f t="shared" si="28"/>
        <v>0.42482321394231137</v>
      </c>
      <c r="Y7" s="9">
        <f t="shared" si="29"/>
        <v>2.0053609613086136</v>
      </c>
      <c r="Z7" s="9">
        <f t="shared" si="30"/>
        <v>1.9931627266124512</v>
      </c>
      <c r="AA7" s="9">
        <f t="shared" si="31"/>
        <v>1.128949166156612</v>
      </c>
      <c r="AB7" s="9">
        <f t="shared" si="32"/>
        <v>-8.3791085393764675E-2</v>
      </c>
      <c r="AC7" s="9">
        <f t="shared" si="33"/>
        <v>2.1362773472374967</v>
      </c>
      <c r="AD7" s="9">
        <f t="shared" si="34"/>
        <v>1.2505643436451046</v>
      </c>
      <c r="AE7" s="9">
        <f t="shared" si="35"/>
        <v>1.0769854295381132</v>
      </c>
      <c r="AF7" s="9">
        <f t="shared" si="36"/>
        <v>0.59416467058258382</v>
      </c>
      <c r="AG7" s="9">
        <f t="shared" si="37"/>
        <v>1.7168303119284642</v>
      </c>
      <c r="AH7" s="5"/>
      <c r="AI7" s="9">
        <f t="shared" ref="AI7:AI70" si="56">S7^2</f>
        <v>1.8393442675310554</v>
      </c>
      <c r="AJ7" s="9">
        <f t="shared" si="39"/>
        <v>4.4724220652602265</v>
      </c>
      <c r="AK7" s="9">
        <f t="shared" si="40"/>
        <v>2.3990374660479525</v>
      </c>
      <c r="AL7" s="9">
        <f t="shared" si="41"/>
        <v>0.53394456854100869</v>
      </c>
      <c r="AM7" s="9">
        <f t="shared" si="42"/>
        <v>0.167645901609037</v>
      </c>
      <c r="AN7" s="9">
        <f t="shared" si="43"/>
        <v>0.18047476310427485</v>
      </c>
      <c r="AO7" s="9">
        <f t="shared" si="44"/>
        <v>4.0214725851406072</v>
      </c>
      <c r="AP7" s="9">
        <f t="shared" si="45"/>
        <v>3.9726976547571811</v>
      </c>
      <c r="AQ7" s="9">
        <f t="shared" si="46"/>
        <v>1.2745262197657095</v>
      </c>
      <c r="AR7" s="9">
        <f t="shared" si="47"/>
        <v>7.0209459914651641E-3</v>
      </c>
      <c r="AS7" s="9">
        <f t="shared" si="48"/>
        <v>4.5636809043200763</v>
      </c>
      <c r="AT7" s="9">
        <f t="shared" si="49"/>
        <v>1.5639111775965113</v>
      </c>
      <c r="AU7" s="9">
        <f t="shared" si="50"/>
        <v>1.1598976154373941</v>
      </c>
      <c r="AV7" s="9">
        <f t="shared" si="51"/>
        <v>0.35303165576851037</v>
      </c>
      <c r="AW7" s="9">
        <f t="shared" si="52"/>
        <v>2.9475063199563878</v>
      </c>
    </row>
    <row r="8" spans="1:63" x14ac:dyDescent="0.15">
      <c r="A8" s="8">
        <v>35611</v>
      </c>
      <c r="B8" s="6">
        <v>0.43008121964924761</v>
      </c>
      <c r="C8" s="9">
        <f t="shared" ref="C8:C71" si="57">C7*$BA$10+$BG$10</f>
        <v>0.21143219465951468</v>
      </c>
      <c r="D8" s="9">
        <f t="shared" ref="D8:D71" si="58">$T7*$BD$11+$BG$11</f>
        <v>0.80915653689681921</v>
      </c>
      <c r="E8" s="9">
        <f t="shared" ref="E8:E71" si="59">$E7*$BA$12+U7*$BD$12+$BG$12</f>
        <v>0.53471500257282423</v>
      </c>
      <c r="F8" s="9">
        <f>$F7*$BA$13+$F6*$BB$13+$V7*$BD$13+$BG$12+V6*$BE$13</f>
        <v>-0.12440404257717996</v>
      </c>
      <c r="G8" s="9">
        <f>$G7*$BA$14+$G6*$BB$14+$BG$14</f>
        <v>-8.4516257317169163E-2</v>
      </c>
      <c r="H8" s="9">
        <f>H7*$BA$15+$BB$15*H6+$BD$15*X7+$BG$15</f>
        <v>-5.0590201388881928E-2</v>
      </c>
      <c r="I8" s="9">
        <f t="shared" si="53"/>
        <v>8.1925809811908445E-2</v>
      </c>
      <c r="J8" s="9">
        <f t="shared" ref="J8:J71" si="60">$BA$17*J7+$BD$17*Z7+$BE$17*Z6+$BG$17</f>
        <v>9.2282578455450626E-2</v>
      </c>
      <c r="K8" s="9">
        <f>K7*$BA$18+K6*$BB$18+$BC$18*B5+$BD$18*AA7+$BG$18</f>
        <v>0.69702254058083091</v>
      </c>
      <c r="L8" s="9">
        <f>L7*$BA$19+L6*$BB$19+$BC$19*B5+$BG$19</f>
        <v>-0.2574233710517162</v>
      </c>
      <c r="M8" s="9">
        <f t="shared" si="54"/>
        <v>0.31109329094096139</v>
      </c>
      <c r="N8" s="9">
        <f>N7*$BA$21+N6*$BB$21+$BC$21*B5+$BG$21+$BD$21*AD7+$BE$21*AD6</f>
        <v>0.64995548632103795</v>
      </c>
      <c r="O8" s="9">
        <f>O7*$BA$22+O6*$BB$22+$BC$22*B5+$BG$22+$BD$22*AE7+$BE$22*AE6+$BF$22*AE5</f>
        <v>0.32060085739423405</v>
      </c>
      <c r="P8" s="9">
        <f>P7*$BA$23+P6*$BB$23+$BG$23+$BD$23*AF7+$BE$23*AF6+$BF$23*AF5</f>
        <v>-3.4251248432876441E-2</v>
      </c>
      <c r="Q8" s="9">
        <f t="shared" ref="Q8:Q71" si="61">Q7*$BA$24+$BG$24+$BD$24*AG7+$BE$24*AG6+$BF$24*AG5</f>
        <v>9.1426113523256025E-2</v>
      </c>
      <c r="R8" s="5"/>
      <c r="S8" s="9">
        <f t="shared" si="55"/>
        <v>0.21864902498973293</v>
      </c>
      <c r="T8" s="9">
        <f t="shared" si="24"/>
        <v>-0.3790753172475716</v>
      </c>
      <c r="U8" s="9">
        <f t="shared" si="25"/>
        <v>-0.10463378292357661</v>
      </c>
      <c r="V8" s="9">
        <f t="shared" si="26"/>
        <v>0.55448526222642758</v>
      </c>
      <c r="W8" s="9">
        <f t="shared" si="27"/>
        <v>0.51459747696641678</v>
      </c>
      <c r="X8" s="9">
        <f t="shared" si="28"/>
        <v>0.48067142103812954</v>
      </c>
      <c r="Y8" s="9">
        <f t="shared" si="29"/>
        <v>0.34815540983733917</v>
      </c>
      <c r="Z8" s="9">
        <f t="shared" si="30"/>
        <v>0.33779864119379699</v>
      </c>
      <c r="AA8" s="9">
        <f t="shared" si="31"/>
        <v>-0.26694132093158329</v>
      </c>
      <c r="AB8" s="9">
        <f t="shared" si="32"/>
        <v>0.68750459070096381</v>
      </c>
      <c r="AC8" s="9">
        <f t="shared" si="33"/>
        <v>0.11898792870828623</v>
      </c>
      <c r="AD8" s="9">
        <f t="shared" si="34"/>
        <v>-0.21987426667179033</v>
      </c>
      <c r="AE8" s="9">
        <f t="shared" si="35"/>
        <v>0.10948036225501356</v>
      </c>
      <c r="AF8" s="9">
        <f t="shared" si="36"/>
        <v>0.46433246808212403</v>
      </c>
      <c r="AG8" s="9">
        <f t="shared" si="37"/>
        <v>0.33865510612599159</v>
      </c>
      <c r="AH8" s="5"/>
      <c r="AI8" s="9">
        <f t="shared" si="56"/>
        <v>4.7807396128960858E-2</v>
      </c>
      <c r="AJ8" s="9">
        <f t="shared" si="39"/>
        <v>0.14369809614634704</v>
      </c>
      <c r="AK8" s="9">
        <f t="shared" si="40"/>
        <v>1.0948228528898154E-2</v>
      </c>
      <c r="AL8" s="9">
        <f t="shared" si="41"/>
        <v>0.30745390602631018</v>
      </c>
      <c r="AM8" s="9">
        <f t="shared" si="42"/>
        <v>0.26481056330020186</v>
      </c>
      <c r="AN8" s="9">
        <f t="shared" si="43"/>
        <v>0.2310450150028148</v>
      </c>
      <c r="AO8" s="9">
        <f t="shared" si="44"/>
        <v>0.1212121893990056</v>
      </c>
      <c r="AP8" s="9">
        <f t="shared" si="45"/>
        <v>0.1141079219923756</v>
      </c>
      <c r="AQ8" s="9">
        <f t="shared" si="46"/>
        <v>7.1257668820698547E-2</v>
      </c>
      <c r="AR8" s="9">
        <f t="shared" si="47"/>
        <v>0.47266256223489977</v>
      </c>
      <c r="AS8" s="9">
        <f t="shared" si="48"/>
        <v>1.4158127178288207E-2</v>
      </c>
      <c r="AT8" s="9">
        <f t="shared" si="49"/>
        <v>4.8344693144457565E-2</v>
      </c>
      <c r="AU8" s="9">
        <f t="shared" si="50"/>
        <v>1.1985949719488999E-2</v>
      </c>
      <c r="AV8" s="9">
        <f t="shared" si="51"/>
        <v>0.21560464091523673</v>
      </c>
      <c r="AW8" s="9">
        <f t="shared" si="52"/>
        <v>0.11468728090520662</v>
      </c>
      <c r="AY8" s="12" t="s">
        <v>138</v>
      </c>
    </row>
    <row r="9" spans="1:63" ht="10.25" customHeight="1" x14ac:dyDescent="0.15">
      <c r="A9" s="8">
        <v>35703</v>
      </c>
      <c r="B9" s="6">
        <v>0.56239269746325427</v>
      </c>
      <c r="C9" s="9">
        <f t="shared" si="57"/>
        <v>0.85232646386989819</v>
      </c>
      <c r="D9" s="9">
        <f t="shared" si="58"/>
        <v>0.54779508904082208</v>
      </c>
      <c r="E9" s="9">
        <f t="shared" si="59"/>
        <v>0.59536032443886544</v>
      </c>
      <c r="F9" s="9">
        <f>$F8*$BA$13+$F7*$BB$13+$V8*$BD$13+$BG$13+V7*$BE$13</f>
        <v>0.53545185273183615</v>
      </c>
      <c r="G9" s="9">
        <f>$G8*$BA$14+$G7*$BB$14+$BG$14</f>
        <v>0.36218934560496896</v>
      </c>
      <c r="H9" s="9">
        <f t="shared" ref="H9:H72" si="62">H8*$BA$15+$BB$15*H7+$BD$15*X8+$BG$15</f>
        <v>0.333623028681173</v>
      </c>
      <c r="I9" s="9">
        <f t="shared" si="53"/>
        <v>1.082036585359637</v>
      </c>
      <c r="J9" s="9">
        <f t="shared" si="60"/>
        <v>1.0981118513123633</v>
      </c>
      <c r="K9" s="9">
        <f>K8*$BA$18+K7*$BB$18+$BC$18*K6+$BD$18*AA8+$BG$18</f>
        <v>0.89289274743572222</v>
      </c>
      <c r="L9" s="9">
        <f>L8*$BA$19+L7*$BB$19+$BC$19*L6+$BG$19</f>
        <v>0.25299145283899138</v>
      </c>
      <c r="M9" s="9">
        <f t="shared" si="54"/>
        <v>0.6765557751881871</v>
      </c>
      <c r="N9" s="9">
        <f>N8*$BA$21+N7*$BB$21+$BC$21*N6+$BG$21+$BD$21*AD8+$BE$21*AD7</f>
        <v>0.92126467135272949</v>
      </c>
      <c r="O9" s="9">
        <f>O8*$BA$22+O7*$BB$22+$BC$22*O6+$BG$22+$BD$22*AE8+$BE$22*AE7+$BF$22*AE6</f>
        <v>0.59589610283903649</v>
      </c>
      <c r="P9" s="9">
        <f t="shared" ref="P9:P72" si="63">P8*$BA$23+P7*$BB$23+$BG$23+$BD$23*AF8+$BE$23*AF7+$BF$23*AF6</f>
        <v>0.50214278932016321</v>
      </c>
      <c r="Q9" s="9">
        <f t="shared" si="61"/>
        <v>0.90460107588516003</v>
      </c>
      <c r="R9" s="5"/>
      <c r="S9" s="9">
        <f t="shared" si="55"/>
        <v>-0.28993376640664392</v>
      </c>
      <c r="T9" s="9">
        <f t="shared" si="24"/>
        <v>1.4597608422432184E-2</v>
      </c>
      <c r="U9" s="9">
        <f t="shared" si="25"/>
        <v>-3.2967626975611175E-2</v>
      </c>
      <c r="V9" s="9">
        <f t="shared" si="26"/>
        <v>2.6940844731418112E-2</v>
      </c>
      <c r="W9" s="9">
        <f t="shared" si="27"/>
        <v>0.20020335185828531</v>
      </c>
      <c r="X9" s="9">
        <f t="shared" si="28"/>
        <v>0.22876966878208127</v>
      </c>
      <c r="Y9" s="9">
        <f t="shared" si="29"/>
        <v>-0.51964388789638272</v>
      </c>
      <c r="Z9" s="9">
        <f t="shared" si="30"/>
        <v>-0.53571915384910906</v>
      </c>
      <c r="AA9" s="9">
        <f t="shared" si="31"/>
        <v>-0.33050004997246796</v>
      </c>
      <c r="AB9" s="9">
        <f t="shared" si="32"/>
        <v>0.30940124462426288</v>
      </c>
      <c r="AC9" s="9">
        <f t="shared" si="33"/>
        <v>-0.11416307772493284</v>
      </c>
      <c r="AD9" s="9">
        <f t="shared" si="34"/>
        <v>-0.35887197388947523</v>
      </c>
      <c r="AE9" s="9">
        <f t="shared" si="35"/>
        <v>-3.3503405375782225E-2</v>
      </c>
      <c r="AF9" s="9">
        <f t="shared" si="36"/>
        <v>6.0249908143091058E-2</v>
      </c>
      <c r="AG9" s="9">
        <f t="shared" si="37"/>
        <v>-0.34220837842190577</v>
      </c>
      <c r="AH9" s="5"/>
      <c r="AI9" s="9">
        <f t="shared" si="56"/>
        <v>8.406158890274236E-2</v>
      </c>
      <c r="AJ9" s="9">
        <f t="shared" si="39"/>
        <v>2.1309017165466304E-4</v>
      </c>
      <c r="AK9" s="9">
        <f t="shared" si="40"/>
        <v>1.0868644284030456E-3</v>
      </c>
      <c r="AL9" s="9">
        <f t="shared" si="41"/>
        <v>7.258091148423791E-4</v>
      </c>
      <c r="AM9" s="9">
        <f t="shared" si="42"/>
        <v>4.0081382095292391E-2</v>
      </c>
      <c r="AN9" s="9">
        <f t="shared" si="43"/>
        <v>5.233556135466317E-2</v>
      </c>
      <c r="AO9" s="9">
        <f t="shared" si="44"/>
        <v>0.27002977022806834</v>
      </c>
      <c r="AP9" s="9">
        <f t="shared" si="45"/>
        <v>0.28699501180080539</v>
      </c>
      <c r="AQ9" s="9">
        <f t="shared" si="46"/>
        <v>0.10923028303180382</v>
      </c>
      <c r="AR9" s="9">
        <f t="shared" si="47"/>
        <v>9.5729130175042962E-2</v>
      </c>
      <c r="AS9" s="9">
        <f t="shared" si="48"/>
        <v>1.3033208315629057E-2</v>
      </c>
      <c r="AT9" s="9">
        <f t="shared" si="49"/>
        <v>0.12878909364332819</v>
      </c>
      <c r="AU9" s="9">
        <f t="shared" si="50"/>
        <v>1.1224781717739934E-3</v>
      </c>
      <c r="AV9" s="9">
        <f t="shared" si="51"/>
        <v>3.63005143125091E-3</v>
      </c>
      <c r="AW9" s="9">
        <f t="shared" si="52"/>
        <v>0.11710657426215026</v>
      </c>
      <c r="AY9" s="10" t="s">
        <v>158</v>
      </c>
      <c r="AZ9" s="10" t="s">
        <v>139</v>
      </c>
      <c r="BA9" s="11" t="s">
        <v>140</v>
      </c>
      <c r="BB9" s="11" t="s">
        <v>141</v>
      </c>
      <c r="BC9" s="11" t="s">
        <v>142</v>
      </c>
      <c r="BD9" s="11" t="s">
        <v>143</v>
      </c>
      <c r="BE9" s="11" t="s">
        <v>144</v>
      </c>
      <c r="BF9" s="11" t="s">
        <v>145</v>
      </c>
      <c r="BG9" s="13" t="s">
        <v>159</v>
      </c>
      <c r="BI9" s="13" t="s">
        <v>124</v>
      </c>
      <c r="BJ9" s="13" t="s">
        <v>160</v>
      </c>
      <c r="BK9" s="13" t="s">
        <v>161</v>
      </c>
    </row>
    <row r="10" spans="1:63" x14ac:dyDescent="0.15">
      <c r="A10" s="8">
        <v>35795</v>
      </c>
      <c r="B10" s="6">
        <v>1.1763652159062721</v>
      </c>
      <c r="C10" s="9">
        <f t="shared" si="57"/>
        <v>0.37386276010781672</v>
      </c>
      <c r="D10" s="9">
        <f t="shared" si="58"/>
        <v>0.5890523665951396</v>
      </c>
      <c r="E10" s="9">
        <f t="shared" si="59"/>
        <v>0.55680579018150023</v>
      </c>
      <c r="F10" s="9">
        <f t="shared" ref="F10:F73" si="64">$F9*$BA$13+$F8*$BB$13+$V9*$BD$13+$BG$13+V8*$BE$13</f>
        <v>1.0753368166624524</v>
      </c>
      <c r="G10" s="9">
        <f t="shared" ref="G10:G73" si="65">$G9*$BA$14+$G8*$BB$14+$BG$14</f>
        <v>1.3259455844614152</v>
      </c>
      <c r="H10" s="9">
        <f t="shared" si="62"/>
        <v>1.3424884425505865</v>
      </c>
      <c r="I10" s="9">
        <f t="shared" si="53"/>
        <v>0.63425513681261581</v>
      </c>
      <c r="J10" s="9">
        <f t="shared" si="60"/>
        <v>0.60664375168525586</v>
      </c>
      <c r="K10" s="9">
        <f t="shared" ref="K10:K73" si="66">K9*$BA$18+K8*$BB$18+$BC$18*K7+$BD$18*AA9+$BG$18</f>
        <v>0.82656892040475383</v>
      </c>
      <c r="L10" s="9">
        <f t="shared" ref="L10:L73" si="67">L9*$BA$19+L8*$BB$19+$BC$19*L7+$BG$19</f>
        <v>1.5263918533249758</v>
      </c>
      <c r="M10" s="9">
        <f t="shared" si="54"/>
        <v>0.8518513534279577</v>
      </c>
      <c r="N10" s="9">
        <f t="shared" ref="N10:N73" si="68">N9*$BA$21+N8*$BB$21+$BC$21*N7+$BG$21+$BD$21*AD9+$BE$21*AD8</f>
        <v>0.66311491015677937</v>
      </c>
      <c r="O10" s="9">
        <f t="shared" ref="O10:O73" si="69">O9*$BA$22+O8*$BB$22+$BC$22*O7+$BG$22+$BD$22*AE9+$BE$22*AE8+$BF$22*AE7</f>
        <v>1.0358333106400541</v>
      </c>
      <c r="P10" s="9">
        <f t="shared" si="63"/>
        <v>1.2745089951313786</v>
      </c>
      <c r="Q10" s="9">
        <f t="shared" si="61"/>
        <v>0.84827951106502819</v>
      </c>
      <c r="R10" s="5"/>
      <c r="S10" s="9">
        <f t="shared" si="55"/>
        <v>0.80250245579845536</v>
      </c>
      <c r="T10" s="9">
        <f t="shared" si="24"/>
        <v>0.58731284931113248</v>
      </c>
      <c r="U10" s="9">
        <f t="shared" si="25"/>
        <v>0.61955942572477185</v>
      </c>
      <c r="V10" s="9">
        <f t="shared" si="26"/>
        <v>0.10102839924381968</v>
      </c>
      <c r="W10" s="9">
        <f t="shared" si="27"/>
        <v>-0.14958036855514312</v>
      </c>
      <c r="X10" s="9">
        <f t="shared" si="28"/>
        <v>-0.16612322664431445</v>
      </c>
      <c r="Y10" s="9">
        <f t="shared" si="29"/>
        <v>0.54211007909365627</v>
      </c>
      <c r="Z10" s="9">
        <f t="shared" si="30"/>
        <v>0.56972146422101622</v>
      </c>
      <c r="AA10" s="9">
        <f t="shared" si="31"/>
        <v>0.34979629550151825</v>
      </c>
      <c r="AB10" s="9">
        <f t="shared" si="32"/>
        <v>-0.35002663741870377</v>
      </c>
      <c r="AC10" s="9">
        <f t="shared" si="33"/>
        <v>0.32451386247831437</v>
      </c>
      <c r="AD10" s="9">
        <f t="shared" si="34"/>
        <v>0.51325030574949271</v>
      </c>
      <c r="AE10" s="9">
        <f t="shared" si="35"/>
        <v>0.14053190526621795</v>
      </c>
      <c r="AF10" s="9">
        <f t="shared" si="36"/>
        <v>-9.8143779225106531E-2</v>
      </c>
      <c r="AG10" s="9">
        <f t="shared" si="37"/>
        <v>0.32808570484124389</v>
      </c>
      <c r="AH10" s="5"/>
      <c r="AI10" s="9">
        <f t="shared" si="56"/>
        <v>0.64401019156255179</v>
      </c>
      <c r="AJ10" s="9">
        <f t="shared" si="39"/>
        <v>0.34493638296596102</v>
      </c>
      <c r="AK10" s="9">
        <f t="shared" si="40"/>
        <v>0.38385388200440906</v>
      </c>
      <c r="AL10" s="9">
        <f t="shared" si="41"/>
        <v>1.0206737453768624E-2</v>
      </c>
      <c r="AM10" s="9">
        <f t="shared" si="42"/>
        <v>2.2374286657092447E-2</v>
      </c>
      <c r="AN10" s="9">
        <f t="shared" si="43"/>
        <v>2.7596926430718267E-2</v>
      </c>
      <c r="AO10" s="9">
        <f t="shared" si="44"/>
        <v>0.29388333785493026</v>
      </c>
      <c r="AP10" s="9">
        <f t="shared" si="45"/>
        <v>0.32458254679413867</v>
      </c>
      <c r="AQ10" s="9">
        <f t="shared" si="46"/>
        <v>0.12235744834658548</v>
      </c>
      <c r="AR10" s="9">
        <f t="shared" si="47"/>
        <v>0.12251864690264472</v>
      </c>
      <c r="AS10" s="9">
        <f t="shared" si="48"/>
        <v>0.10530924694059433</v>
      </c>
      <c r="AT10" s="9">
        <f t="shared" si="49"/>
        <v>0.26342587635194775</v>
      </c>
      <c r="AU10" s="9">
        <f t="shared" si="50"/>
        <v>1.9749216397753257E-2</v>
      </c>
      <c r="AV10" s="9">
        <f t="shared" si="51"/>
        <v>9.6322014005864529E-3</v>
      </c>
      <c r="AW10" s="9">
        <f t="shared" si="52"/>
        <v>0.1076402297211758</v>
      </c>
      <c r="AY10" s="10" t="s">
        <v>118</v>
      </c>
      <c r="AZ10" s="10" t="s">
        <v>146</v>
      </c>
      <c r="BA10" s="14">
        <v>-0.74655637715652323</v>
      </c>
      <c r="BB10" s="14">
        <v>0</v>
      </c>
      <c r="BC10" s="14">
        <v>0</v>
      </c>
      <c r="BD10" s="14">
        <v>0</v>
      </c>
      <c r="BE10" s="14">
        <v>0</v>
      </c>
      <c r="BF10" s="14">
        <v>0</v>
      </c>
      <c r="BG10" s="14">
        <v>1.0101725171291582</v>
      </c>
      <c r="BI10" s="15">
        <f ca="1">SUM(OFFSET($AH$1,2,ROW()-9,COUNTA($AI$3:$AI$5000)+5,1))</f>
        <v>75.021388692806994</v>
      </c>
      <c r="BJ10" s="16">
        <f ca="1">(COUNTA(C:C)-1)*LN(BI10/(COUNTA(C:C)-1))+COUNTIFS(BA10:BG10,"&lt;&gt;"&amp;0)*LN((COUNTA(C:C)-1))</f>
        <v>-43.902172294887535</v>
      </c>
      <c r="BK10" s="14">
        <f ca="1">(ABS((OFFSET($A$91,0,ROW()-8,1,1))-OFFSET($A$91,0,1,1,1))+ABS((OFFSET($A$91,1,ROW()-8,1,1))-OFFSET($A$91,1,1,1,1))+ABS((OFFSET($A$91,2,ROW()-8,1,1))-OFFSET($A$91,2,1,1,1))+ABS((OFFSET($A$91,3,ROW()-8,1,1))-OFFSET($A$91,3,1,1,1))+ABS((OFFSET($A$91,4,ROW()-8,1,1))-OFFSET($A$91,4,1,1,1))+ABS((OFFSET($A$91,5,ROW()-8,1,1))-OFFSET($A$91,5,1,1,1))+ABS((OFFSET($A$91,6,ROW()-8,1,1))-OFFSET($A$91,6,1,1,1))+ABS((OFFSET($A$91,7,ROW()-8,1,1))-OFFSET($A$91,7,1,1,1))+ABS((OFFSET($A$91,8,ROW()-8,1,1))-OFFSET($A$91,8,1,1,1))+ABS((OFFSET($A$91,9,ROW()-8,1,1))-OFFSET($A$91,9,1,1,1))+ABS((OFFSET($A$91,10,ROW()-8,1,1))-OFFSET($A$91,10,1,1,1))+ABS((OFFSET($A$91,11,ROW()-8,1,1))-OFFSET($A$91,11,1,1,1))+ABS((OFFSET($A$91,12,ROW()-8,1,1))-OFFSET($A$91,12,1,1,1))+ABS((OFFSET($A$91,13,ROW()-8,1,1))-OFFSET($A$91,13,1,1,1))+ABS((OFFSET($A$91,14,ROW()-8,1,1))-OFFSET($A$91,14,1,1,1))+ABS((OFFSET($A$91,15,ROW()-8,1,1))-OFFSET($A$91,15,1,1,1)) +ABS((OFFSET($A$91,16,ROW()-8,1,1))-OFFSET($A$91,16,1,1,1))+ABS((OFFSET($A$91,17,ROW()-8,1,1))-OFFSET($A$91,17,1,1,1))+ABS((OFFSET($A$91,18,ROW()-8,1,1))-OFFSET($A$91,18,1,1,1)))/18</f>
        <v>1.4646026304671045</v>
      </c>
    </row>
    <row r="11" spans="1:63" x14ac:dyDescent="0.15">
      <c r="A11" s="8">
        <v>35885</v>
      </c>
      <c r="B11" s="6">
        <v>-0.80064303165722217</v>
      </c>
      <c r="C11" s="9">
        <f t="shared" si="57"/>
        <v>0.73106288938932829</v>
      </c>
      <c r="D11" s="9">
        <f t="shared" si="58"/>
        <v>0.64907344021283531</v>
      </c>
      <c r="E11" s="9">
        <f t="shared" si="59"/>
        <v>0.66914674882980751</v>
      </c>
      <c r="F11" s="9">
        <f t="shared" si="64"/>
        <v>-0.11205948057076415</v>
      </c>
      <c r="G11" s="9">
        <f t="shared" si="65"/>
        <v>-0.2367538057030758</v>
      </c>
      <c r="H11" s="9">
        <f t="shared" si="62"/>
        <v>-0.24374727998538592</v>
      </c>
      <c r="I11" s="9">
        <f t="shared" si="53"/>
        <v>0.4936022162679829</v>
      </c>
      <c r="J11" s="9">
        <f t="shared" si="60"/>
        <v>0.48755752188152268</v>
      </c>
      <c r="K11" s="9">
        <f t="shared" si="66"/>
        <v>0.80653763899163744</v>
      </c>
      <c r="L11" s="9">
        <f t="shared" si="67"/>
        <v>-0.184535006000067</v>
      </c>
      <c r="M11" s="9">
        <f t="shared" si="54"/>
        <v>0.60701369577062891</v>
      </c>
      <c r="N11" s="9">
        <f t="shared" si="68"/>
        <v>0.90345138029672023</v>
      </c>
      <c r="O11" s="9">
        <f t="shared" si="69"/>
        <v>9.4483364096000721E-2</v>
      </c>
      <c r="P11" s="9">
        <f t="shared" si="63"/>
        <v>-0.27163441708162361</v>
      </c>
      <c r="Q11" s="9">
        <f t="shared" si="61"/>
        <v>0.36036866981977461</v>
      </c>
      <c r="R11" s="5"/>
      <c r="S11" s="9">
        <f t="shared" si="55"/>
        <v>-1.5317059210465505</v>
      </c>
      <c r="T11" s="9">
        <f t="shared" si="24"/>
        <v>-1.4497164718700575</v>
      </c>
      <c r="U11" s="9">
        <f t="shared" si="25"/>
        <v>-1.4697897804870297</v>
      </c>
      <c r="V11" s="9">
        <f t="shared" si="26"/>
        <v>-0.68858355108645797</v>
      </c>
      <c r="W11" s="9">
        <f t="shared" si="27"/>
        <v>-0.56388922595414637</v>
      </c>
      <c r="X11" s="9">
        <f t="shared" si="28"/>
        <v>-0.55689575167183625</v>
      </c>
      <c r="Y11" s="9">
        <f t="shared" si="29"/>
        <v>-1.2942452479252051</v>
      </c>
      <c r="Z11" s="9">
        <f t="shared" si="30"/>
        <v>-1.2882005535387449</v>
      </c>
      <c r="AA11" s="9">
        <f t="shared" si="31"/>
        <v>-1.6071806706488596</v>
      </c>
      <c r="AB11" s="9">
        <f t="shared" si="32"/>
        <v>-0.61610802565715517</v>
      </c>
      <c r="AC11" s="9">
        <f t="shared" si="33"/>
        <v>-1.4076567274278511</v>
      </c>
      <c r="AD11" s="9">
        <f t="shared" si="34"/>
        <v>-1.7040944119539425</v>
      </c>
      <c r="AE11" s="9">
        <f t="shared" si="35"/>
        <v>-0.89512639575322295</v>
      </c>
      <c r="AF11" s="9">
        <f t="shared" si="36"/>
        <v>-0.52900861457559856</v>
      </c>
      <c r="AG11" s="9">
        <f t="shared" si="37"/>
        <v>-1.1610117014769967</v>
      </c>
      <c r="AH11" s="5"/>
      <c r="AI11" s="9">
        <f t="shared" si="56"/>
        <v>2.3461230285690613</v>
      </c>
      <c r="AJ11" s="9">
        <f t="shared" si="39"/>
        <v>2.101677848811367</v>
      </c>
      <c r="AK11" s="9">
        <f t="shared" si="40"/>
        <v>2.1602819988241109</v>
      </c>
      <c r="AL11" s="9">
        <f t="shared" si="41"/>
        <v>0.47414730682683665</v>
      </c>
      <c r="AM11" s="9">
        <f t="shared" si="42"/>
        <v>0.31797105914716634</v>
      </c>
      <c r="AN11" s="9">
        <f t="shared" si="43"/>
        <v>0.31013287823013952</v>
      </c>
      <c r="AO11" s="9">
        <f t="shared" si="44"/>
        <v>1.6750707617769758</v>
      </c>
      <c r="AP11" s="9">
        <f t="shared" si="45"/>
        <v>1.6594606661375286</v>
      </c>
      <c r="AQ11" s="9">
        <f t="shared" si="46"/>
        <v>2.5830297081073184</v>
      </c>
      <c r="AR11" s="9">
        <f t="shared" si="47"/>
        <v>0.37958909927915779</v>
      </c>
      <c r="AS11" s="9">
        <f t="shared" si="48"/>
        <v>1.9814974622728874</v>
      </c>
      <c r="AT11" s="9">
        <f t="shared" si="49"/>
        <v>2.9039377648526532</v>
      </c>
      <c r="AU11" s="9">
        <f t="shared" si="50"/>
        <v>0.8012512643741555</v>
      </c>
      <c r="AV11" s="9">
        <f t="shared" si="51"/>
        <v>0.27985011429519419</v>
      </c>
      <c r="AW11" s="9">
        <f t="shared" si="52"/>
        <v>1.3479481709665109</v>
      </c>
      <c r="AY11" s="10" t="s">
        <v>119</v>
      </c>
      <c r="AZ11" s="10" t="s">
        <v>147</v>
      </c>
      <c r="BA11" s="14">
        <v>0</v>
      </c>
      <c r="BB11" s="14">
        <v>0</v>
      </c>
      <c r="BC11" s="14">
        <v>0</v>
      </c>
      <c r="BD11" s="14">
        <v>0.10480090162182364</v>
      </c>
      <c r="BE11" s="14">
        <v>0</v>
      </c>
      <c r="BF11" s="14">
        <v>0</v>
      </c>
      <c r="BG11" s="14">
        <v>0.58752252407094641</v>
      </c>
      <c r="BI11" s="15">
        <f t="shared" ref="BI11:BI24" ca="1" si="70">SUM(OFFSET($AH$1,2,ROW()-9,COUNTA($AI$3:$AI$5000)+5,1))</f>
        <v>77.6419590790359</v>
      </c>
      <c r="BJ11" s="16">
        <f t="shared" ref="BJ11:BJ24" ca="1" si="71">(COUNTA(C:C)-1)*LN(BI11/(COUNTA(C:C)-1))+COUNTIFS(BA11:BG11,"&lt;&gt;"&amp;0)*LN((COUNTA(C:C)-1))</f>
        <v>-39.850673518932098</v>
      </c>
      <c r="BK11" s="14">
        <f t="shared" ref="BK11:BK24" ca="1" si="72">(ABS((OFFSET($A$91,0,ROW()-8,1,1))-OFFSET($A$91,0,1,1,1))+ABS((OFFSET($A$91,1,ROW()-8,1,1))-OFFSET($A$91,1,1,1,1))+ABS((OFFSET($A$91,2,ROW()-8,1,1))-OFFSET($A$91,2,1,1,1))+ABS((OFFSET($A$91,3,ROW()-8,1,1))-OFFSET($A$91,3,1,1,1))+ABS((OFFSET($A$91,4,ROW()-8,1,1))-OFFSET($A$91,4,1,1,1))+ABS((OFFSET($A$91,5,ROW()-8,1,1))-OFFSET($A$91,5,1,1,1))+ABS((OFFSET($A$91,6,ROW()-8,1,1))-OFFSET($A$91,6,1,1,1))+ABS((OFFSET($A$91,7,ROW()-8,1,1))-OFFSET($A$91,7,1,1,1))+ABS((OFFSET($A$91,8,ROW()-8,1,1))-OFFSET($A$91,8,1,1,1))+ABS((OFFSET($A$91,9,ROW()-8,1,1))-OFFSET($A$91,9,1,1,1))+ABS((OFFSET($A$91,10,ROW()-8,1,1))-OFFSET($A$91,10,1,1,1))+ABS((OFFSET($A$91,11,ROW()-8,1,1))-OFFSET($A$91,11,1,1,1))+ABS((OFFSET($A$91,12,ROW()-8,1,1))-OFFSET($A$91,12,1,1,1))+ABS((OFFSET($A$91,13,ROW()-8,1,1))-OFFSET($A$91,13,1,1,1))+ABS((OFFSET($A$91,14,ROW()-8,1,1))-OFFSET($A$91,14,1,1,1))+ABS((OFFSET($A$91,15,ROW()-8,1,1))-OFFSET($A$91,15,1,1,1)) +ABS((OFFSET($A$91,16,ROW()-8,1,1))-OFFSET($A$91,16,1,1,1))+ABS((OFFSET($A$91,17,ROW()-8,1,1))-OFFSET($A$91,17,1,1,1))+ABS((OFFSET($A$91,18,ROW()-8,1,1))-OFFSET($A$91,18,1,1,1)))/18</f>
        <v>1.4752177079692479</v>
      </c>
    </row>
    <row r="12" spans="1:63" x14ac:dyDescent="0.15">
      <c r="A12" s="8">
        <v>35976</v>
      </c>
      <c r="B12" s="6">
        <v>0.87092292972932306</v>
      </c>
      <c r="C12" s="9">
        <f t="shared" si="57"/>
        <v>0.46439285495308125</v>
      </c>
      <c r="D12" s="9">
        <f t="shared" si="58"/>
        <v>0.43559093072295529</v>
      </c>
      <c r="E12" s="9">
        <f t="shared" si="59"/>
        <v>0.31815173303615474</v>
      </c>
      <c r="F12" s="9">
        <f t="shared" si="64"/>
        <v>0.81009659672056467</v>
      </c>
      <c r="G12" s="9">
        <f t="shared" si="65"/>
        <v>1.062582538256525</v>
      </c>
      <c r="H12" s="9">
        <f t="shared" si="62"/>
        <v>1.0437966554090052</v>
      </c>
      <c r="I12" s="9">
        <f t="shared" si="53"/>
        <v>0.63244063049058241</v>
      </c>
      <c r="J12" s="9">
        <f t="shared" si="60"/>
        <v>0.64665928799041783</v>
      </c>
      <c r="K12" s="9">
        <f t="shared" si="66"/>
        <v>0.54454158008510567</v>
      </c>
      <c r="L12" s="9">
        <f t="shared" si="67"/>
        <v>0.78051829571286824</v>
      </c>
      <c r="M12" s="9">
        <f t="shared" si="54"/>
        <v>0.47179874361606677</v>
      </c>
      <c r="N12" s="9">
        <f t="shared" si="68"/>
        <v>0.33095100252995729</v>
      </c>
      <c r="O12" s="9">
        <f t="shared" si="69"/>
        <v>0.74039931293721906</v>
      </c>
      <c r="P12" s="9">
        <f t="shared" si="63"/>
        <v>0.95036002389405516</v>
      </c>
      <c r="Q12" s="9">
        <f t="shared" si="61"/>
        <v>0.46956656471569036</v>
      </c>
      <c r="R12" s="5"/>
      <c r="S12" s="9">
        <f t="shared" si="55"/>
        <v>0.40653007477624181</v>
      </c>
      <c r="T12" s="9">
        <f t="shared" si="24"/>
        <v>0.43533199900636776</v>
      </c>
      <c r="U12" s="9">
        <f t="shared" si="25"/>
        <v>0.55277119669316832</v>
      </c>
      <c r="V12" s="9">
        <f t="shared" si="26"/>
        <v>6.0826333008758393E-2</v>
      </c>
      <c r="W12" s="9">
        <f t="shared" si="27"/>
        <v>-0.19165960852720199</v>
      </c>
      <c r="X12" s="9">
        <f t="shared" si="28"/>
        <v>-0.17287372567968218</v>
      </c>
      <c r="Y12" s="9">
        <f t="shared" si="29"/>
        <v>0.23848229923874065</v>
      </c>
      <c r="Z12" s="9">
        <f t="shared" si="30"/>
        <v>0.22426364173890523</v>
      </c>
      <c r="AA12" s="9">
        <f t="shared" si="31"/>
        <v>0.32638134964421739</v>
      </c>
      <c r="AB12" s="9">
        <f t="shared" si="32"/>
        <v>9.0404634016454821E-2</v>
      </c>
      <c r="AC12" s="9">
        <f t="shared" si="33"/>
        <v>0.39912418611325629</v>
      </c>
      <c r="AD12" s="9">
        <f t="shared" si="34"/>
        <v>0.53997192719936571</v>
      </c>
      <c r="AE12" s="9">
        <f t="shared" si="35"/>
        <v>0.130523616792104</v>
      </c>
      <c r="AF12" s="9">
        <f t="shared" si="36"/>
        <v>-7.9437094164732103E-2</v>
      </c>
      <c r="AG12" s="9">
        <f t="shared" si="37"/>
        <v>0.4013563650136327</v>
      </c>
      <c r="AH12" s="5"/>
      <c r="AI12" s="9">
        <f t="shared" si="56"/>
        <v>0.16526670169757676</v>
      </c>
      <c r="AJ12" s="9">
        <f t="shared" si="39"/>
        <v>0.18951394935888019</v>
      </c>
      <c r="AK12" s="9">
        <f t="shared" si="40"/>
        <v>0.30555599589359739</v>
      </c>
      <c r="AL12" s="9">
        <f t="shared" si="41"/>
        <v>3.6998427872923707E-3</v>
      </c>
      <c r="AM12" s="9">
        <f t="shared" si="42"/>
        <v>3.6733405540800318E-2</v>
      </c>
      <c r="AN12" s="9">
        <f t="shared" si="43"/>
        <v>2.9885325030374006E-2</v>
      </c>
      <c r="AO12" s="9">
        <f t="shared" si="44"/>
        <v>5.6873807050196235E-2</v>
      </c>
      <c r="AP12" s="9">
        <f t="shared" si="45"/>
        <v>5.0294181005996037E-2</v>
      </c>
      <c r="AQ12" s="9">
        <f t="shared" si="46"/>
        <v>0.10652478539558088</v>
      </c>
      <c r="AR12" s="9">
        <f t="shared" si="47"/>
        <v>8.1729978516491397E-3</v>
      </c>
      <c r="AS12" s="9">
        <f t="shared" si="48"/>
        <v>0.15930011594056925</v>
      </c>
      <c r="AT12" s="9">
        <f t="shared" si="49"/>
        <v>0.29156968216339713</v>
      </c>
      <c r="AU12" s="9">
        <f t="shared" si="50"/>
        <v>1.7036414540492015E-2</v>
      </c>
      <c r="AV12" s="9">
        <f t="shared" si="51"/>
        <v>6.3102519293365151E-3</v>
      </c>
      <c r="AW12" s="9">
        <f t="shared" si="52"/>
        <v>0.16108693173695637</v>
      </c>
      <c r="AY12" s="10" t="s">
        <v>120</v>
      </c>
      <c r="AZ12" s="10" t="s">
        <v>162</v>
      </c>
      <c r="BA12" s="14">
        <v>-0.78441758641930792</v>
      </c>
      <c r="BB12" s="14">
        <v>0</v>
      </c>
      <c r="BC12" s="14">
        <v>0</v>
      </c>
      <c r="BD12" s="14">
        <v>0.12581563262530485</v>
      </c>
      <c r="BE12" s="14">
        <v>0</v>
      </c>
      <c r="BF12" s="14">
        <v>0</v>
      </c>
      <c r="BG12" s="14">
        <v>1.0279647417717428</v>
      </c>
      <c r="BI12" s="15">
        <f t="shared" ca="1" si="70"/>
        <v>72.680892173577433</v>
      </c>
      <c r="BJ12" s="16">
        <f t="shared" ca="1" si="71"/>
        <v>-42.871466592991325</v>
      </c>
      <c r="BK12" s="14">
        <f t="shared" ca="1" si="72"/>
        <v>1.496964076060709</v>
      </c>
    </row>
    <row r="13" spans="1:63" x14ac:dyDescent="0.15">
      <c r="A13" s="8">
        <v>36068</v>
      </c>
      <c r="B13" s="6">
        <v>0.64201058988808679</v>
      </c>
      <c r="C13" s="9">
        <f t="shared" si="57"/>
        <v>0.66347706975801113</v>
      </c>
      <c r="D13" s="9">
        <f t="shared" si="58"/>
        <v>0.63314571007164455</v>
      </c>
      <c r="E13" s="9">
        <f t="shared" si="59"/>
        <v>0.8479481850374001</v>
      </c>
      <c r="F13" s="9">
        <f t="shared" si="64"/>
        <v>0.63489169604956797</v>
      </c>
      <c r="G13" s="9">
        <f t="shared" si="65"/>
        <v>0.53902963528332259</v>
      </c>
      <c r="H13" s="9">
        <f t="shared" si="62"/>
        <v>0.56390743699782742</v>
      </c>
      <c r="I13" s="9">
        <f t="shared" si="53"/>
        <v>0.29061471964482294</v>
      </c>
      <c r="J13" s="9">
        <f t="shared" si="60"/>
        <v>0.2870143577982347</v>
      </c>
      <c r="K13" s="9">
        <f t="shared" si="66"/>
        <v>0.93993648675402408</v>
      </c>
      <c r="L13" s="9">
        <f t="shared" si="67"/>
        <v>0.93467356891441833</v>
      </c>
      <c r="M13" s="9">
        <f t="shared" si="54"/>
        <v>0.39320300295903987</v>
      </c>
      <c r="N13" s="9">
        <f t="shared" si="68"/>
        <v>0.97282345387102631</v>
      </c>
      <c r="O13" s="9">
        <f t="shared" si="69"/>
        <v>0.47198304517425116</v>
      </c>
      <c r="P13" s="9">
        <f t="shared" si="63"/>
        <v>0.44611726396522494</v>
      </c>
      <c r="Q13" s="9">
        <f t="shared" si="61"/>
        <v>0.38247307535454811</v>
      </c>
      <c r="R13" s="5"/>
      <c r="S13" s="9">
        <f t="shared" si="55"/>
        <v>-2.1466479869924338E-2</v>
      </c>
      <c r="T13" s="9">
        <f t="shared" si="24"/>
        <v>8.8648798164422393E-3</v>
      </c>
      <c r="U13" s="9">
        <f t="shared" si="25"/>
        <v>-0.20593759514931331</v>
      </c>
      <c r="V13" s="9">
        <f t="shared" si="26"/>
        <v>7.118893838518825E-3</v>
      </c>
      <c r="W13" s="9">
        <f t="shared" si="27"/>
        <v>0.1029809546047642</v>
      </c>
      <c r="X13" s="9">
        <f t="shared" si="28"/>
        <v>7.8103152890259375E-2</v>
      </c>
      <c r="Y13" s="9">
        <f t="shared" si="29"/>
        <v>0.35139587024326385</v>
      </c>
      <c r="Z13" s="9">
        <f t="shared" si="30"/>
        <v>0.35499623208985209</v>
      </c>
      <c r="AA13" s="9">
        <f t="shared" si="31"/>
        <v>-0.29792589686593729</v>
      </c>
      <c r="AB13" s="9">
        <f t="shared" si="32"/>
        <v>-0.29266297902633154</v>
      </c>
      <c r="AC13" s="9">
        <f t="shared" si="33"/>
        <v>0.24880758692904692</v>
      </c>
      <c r="AD13" s="9">
        <f t="shared" si="34"/>
        <v>-0.33081286398293952</v>
      </c>
      <c r="AE13" s="9">
        <f t="shared" si="35"/>
        <v>0.17002754471383563</v>
      </c>
      <c r="AF13" s="9">
        <f t="shared" si="36"/>
        <v>0.19589332592286185</v>
      </c>
      <c r="AG13" s="9">
        <f t="shared" si="37"/>
        <v>0.25953751453353868</v>
      </c>
      <c r="AH13" s="5"/>
      <c r="AI13" s="9">
        <f t="shared" si="56"/>
        <v>4.608097580058668E-4</v>
      </c>
      <c r="AJ13" s="9">
        <f t="shared" si="39"/>
        <v>7.8586094159964991E-5</v>
      </c>
      <c r="AK13" s="9">
        <f t="shared" si="40"/>
        <v>4.2410293095882477E-2</v>
      </c>
      <c r="AL13" s="9">
        <f t="shared" si="41"/>
        <v>5.0678649484101292E-5</v>
      </c>
      <c r="AM13" s="9">
        <f t="shared" si="42"/>
        <v>1.0605077011308504E-2</v>
      </c>
      <c r="AN13" s="9">
        <f t="shared" si="43"/>
        <v>6.1001024913992317E-3</v>
      </c>
      <c r="AO13" s="9">
        <f t="shared" si="44"/>
        <v>0.12347905762402073</v>
      </c>
      <c r="AP13" s="9">
        <f t="shared" si="45"/>
        <v>0.12602232479799214</v>
      </c>
      <c r="AQ13" s="9">
        <f t="shared" si="46"/>
        <v>8.8759840023373102E-2</v>
      </c>
      <c r="AR13" s="9">
        <f t="shared" si="47"/>
        <v>8.5651619292566969E-2</v>
      </c>
      <c r="AS13" s="9">
        <f t="shared" si="48"/>
        <v>6.190521531345524E-2</v>
      </c>
      <c r="AT13" s="9">
        <f t="shared" si="49"/>
        <v>0.10943715097659484</v>
      </c>
      <c r="AU13" s="9">
        <f t="shared" si="50"/>
        <v>2.8909365961415374E-2</v>
      </c>
      <c r="AV13" s="9">
        <f t="shared" si="51"/>
        <v>3.837419514112058E-2</v>
      </c>
      <c r="AW13" s="9">
        <f t="shared" si="52"/>
        <v>6.7359721450246809E-2</v>
      </c>
      <c r="AY13" s="10" t="s">
        <v>121</v>
      </c>
      <c r="AZ13" s="10" t="s">
        <v>129</v>
      </c>
      <c r="BA13" s="14">
        <v>-1.1911010273119664</v>
      </c>
      <c r="BB13" s="14">
        <v>-0.76778304160700872</v>
      </c>
      <c r="BC13" s="14">
        <v>0</v>
      </c>
      <c r="BD13" s="14">
        <v>0.10643465940098959</v>
      </c>
      <c r="BE13" s="14">
        <v>8.643457851265117E-2</v>
      </c>
      <c r="BF13" s="14">
        <v>0</v>
      </c>
      <c r="BG13" s="14">
        <v>1.5668046147643417</v>
      </c>
      <c r="BI13" s="15">
        <f t="shared" ca="1" si="70"/>
        <v>66.689215809795741</v>
      </c>
      <c r="BJ13" s="16">
        <f t="shared" ca="1" si="71"/>
        <v>-43.48225813978631</v>
      </c>
      <c r="BK13" s="14">
        <f t="shared" ca="1" si="72"/>
        <v>1.4547872492118825</v>
      </c>
    </row>
    <row r="14" spans="1:63" x14ac:dyDescent="0.15">
      <c r="A14" s="8">
        <v>36160</v>
      </c>
      <c r="B14" s="6">
        <v>-2.4321828622564379E-2</v>
      </c>
      <c r="C14" s="9">
        <f t="shared" si="57"/>
        <v>0.51484947960419158</v>
      </c>
      <c r="D14" s="9">
        <f t="shared" si="58"/>
        <v>0.58845157146847871</v>
      </c>
      <c r="E14" s="9">
        <f t="shared" si="59"/>
        <v>0.33690910424102793</v>
      </c>
      <c r="F14" s="9">
        <f t="shared" si="64"/>
        <v>0.19462122983935987</v>
      </c>
      <c r="G14" s="9">
        <f t="shared" si="65"/>
        <v>0.26024771274061176</v>
      </c>
      <c r="H14" s="9">
        <f t="shared" si="62"/>
        <v>0.23948411201720443</v>
      </c>
      <c r="I14" s="9">
        <f t="shared" si="53"/>
        <v>0.66207959613760581</v>
      </c>
      <c r="J14" s="9">
        <f t="shared" si="60"/>
        <v>0.67040882724493778</v>
      </c>
      <c r="K14" s="9">
        <f t="shared" si="66"/>
        <v>0.43832933747269998</v>
      </c>
      <c r="L14" s="9">
        <f t="shared" si="67"/>
        <v>7.6048272851422016E-2</v>
      </c>
      <c r="M14" s="9">
        <f t="shared" si="54"/>
        <v>0.50879976482368505</v>
      </c>
      <c r="N14" s="9">
        <f t="shared" si="68"/>
        <v>0.31814912037487475</v>
      </c>
      <c r="O14" s="9">
        <f t="shared" si="69"/>
        <v>0.53246695115120479</v>
      </c>
      <c r="P14" s="9">
        <f t="shared" si="63"/>
        <v>0.33242250081841379</v>
      </c>
      <c r="Q14" s="9">
        <f t="shared" si="61"/>
        <v>0.47432760358059606</v>
      </c>
      <c r="R14" s="5"/>
      <c r="S14" s="9">
        <f t="shared" si="55"/>
        <v>-0.53917130822675596</v>
      </c>
      <c r="T14" s="9">
        <f t="shared" si="24"/>
        <v>-0.61277340009104309</v>
      </c>
      <c r="U14" s="9">
        <f t="shared" si="25"/>
        <v>-0.36123093286359231</v>
      </c>
      <c r="V14" s="9">
        <f t="shared" si="26"/>
        <v>-0.21894305846192424</v>
      </c>
      <c r="W14" s="9">
        <f t="shared" si="27"/>
        <v>-0.28456954136317614</v>
      </c>
      <c r="X14" s="9">
        <f t="shared" si="28"/>
        <v>-0.26380594063976881</v>
      </c>
      <c r="Y14" s="9">
        <f t="shared" si="29"/>
        <v>-0.68640142476017019</v>
      </c>
      <c r="Z14" s="9">
        <f t="shared" si="30"/>
        <v>-0.69473065586750216</v>
      </c>
      <c r="AA14" s="9">
        <f t="shared" si="31"/>
        <v>-0.46265116609526435</v>
      </c>
      <c r="AB14" s="9">
        <f t="shared" si="32"/>
        <v>-0.1003701014739864</v>
      </c>
      <c r="AC14" s="9">
        <f t="shared" si="33"/>
        <v>-0.53312159344624943</v>
      </c>
      <c r="AD14" s="9">
        <f t="shared" si="34"/>
        <v>-0.34247094899743913</v>
      </c>
      <c r="AE14" s="9">
        <f t="shared" si="35"/>
        <v>-0.55678877977376917</v>
      </c>
      <c r="AF14" s="9">
        <f t="shared" si="36"/>
        <v>-0.35674432944097817</v>
      </c>
      <c r="AG14" s="9">
        <f t="shared" si="37"/>
        <v>-0.49864943220316044</v>
      </c>
      <c r="AH14" s="5"/>
      <c r="AI14" s="9">
        <f t="shared" si="56"/>
        <v>0.29070569961495146</v>
      </c>
      <c r="AJ14" s="9">
        <f t="shared" si="39"/>
        <v>0.37549123985913757</v>
      </c>
      <c r="AK14" s="9">
        <f t="shared" si="40"/>
        <v>0.13048778685750115</v>
      </c>
      <c r="AL14" s="9">
        <f t="shared" si="41"/>
        <v>4.793606284866158E-2</v>
      </c>
      <c r="AM14" s="9">
        <f t="shared" si="42"/>
        <v>8.0979823871648413E-2</v>
      </c>
      <c r="AN14" s="9">
        <f t="shared" si="43"/>
        <v>6.9593574316833232E-2</v>
      </c>
      <c r="AO14" s="9">
        <f t="shared" si="44"/>
        <v>0.47114691591279156</v>
      </c>
      <c r="AP14" s="9">
        <f t="shared" si="45"/>
        <v>0.48265068420208973</v>
      </c>
      <c r="AQ14" s="9">
        <f t="shared" si="46"/>
        <v>0.21404610148930789</v>
      </c>
      <c r="AR14" s="9">
        <f t="shared" si="47"/>
        <v>1.0074157269898326E-2</v>
      </c>
      <c r="AS14" s="9">
        <f t="shared" si="48"/>
        <v>0.28421863339866804</v>
      </c>
      <c r="AT14" s="9">
        <f t="shared" si="49"/>
        <v>0.11728635090720656</v>
      </c>
      <c r="AU14" s="9">
        <f t="shared" si="50"/>
        <v>0.31001374528196285</v>
      </c>
      <c r="AV14" s="9">
        <f t="shared" si="51"/>
        <v>0.12726651658829316</v>
      </c>
      <c r="AW14" s="9">
        <f t="shared" si="52"/>
        <v>0.24865125623653431</v>
      </c>
      <c r="AY14" s="10" t="s">
        <v>122</v>
      </c>
      <c r="AZ14" s="10" t="s">
        <v>148</v>
      </c>
      <c r="BA14" s="14">
        <v>-1.2824952508611838</v>
      </c>
      <c r="BB14" s="14">
        <v>-0.73132413989489242</v>
      </c>
      <c r="BC14" s="14">
        <v>0</v>
      </c>
      <c r="BD14" s="14">
        <v>0</v>
      </c>
      <c r="BE14" s="14">
        <v>0</v>
      </c>
      <c r="BF14" s="14">
        <v>0</v>
      </c>
      <c r="BG14" s="14">
        <v>1.7286429209226937</v>
      </c>
      <c r="BI14" s="15">
        <f t="shared" ca="1" si="70"/>
        <v>67.678809492633164</v>
      </c>
      <c r="BJ14" s="16">
        <f t="shared" ca="1" si="71"/>
        <v>-51.285503074833898</v>
      </c>
      <c r="BK14" s="14">
        <f t="shared" ca="1" si="72"/>
        <v>1.4631490301138799</v>
      </c>
    </row>
    <row r="15" spans="1:63" x14ac:dyDescent="0.15">
      <c r="A15" s="8">
        <v>36250</v>
      </c>
      <c r="B15" s="6">
        <v>1.1790574009967747</v>
      </c>
      <c r="C15" s="9">
        <f t="shared" si="57"/>
        <v>0.62580835485493158</v>
      </c>
      <c r="D15" s="9">
        <f t="shared" si="58"/>
        <v>0.52330331925153462</v>
      </c>
      <c r="E15" s="9">
        <f t="shared" si="59"/>
        <v>0.71823881703824277</v>
      </c>
      <c r="F15" s="9">
        <f t="shared" si="64"/>
        <v>0.82484417921479491</v>
      </c>
      <c r="G15" s="9">
        <f t="shared" si="65"/>
        <v>1.0006710808839401</v>
      </c>
      <c r="H15" s="9">
        <f t="shared" si="62"/>
        <v>1.0014754039644096</v>
      </c>
      <c r="I15" s="9">
        <f t="shared" si="53"/>
        <v>0.62470590839722417</v>
      </c>
      <c r="J15" s="9">
        <f t="shared" si="60"/>
        <v>0.62176344329225319</v>
      </c>
      <c r="K15" s="9">
        <f t="shared" si="66"/>
        <v>0.81461060712039235</v>
      </c>
      <c r="L15" s="9">
        <f t="shared" si="67"/>
        <v>0.92067157015325485</v>
      </c>
      <c r="M15" s="9">
        <f t="shared" si="54"/>
        <v>0.61666165704632903</v>
      </c>
      <c r="N15" s="9">
        <f t="shared" si="68"/>
        <v>0.77917946551941353</v>
      </c>
      <c r="O15" s="9">
        <f t="shared" si="69"/>
        <v>0.59167264064469771</v>
      </c>
      <c r="P15" s="9">
        <f t="shared" si="63"/>
        <v>0.87577754336336722</v>
      </c>
      <c r="Q15" s="9">
        <f t="shared" si="61"/>
        <v>0.70815744971187078</v>
      </c>
      <c r="R15" s="5"/>
      <c r="S15" s="9">
        <f t="shared" si="55"/>
        <v>0.55324904614184311</v>
      </c>
      <c r="T15" s="9">
        <f t="shared" si="24"/>
        <v>0.65575408174524008</v>
      </c>
      <c r="U15" s="9">
        <f t="shared" si="25"/>
        <v>0.46081858395853192</v>
      </c>
      <c r="V15" s="9">
        <f t="shared" si="26"/>
        <v>0.35421322178197978</v>
      </c>
      <c r="W15" s="9">
        <f t="shared" si="27"/>
        <v>0.17838632011283462</v>
      </c>
      <c r="X15" s="9">
        <f t="shared" si="28"/>
        <v>0.1775819970323651</v>
      </c>
      <c r="Y15" s="9">
        <f t="shared" si="29"/>
        <v>0.55435149259955052</v>
      </c>
      <c r="Z15" s="9">
        <f t="shared" si="30"/>
        <v>0.5572939577045215</v>
      </c>
      <c r="AA15" s="9">
        <f t="shared" si="31"/>
        <v>0.36444679387638235</v>
      </c>
      <c r="AB15" s="9">
        <f t="shared" si="32"/>
        <v>0.25838583084351985</v>
      </c>
      <c r="AC15" s="9">
        <f t="shared" si="33"/>
        <v>0.56239574395044567</v>
      </c>
      <c r="AD15" s="9">
        <f t="shared" si="34"/>
        <v>0.39987793547736117</v>
      </c>
      <c r="AE15" s="9">
        <f t="shared" si="35"/>
        <v>0.58738476035207698</v>
      </c>
      <c r="AF15" s="9">
        <f t="shared" si="36"/>
        <v>0.30327985763340748</v>
      </c>
      <c r="AG15" s="9">
        <f t="shared" si="37"/>
        <v>0.47089995128490392</v>
      </c>
      <c r="AH15" s="5"/>
      <c r="AI15" s="9">
        <f t="shared" si="56"/>
        <v>0.30608450705685925</v>
      </c>
      <c r="AJ15" s="9">
        <f t="shared" si="39"/>
        <v>0.43001341572554302</v>
      </c>
      <c r="AK15" s="9">
        <f t="shared" si="40"/>
        <v>0.21235376732154654</v>
      </c>
      <c r="AL15" s="9">
        <f t="shared" si="41"/>
        <v>0.12546700648517001</v>
      </c>
      <c r="AM15" s="9">
        <f t="shared" si="42"/>
        <v>3.1821679203398706E-2</v>
      </c>
      <c r="AN15" s="9">
        <f t="shared" si="43"/>
        <v>3.1535365670002931E-2</v>
      </c>
      <c r="AO15" s="9">
        <f t="shared" si="44"/>
        <v>0.30730557734734953</v>
      </c>
      <c r="AP15" s="9">
        <f t="shared" si="45"/>
        <v>0.31057655529396899</v>
      </c>
      <c r="AQ15" s="9">
        <f t="shared" si="46"/>
        <v>0.13282146556677432</v>
      </c>
      <c r="AR15" s="9">
        <f t="shared" si="47"/>
        <v>6.676323758069605E-2</v>
      </c>
      <c r="AS15" s="9">
        <f t="shared" si="48"/>
        <v>0.31628897281357526</v>
      </c>
      <c r="AT15" s="9">
        <f t="shared" si="49"/>
        <v>0.15990236328163662</v>
      </c>
      <c r="AU15" s="9">
        <f t="shared" si="50"/>
        <v>0.3450208566938669</v>
      </c>
      <c r="AV15" s="9">
        <f t="shared" si="51"/>
        <v>9.1978672046139909E-2</v>
      </c>
      <c r="AW15" s="9">
        <f t="shared" si="52"/>
        <v>0.2217467641201249</v>
      </c>
      <c r="AY15" s="10" t="s">
        <v>123</v>
      </c>
      <c r="AZ15" s="10" t="s">
        <v>130</v>
      </c>
      <c r="BA15" s="14">
        <v>-1.2842072019363358</v>
      </c>
      <c r="BB15" s="14">
        <v>-0.73473690768573385</v>
      </c>
      <c r="BC15" s="14">
        <v>0</v>
      </c>
      <c r="BD15" s="14">
        <v>2.1139533791197356E-2</v>
      </c>
      <c r="BE15" s="14">
        <v>0</v>
      </c>
      <c r="BF15" s="14">
        <v>0</v>
      </c>
      <c r="BG15" s="14">
        <v>1.7289229664434762</v>
      </c>
      <c r="BI15" s="15">
        <f t="shared" ca="1" si="70"/>
        <v>67.529862985565842</v>
      </c>
      <c r="BJ15" s="16">
        <f t="shared" ca="1" si="71"/>
        <v>-46.774797261214715</v>
      </c>
      <c r="BK15" s="14">
        <f t="shared" ca="1" si="72"/>
        <v>1.4664209734503968</v>
      </c>
    </row>
    <row r="16" spans="1:63" x14ac:dyDescent="0.15">
      <c r="A16" s="8">
        <v>36341</v>
      </c>
      <c r="B16" s="6">
        <v>-0.18751813449758847</v>
      </c>
      <c r="C16" s="9">
        <f>C15*$BA$10+$BG$10</f>
        <v>0.54297129893437668</v>
      </c>
      <c r="D16" s="9">
        <f t="shared" si="58"/>
        <v>0.65624614308003859</v>
      </c>
      <c r="E16" s="9">
        <f t="shared" si="59"/>
        <v>0.52254376410418535</v>
      </c>
      <c r="F16" s="9">
        <f t="shared" si="64"/>
        <v>0.45368129836120841</v>
      </c>
      <c r="G16" s="9">
        <f t="shared" si="65"/>
        <v>0.25496157733527203</v>
      </c>
      <c r="H16" s="9">
        <f t="shared" si="62"/>
        <v>0.27061722483386963</v>
      </c>
      <c r="I16" s="9">
        <f t="shared" si="53"/>
        <v>0.45470542158272742</v>
      </c>
      <c r="J16" s="9">
        <f t="shared" si="60"/>
        <v>0.4484060640538019</v>
      </c>
      <c r="K16" s="9">
        <f t="shared" si="66"/>
        <v>0.59689690370971826</v>
      </c>
      <c r="L16" s="9">
        <f t="shared" si="67"/>
        <v>0.59032081179733398</v>
      </c>
      <c r="M16" s="9">
        <f t="shared" si="54"/>
        <v>0.56904032654936465</v>
      </c>
      <c r="N16" s="9">
        <f t="shared" si="68"/>
        <v>0.52630822675363698</v>
      </c>
      <c r="O16" s="9">
        <f t="shared" si="69"/>
        <v>0.55810733781349664</v>
      </c>
      <c r="P16" s="9">
        <f t="shared" si="63"/>
        <v>0.28142142836538614</v>
      </c>
      <c r="Q16" s="9">
        <f t="shared" si="61"/>
        <v>0.41361543440313875</v>
      </c>
      <c r="R16" s="5"/>
      <c r="S16" s="9">
        <f t="shared" si="55"/>
        <v>-0.73048943343196515</v>
      </c>
      <c r="T16" s="9">
        <f t="shared" si="24"/>
        <v>-0.84376427757762706</v>
      </c>
      <c r="U16" s="9">
        <f t="shared" si="25"/>
        <v>-0.71006189860177382</v>
      </c>
      <c r="V16" s="9">
        <f t="shared" si="26"/>
        <v>-0.64119943285879688</v>
      </c>
      <c r="W16" s="9">
        <f t="shared" si="27"/>
        <v>-0.4424797118328605</v>
      </c>
      <c r="X16" s="9">
        <f t="shared" si="28"/>
        <v>-0.4581353593314581</v>
      </c>
      <c r="Y16" s="9">
        <f t="shared" si="29"/>
        <v>-0.64222355608031589</v>
      </c>
      <c r="Z16" s="9">
        <f t="shared" si="30"/>
        <v>-0.63592419855139037</v>
      </c>
      <c r="AA16" s="9">
        <f t="shared" si="31"/>
        <v>-0.78441503820730674</v>
      </c>
      <c r="AB16" s="9">
        <f t="shared" si="32"/>
        <v>-0.77783894629492245</v>
      </c>
      <c r="AC16" s="9">
        <f t="shared" si="33"/>
        <v>-0.75655846104695312</v>
      </c>
      <c r="AD16" s="9">
        <f t="shared" si="34"/>
        <v>-0.71382636125122545</v>
      </c>
      <c r="AE16" s="9">
        <f t="shared" si="35"/>
        <v>-0.74562547231108511</v>
      </c>
      <c r="AF16" s="9">
        <f t="shared" si="36"/>
        <v>-0.46893956286297461</v>
      </c>
      <c r="AG16" s="9">
        <f t="shared" si="37"/>
        <v>-0.60113356890072722</v>
      </c>
      <c r="AH16" s="5"/>
      <c r="AI16" s="9">
        <f t="shared" si="56"/>
        <v>0.53361481235575348</v>
      </c>
      <c r="AJ16" s="9">
        <f t="shared" si="39"/>
        <v>0.7119381561160949</v>
      </c>
      <c r="AK16" s="9">
        <f t="shared" si="40"/>
        <v>0.50418789984595569</v>
      </c>
      <c r="AL16" s="9">
        <f t="shared" si="41"/>
        <v>0.41113671269844276</v>
      </c>
      <c r="AM16" s="9">
        <f t="shared" si="42"/>
        <v>0.19578829538369127</v>
      </c>
      <c r="AN16" s="9">
        <f t="shared" si="43"/>
        <v>0.20988800746976424</v>
      </c>
      <c r="AO16" s="9">
        <f t="shared" si="44"/>
        <v>0.41245109598444668</v>
      </c>
      <c r="AP16" s="9">
        <f t="shared" si="45"/>
        <v>0.40439958630322814</v>
      </c>
      <c r="AQ16" s="9">
        <f t="shared" si="46"/>
        <v>0.61530695216577047</v>
      </c>
      <c r="AR16" s="9">
        <f t="shared" si="47"/>
        <v>0.60503342637319524</v>
      </c>
      <c r="AS16" s="9">
        <f t="shared" si="48"/>
        <v>0.5723807049817341</v>
      </c>
      <c r="AT16" s="9">
        <f t="shared" si="49"/>
        <v>0.50954807401716506</v>
      </c>
      <c r="AU16" s="9">
        <f t="shared" si="50"/>
        <v>0.55595734495912874</v>
      </c>
      <c r="AV16" s="9">
        <f t="shared" si="51"/>
        <v>0.21990431361811771</v>
      </c>
      <c r="AW16" s="9">
        <f t="shared" si="52"/>
        <v>0.36136156765932537</v>
      </c>
      <c r="AY16" s="10" t="s">
        <v>126</v>
      </c>
      <c r="AZ16" s="10" t="s">
        <v>152</v>
      </c>
      <c r="BA16" s="14">
        <v>0.9</v>
      </c>
      <c r="BB16" s="14">
        <v>0</v>
      </c>
      <c r="BC16" s="14">
        <v>0</v>
      </c>
      <c r="BD16" s="14">
        <v>6.1885049908226172E-2</v>
      </c>
      <c r="BE16" s="14">
        <v>0.23779647934837186</v>
      </c>
      <c r="BF16" s="14">
        <v>0</v>
      </c>
      <c r="BG16" s="14">
        <v>0.58362319402417939</v>
      </c>
      <c r="BI16" s="15">
        <f t="shared" ca="1" si="70"/>
        <v>74.208465841060601</v>
      </c>
      <c r="BJ16" s="16">
        <f t="shared" ca="1" si="71"/>
        <v>-35.646415039240892</v>
      </c>
      <c r="BK16" s="14">
        <f t="shared" ca="1" si="72"/>
        <v>1.4406704073898813</v>
      </c>
    </row>
    <row r="17" spans="1:66" ht="10.25" customHeight="1" x14ac:dyDescent="0.15">
      <c r="A17" s="8">
        <v>36433</v>
      </c>
      <c r="B17" s="6">
        <v>2.1265456138630512E-2</v>
      </c>
      <c r="C17" s="9">
        <f t="shared" si="57"/>
        <v>0.60481383129673838</v>
      </c>
      <c r="D17" s="9">
        <f t="shared" si="58"/>
        <v>0.49909526702452445</v>
      </c>
      <c r="E17" s="9">
        <f t="shared" si="59"/>
        <v>0.52873533655897031</v>
      </c>
      <c r="F17" s="9">
        <f t="shared" si="64"/>
        <v>0.35549340872860785</v>
      </c>
      <c r="G17" s="9">
        <f t="shared" si="65"/>
        <v>0.66984099129299102</v>
      </c>
      <c r="H17" s="9">
        <f t="shared" si="62"/>
        <v>0.63588866800213495</v>
      </c>
      <c r="I17" s="9">
        <f t="shared" si="53"/>
        <v>0.67570199046559876</v>
      </c>
      <c r="J17" s="9">
        <f t="shared" si="60"/>
        <v>0.68373269862863295</v>
      </c>
      <c r="K17" s="9">
        <f t="shared" si="66"/>
        <v>0.53516627969286545</v>
      </c>
      <c r="L17" s="9">
        <f t="shared" si="67"/>
        <v>0.36082467066001822</v>
      </c>
      <c r="M17" s="9">
        <f t="shared" si="54"/>
        <v>0.53723974965521271</v>
      </c>
      <c r="N17" s="9">
        <f t="shared" si="68"/>
        <v>0.49827129636762918</v>
      </c>
      <c r="O17" s="9">
        <f t="shared" si="69"/>
        <v>0.5231653539944956</v>
      </c>
      <c r="P17" s="9">
        <f t="shared" si="63"/>
        <v>0.59639089939581602</v>
      </c>
      <c r="Q17" s="9">
        <f t="shared" si="61"/>
        <v>0.52697035193150488</v>
      </c>
      <c r="R17" s="5"/>
      <c r="S17" s="9">
        <f t="shared" si="55"/>
        <v>-0.58354837515810787</v>
      </c>
      <c r="T17" s="9">
        <f t="shared" si="24"/>
        <v>-0.47782981088589394</v>
      </c>
      <c r="U17" s="9">
        <f t="shared" si="25"/>
        <v>-0.5074698804203398</v>
      </c>
      <c r="V17" s="9">
        <f t="shared" si="26"/>
        <v>-0.33422795258997734</v>
      </c>
      <c r="W17" s="9">
        <f t="shared" si="27"/>
        <v>-0.64857553515436051</v>
      </c>
      <c r="X17" s="9">
        <f t="shared" si="28"/>
        <v>-0.61462321186350444</v>
      </c>
      <c r="Y17" s="9">
        <f t="shared" si="29"/>
        <v>-0.65443653432696824</v>
      </c>
      <c r="Z17" s="9">
        <f t="shared" si="30"/>
        <v>-0.66246724249000244</v>
      </c>
      <c r="AA17" s="9">
        <f t="shared" si="31"/>
        <v>-0.51390082355423494</v>
      </c>
      <c r="AB17" s="9">
        <f t="shared" si="32"/>
        <v>-0.33955921452138771</v>
      </c>
      <c r="AC17" s="9">
        <f t="shared" si="33"/>
        <v>-0.51597429351658219</v>
      </c>
      <c r="AD17" s="9">
        <f t="shared" si="34"/>
        <v>-0.47700584022899867</v>
      </c>
      <c r="AE17" s="9">
        <f t="shared" si="35"/>
        <v>-0.50189989785586508</v>
      </c>
      <c r="AF17" s="9">
        <f t="shared" si="36"/>
        <v>-0.57512544325718551</v>
      </c>
      <c r="AG17" s="9">
        <f t="shared" si="37"/>
        <v>-0.50570489579287436</v>
      </c>
      <c r="AH17" s="5"/>
      <c r="AI17" s="9">
        <f t="shared" si="56"/>
        <v>0.34052870614966779</v>
      </c>
      <c r="AJ17" s="9">
        <f t="shared" si="39"/>
        <v>0.22832132817124917</v>
      </c>
      <c r="AK17" s="9">
        <f t="shared" si="40"/>
        <v>0.25752567953383398</v>
      </c>
      <c r="AL17" s="9">
        <f t="shared" si="41"/>
        <v>0.11170832429248814</v>
      </c>
      <c r="AM17" s="9">
        <f t="shared" si="42"/>
        <v>0.42065022480076514</v>
      </c>
      <c r="AN17" s="9">
        <f t="shared" si="43"/>
        <v>0.37776169256141023</v>
      </c>
      <c r="AO17" s="9">
        <f t="shared" si="44"/>
        <v>0.4282871774618931</v>
      </c>
      <c r="AP17" s="9">
        <f t="shared" si="45"/>
        <v>0.43886284737230769</v>
      </c>
      <c r="AQ17" s="9">
        <f t="shared" si="46"/>
        <v>0.26409405644972089</v>
      </c>
      <c r="AR17" s="9">
        <f t="shared" si="47"/>
        <v>0.11530046016638179</v>
      </c>
      <c r="AS17" s="9">
        <f t="shared" si="48"/>
        <v>0.26622947156993609</v>
      </c>
      <c r="AT17" s="9">
        <f t="shared" si="49"/>
        <v>0.22753457161257301</v>
      </c>
      <c r="AU17" s="9">
        <f t="shared" si="50"/>
        <v>0.25190350746772783</v>
      </c>
      <c r="AV17" s="9">
        <f t="shared" si="51"/>
        <v>0.33076927548177409</v>
      </c>
      <c r="AW17" s="9">
        <f t="shared" si="52"/>
        <v>0.2557374416288819</v>
      </c>
      <c r="AY17" s="10" t="s">
        <v>127</v>
      </c>
      <c r="AZ17" s="10" t="s">
        <v>131</v>
      </c>
      <c r="BA17" s="14">
        <v>-4.7565435581116859E-2</v>
      </c>
      <c r="BB17" s="14">
        <v>0</v>
      </c>
      <c r="BC17" s="14">
        <v>0</v>
      </c>
      <c r="BD17" s="14">
        <v>5.8499746711778156E-2</v>
      </c>
      <c r="BE17" s="14">
        <v>0.2371229543051955</v>
      </c>
      <c r="BF17" s="14">
        <v>0</v>
      </c>
      <c r="BG17" s="14">
        <v>0.61011554325838224</v>
      </c>
      <c r="BI17" s="15">
        <f t="shared" ca="1" si="70"/>
        <v>74.198245435617054</v>
      </c>
      <c r="BJ17" s="16">
        <f t="shared" ca="1" si="71"/>
        <v>-35.662667779212967</v>
      </c>
      <c r="BK17" s="14">
        <f t="shared" ca="1" si="72"/>
        <v>1.4416836232111914</v>
      </c>
    </row>
    <row r="18" spans="1:66" ht="10.25" customHeight="1" x14ac:dyDescent="0.15">
      <c r="A18" s="8">
        <v>36525</v>
      </c>
      <c r="B18" s="6">
        <v>1.0393052175434736</v>
      </c>
      <c r="C18" s="9">
        <f t="shared" si="57"/>
        <v>0.55864489438210863</v>
      </c>
      <c r="D18" s="9">
        <f t="shared" si="58"/>
        <v>0.53744552906831922</v>
      </c>
      <c r="E18" s="9">
        <f t="shared" si="59"/>
        <v>0.54936780117018202</v>
      </c>
      <c r="F18" s="9">
        <f t="shared" si="64"/>
        <v>0.70405200223117337</v>
      </c>
      <c r="G18" s="9">
        <f t="shared" si="65"/>
        <v>0.68311547450632215</v>
      </c>
      <c r="H18" s="9">
        <f t="shared" si="62"/>
        <v>0.70048484826845581</v>
      </c>
      <c r="I18" s="9">
        <f t="shared" si="53"/>
        <v>0.39040485584509765</v>
      </c>
      <c r="J18" s="9">
        <f t="shared" si="60"/>
        <v>0.38804710906187412</v>
      </c>
      <c r="K18" s="9">
        <f t="shared" si="66"/>
        <v>0.64054707395016353</v>
      </c>
      <c r="L18" s="9">
        <f t="shared" si="67"/>
        <v>0.84721395239078179</v>
      </c>
      <c r="M18" s="9">
        <f t="shared" si="54"/>
        <v>0.44642306922885389</v>
      </c>
      <c r="N18" s="9">
        <f t="shared" si="68"/>
        <v>0.5211216898216563</v>
      </c>
      <c r="O18" s="9">
        <f t="shared" si="69"/>
        <v>0.22770305368996552</v>
      </c>
      <c r="P18" s="9">
        <f t="shared" si="63"/>
        <v>0.47567776794473593</v>
      </c>
      <c r="Q18" s="9">
        <f t="shared" si="61"/>
        <v>0.40785844067227933</v>
      </c>
      <c r="R18" s="5"/>
      <c r="S18" s="9">
        <f t="shared" si="55"/>
        <v>0.48066032316136498</v>
      </c>
      <c r="T18" s="9">
        <f t="shared" si="24"/>
        <v>0.50185968847515439</v>
      </c>
      <c r="U18" s="9">
        <f t="shared" si="25"/>
        <v>0.48993741637329158</v>
      </c>
      <c r="V18" s="9">
        <f t="shared" si="26"/>
        <v>0.33525321531230023</v>
      </c>
      <c r="W18" s="9">
        <f t="shared" si="27"/>
        <v>0.35618974303715145</v>
      </c>
      <c r="X18" s="9">
        <f t="shared" si="28"/>
        <v>0.3388203692750178</v>
      </c>
      <c r="Y18" s="9">
        <f t="shared" si="29"/>
        <v>0.64890036169837595</v>
      </c>
      <c r="Z18" s="9">
        <f t="shared" si="30"/>
        <v>0.65125810848159948</v>
      </c>
      <c r="AA18" s="9">
        <f t="shared" si="31"/>
        <v>0.39875814359331008</v>
      </c>
      <c r="AB18" s="9">
        <f t="shared" si="32"/>
        <v>0.19209126515269181</v>
      </c>
      <c r="AC18" s="9">
        <f t="shared" si="33"/>
        <v>0.59288214831461972</v>
      </c>
      <c r="AD18" s="9">
        <f t="shared" si="34"/>
        <v>0.51818352772181731</v>
      </c>
      <c r="AE18" s="9">
        <f t="shared" si="35"/>
        <v>0.81160216385350803</v>
      </c>
      <c r="AF18" s="9">
        <f t="shared" si="36"/>
        <v>0.56362744959873767</v>
      </c>
      <c r="AG18" s="9">
        <f t="shared" si="37"/>
        <v>0.63144677687119422</v>
      </c>
      <c r="AH18" s="5"/>
      <c r="AI18" s="9">
        <f t="shared" si="56"/>
        <v>0.23103434626158781</v>
      </c>
      <c r="AJ18" s="9">
        <f t="shared" si="39"/>
        <v>0.25186314691637901</v>
      </c>
      <c r="AK18" s="9">
        <f t="shared" si="40"/>
        <v>0.24003867196253609</v>
      </c>
      <c r="AL18" s="9">
        <f t="shared" si="41"/>
        <v>0.11239471837723554</v>
      </c>
      <c r="AM18" s="9">
        <f t="shared" si="42"/>
        <v>0.12687113304487199</v>
      </c>
      <c r="AN18" s="9">
        <f t="shared" si="43"/>
        <v>0.11479924263565942</v>
      </c>
      <c r="AO18" s="9">
        <f t="shared" si="44"/>
        <v>0.42107167941228313</v>
      </c>
      <c r="AP18" s="9">
        <f t="shared" si="45"/>
        <v>0.42413712386303082</v>
      </c>
      <c r="AQ18" s="9">
        <f t="shared" si="46"/>
        <v>0.1590080570819829</v>
      </c>
      <c r="AR18" s="9">
        <f t="shared" si="47"/>
        <v>3.6899054147961755E-2</v>
      </c>
      <c r="AS18" s="9">
        <f t="shared" si="48"/>
        <v>0.35150924179015874</v>
      </c>
      <c r="AT18" s="9">
        <f t="shared" si="49"/>
        <v>0.26851416840222742</v>
      </c>
      <c r="AU18" s="9">
        <f t="shared" si="50"/>
        <v>0.65869807237169653</v>
      </c>
      <c r="AV18" s="9">
        <f t="shared" si="51"/>
        <v>0.31767590194117756</v>
      </c>
      <c r="AW18" s="9">
        <f t="shared" si="52"/>
        <v>0.39872503202101972</v>
      </c>
      <c r="AY18" s="10" t="s">
        <v>128</v>
      </c>
      <c r="AZ18" s="10" t="s">
        <v>132</v>
      </c>
      <c r="BA18" s="14">
        <v>-0.4793918498905177</v>
      </c>
      <c r="BB18" s="14">
        <v>0.75748674735298072</v>
      </c>
      <c r="BC18" s="14">
        <v>0.52088957599598085</v>
      </c>
      <c r="BD18" s="14">
        <v>0.16524784222891717</v>
      </c>
      <c r="BE18" s="14">
        <v>0</v>
      </c>
      <c r="BF18" s="14">
        <v>0</v>
      </c>
      <c r="BG18" s="14">
        <v>0.1055587611422438</v>
      </c>
      <c r="BI18" s="15">
        <f t="shared" ca="1" si="70"/>
        <v>69.882560644179733</v>
      </c>
      <c r="BJ18" s="16">
        <f t="shared" ca="1" si="71"/>
        <v>-37.963059455548432</v>
      </c>
      <c r="BK18" s="14">
        <f t="shared" ca="1" si="72"/>
        <v>1.4793291671955471</v>
      </c>
    </row>
    <row r="19" spans="1:66" ht="10.25" customHeight="1" x14ac:dyDescent="0.15">
      <c r="A19" s="8">
        <v>36616</v>
      </c>
      <c r="B19" s="6">
        <v>0.96679146790215054</v>
      </c>
      <c r="C19" s="9">
        <f t="shared" si="57"/>
        <v>0.59311260866226267</v>
      </c>
      <c r="D19" s="9">
        <f t="shared" si="58"/>
        <v>0.64011787191079006</v>
      </c>
      <c r="E19" s="9">
        <f t="shared" si="59"/>
        <v>0.65867276310915934</v>
      </c>
      <c r="F19" s="9">
        <f t="shared" si="64"/>
        <v>0.46205945057644027</v>
      </c>
      <c r="G19" s="9">
        <f t="shared" si="65"/>
        <v>0.36267968225486258</v>
      </c>
      <c r="H19" s="9">
        <f t="shared" si="62"/>
        <v>0.36930691053499021</v>
      </c>
      <c r="I19" s="9">
        <f t="shared" si="53"/>
        <v>0.46815772147344648</v>
      </c>
      <c r="J19" s="9">
        <f t="shared" si="60"/>
        <v>0.47267015821038061</v>
      </c>
      <c r="K19" s="9">
        <f t="shared" si="66"/>
        <v>0.58067837680353307</v>
      </c>
      <c r="L19" s="9">
        <f t="shared" si="67"/>
        <v>0.47138605689626756</v>
      </c>
      <c r="M19" s="9">
        <f t="shared" si="54"/>
        <v>0.45183815237427755</v>
      </c>
      <c r="N19" s="9">
        <f t="shared" si="68"/>
        <v>0.58293306689249369</v>
      </c>
      <c r="O19" s="9">
        <f t="shared" si="69"/>
        <v>1.0255078449518227</v>
      </c>
      <c r="P19" s="9">
        <f t="shared" si="63"/>
        <v>0.49102903846184298</v>
      </c>
      <c r="Q19" s="9">
        <f t="shared" si="61"/>
        <v>0.39662465426399818</v>
      </c>
      <c r="R19" s="5"/>
      <c r="S19" s="9">
        <f t="shared" si="55"/>
        <v>0.37367885923988786</v>
      </c>
      <c r="T19" s="9">
        <f t="shared" si="24"/>
        <v>0.32667359599136048</v>
      </c>
      <c r="U19" s="9">
        <f t="shared" si="25"/>
        <v>0.30811870479299119</v>
      </c>
      <c r="V19" s="9">
        <f t="shared" si="26"/>
        <v>0.50473201732571027</v>
      </c>
      <c r="W19" s="9">
        <f t="shared" si="27"/>
        <v>0.60411178564728796</v>
      </c>
      <c r="X19" s="9">
        <f t="shared" si="28"/>
        <v>0.59748455736716033</v>
      </c>
      <c r="Y19" s="9">
        <f t="shared" si="29"/>
        <v>0.49863374642870406</v>
      </c>
      <c r="Z19" s="9">
        <f t="shared" si="30"/>
        <v>0.49412130969176993</v>
      </c>
      <c r="AA19" s="9">
        <f t="shared" si="31"/>
        <v>0.38611309109861747</v>
      </c>
      <c r="AB19" s="9">
        <f t="shared" si="32"/>
        <v>0.49540541100588298</v>
      </c>
      <c r="AC19" s="9">
        <f t="shared" si="33"/>
        <v>0.51495331552787293</v>
      </c>
      <c r="AD19" s="9">
        <f t="shared" si="34"/>
        <v>0.38385840100965685</v>
      </c>
      <c r="AE19" s="9">
        <f t="shared" si="35"/>
        <v>-5.8716377049672142E-2</v>
      </c>
      <c r="AF19" s="9">
        <f t="shared" si="36"/>
        <v>0.47576242944030755</v>
      </c>
      <c r="AG19" s="9">
        <f t="shared" si="37"/>
        <v>0.57016681363815236</v>
      </c>
      <c r="AH19" s="5"/>
      <c r="AI19" s="9">
        <f t="shared" si="56"/>
        <v>0.13963588984282393</v>
      </c>
      <c r="AJ19" s="9">
        <f t="shared" si="39"/>
        <v>0.1067156383179266</v>
      </c>
      <c r="AK19" s="9">
        <f t="shared" si="40"/>
        <v>9.493713624331046E-2</v>
      </c>
      <c r="AL19" s="9">
        <f t="shared" si="41"/>
        <v>0.2547544093136811</v>
      </c>
      <c r="AM19" s="9">
        <f t="shared" si="42"/>
        <v>0.36495104955795477</v>
      </c>
      <c r="AN19" s="9">
        <f t="shared" si="43"/>
        <v>0.35698779629223149</v>
      </c>
      <c r="AO19" s="9">
        <f t="shared" si="44"/>
        <v>0.24863561307752513</v>
      </c>
      <c r="AP19" s="9">
        <f t="shared" si="45"/>
        <v>0.24415586869151001</v>
      </c>
      <c r="AQ19" s="9">
        <f t="shared" si="46"/>
        <v>0.14908331911772926</v>
      </c>
      <c r="AR19" s="9">
        <f t="shared" si="47"/>
        <v>0.24542652125390785</v>
      </c>
      <c r="AS19" s="9">
        <f t="shared" si="48"/>
        <v>0.26517691717314906</v>
      </c>
      <c r="AT19" s="9">
        <f t="shared" si="49"/>
        <v>0.14734727202569053</v>
      </c>
      <c r="AU19" s="9">
        <f t="shared" si="50"/>
        <v>3.4476129338392655E-3</v>
      </c>
      <c r="AV19" s="9">
        <f t="shared" si="51"/>
        <v>0.22634988926694363</v>
      </c>
      <c r="AW19" s="9">
        <f t="shared" si="52"/>
        <v>0.32509019537428357</v>
      </c>
      <c r="AY19" s="10" t="s">
        <v>149</v>
      </c>
      <c r="AZ19" s="10" t="s">
        <v>153</v>
      </c>
      <c r="BA19" s="14">
        <v>-1.609865375610712</v>
      </c>
      <c r="BB19" s="14">
        <v>-1.2626798775396217</v>
      </c>
      <c r="BC19" s="14">
        <v>-0.35541982536762523</v>
      </c>
      <c r="BD19" s="14">
        <v>0</v>
      </c>
      <c r="BE19" s="14">
        <v>0</v>
      </c>
      <c r="BF19" s="14">
        <v>0</v>
      </c>
      <c r="BG19" s="14">
        <v>2.5007042353866384</v>
      </c>
      <c r="BI19" s="15">
        <f t="shared" ca="1" si="70"/>
        <v>66.811581462409919</v>
      </c>
      <c r="BJ19" s="16">
        <f t="shared" ca="1" si="71"/>
        <v>-48.036627186410655</v>
      </c>
      <c r="BK19" s="14">
        <f t="shared" ca="1" si="72"/>
        <v>1.4696924483083302</v>
      </c>
    </row>
    <row r="20" spans="1:66" ht="10.25" customHeight="1" x14ac:dyDescent="0.15">
      <c r="A20" s="8">
        <v>36707</v>
      </c>
      <c r="B20" s="6">
        <v>1.1921318677781789</v>
      </c>
      <c r="C20" s="9">
        <f t="shared" si="57"/>
        <v>0.56738051676040469</v>
      </c>
      <c r="D20" s="9">
        <f t="shared" si="58"/>
        <v>0.62175821146688437</v>
      </c>
      <c r="E20" s="9">
        <f t="shared" si="59"/>
        <v>0.55005639246073912</v>
      </c>
      <c r="F20" s="9">
        <f t="shared" si="64"/>
        <v>0.55858439149435235</v>
      </c>
      <c r="G20" s="9">
        <f t="shared" si="65"/>
        <v>0.76392911400476193</v>
      </c>
      <c r="H20" s="9">
        <f t="shared" si="62"/>
        <v>0.75261484590228978</v>
      </c>
      <c r="I20" s="9">
        <f t="shared" si="53"/>
        <v>0.76878738976760441</v>
      </c>
      <c r="J20" s="9">
        <f t="shared" si="60"/>
        <v>0.77096699945714109</v>
      </c>
      <c r="K20" s="9">
        <f t="shared" si="66"/>
        <v>0.6549590911449007</v>
      </c>
      <c r="L20" s="9">
        <f t="shared" si="67"/>
        <v>0.54383189275471033</v>
      </c>
      <c r="M20" s="9">
        <f t="shared" si="54"/>
        <v>0.68492775329161626</v>
      </c>
      <c r="N20" s="9">
        <f t="shared" si="68"/>
        <v>0.59505992557887522</v>
      </c>
      <c r="O20" s="9">
        <f t="shared" si="69"/>
        <v>0.44533166502218491</v>
      </c>
      <c r="P20" s="9">
        <f t="shared" si="63"/>
        <v>0.85689941410414283</v>
      </c>
      <c r="Q20" s="9">
        <f t="shared" si="61"/>
        <v>0.7955335269863838</v>
      </c>
      <c r="R20" s="5"/>
      <c r="S20" s="9">
        <f t="shared" si="55"/>
        <v>0.62475135101777424</v>
      </c>
      <c r="T20" s="9">
        <f t="shared" si="24"/>
        <v>0.57037365631129455</v>
      </c>
      <c r="U20" s="9">
        <f t="shared" si="25"/>
        <v>0.6420754753174398</v>
      </c>
      <c r="V20" s="9">
        <f t="shared" si="26"/>
        <v>0.63354747628382657</v>
      </c>
      <c r="W20" s="9">
        <f t="shared" si="27"/>
        <v>0.42820275377341699</v>
      </c>
      <c r="X20" s="9">
        <f t="shared" si="28"/>
        <v>0.43951702187588915</v>
      </c>
      <c r="Y20" s="9">
        <f t="shared" si="29"/>
        <v>0.42334447801057451</v>
      </c>
      <c r="Z20" s="9">
        <f t="shared" si="30"/>
        <v>0.42116486832103783</v>
      </c>
      <c r="AA20" s="9">
        <f t="shared" si="31"/>
        <v>0.53717277663327823</v>
      </c>
      <c r="AB20" s="9">
        <f t="shared" si="32"/>
        <v>0.64829997502346859</v>
      </c>
      <c r="AC20" s="9">
        <f t="shared" si="33"/>
        <v>0.50720411448656266</v>
      </c>
      <c r="AD20" s="9">
        <f t="shared" si="34"/>
        <v>0.59707194219930371</v>
      </c>
      <c r="AE20" s="9">
        <f t="shared" si="35"/>
        <v>0.74680020275599401</v>
      </c>
      <c r="AF20" s="9">
        <f t="shared" si="36"/>
        <v>0.33523245367403609</v>
      </c>
      <c r="AG20" s="9">
        <f t="shared" si="37"/>
        <v>0.39659834079179512</v>
      </c>
      <c r="AH20" s="5"/>
      <c r="AI20" s="9">
        <f t="shared" si="56"/>
        <v>0.39031425059853414</v>
      </c>
      <c r="AJ20" s="9">
        <f t="shared" si="39"/>
        <v>0.32532610781391474</v>
      </c>
      <c r="AK20" s="9">
        <f t="shared" si="40"/>
        <v>0.41226091600411624</v>
      </c>
      <c r="AL20" s="9">
        <f t="shared" si="41"/>
        <v>0.40138240470560577</v>
      </c>
      <c r="AM20" s="9">
        <f t="shared" si="42"/>
        <v>0.18335759833913759</v>
      </c>
      <c r="AN20" s="9">
        <f t="shared" si="43"/>
        <v>0.19317521251865083</v>
      </c>
      <c r="AO20" s="9">
        <f t="shared" si="44"/>
        <v>0.17922054706204579</v>
      </c>
      <c r="AP20" s="9">
        <f t="shared" si="45"/>
        <v>0.17737984630787715</v>
      </c>
      <c r="AQ20" s="9">
        <f t="shared" si="46"/>
        <v>0.28855459195590583</v>
      </c>
      <c r="AR20" s="9">
        <f t="shared" si="47"/>
        <v>0.42029285761543</v>
      </c>
      <c r="AS20" s="9">
        <f t="shared" si="48"/>
        <v>0.25725601375209817</v>
      </c>
      <c r="AT20" s="9">
        <f t="shared" si="49"/>
        <v>0.35649490416164864</v>
      </c>
      <c r="AU20" s="9">
        <f t="shared" si="50"/>
        <v>0.55771054283639376</v>
      </c>
      <c r="AV20" s="9">
        <f t="shared" si="51"/>
        <v>0.11238079799631476</v>
      </c>
      <c r="AW20" s="9">
        <f t="shared" si="52"/>
        <v>0.15729024391880486</v>
      </c>
      <c r="AY20" s="10" t="s">
        <v>150</v>
      </c>
      <c r="AZ20" s="10" t="s">
        <v>154</v>
      </c>
      <c r="BA20" s="14">
        <v>0</v>
      </c>
      <c r="BB20" s="14">
        <v>0</v>
      </c>
      <c r="BC20" s="14">
        <v>0</v>
      </c>
      <c r="BD20" s="14">
        <v>0.1099059698053118</v>
      </c>
      <c r="BE20" s="14">
        <v>0.19120740014536003</v>
      </c>
      <c r="BF20" s="14">
        <v>0.12317056349870786</v>
      </c>
      <c r="BG20" s="14">
        <v>0.57852070005551559</v>
      </c>
      <c r="BI20" s="15">
        <f t="shared" ca="1" si="70"/>
        <v>73.052455013657436</v>
      </c>
      <c r="BJ20" s="16">
        <f t="shared" ca="1" si="71"/>
        <v>-37.499073286476374</v>
      </c>
      <c r="BK20" s="14">
        <f t="shared" ca="1" si="72"/>
        <v>1.4428826695822137</v>
      </c>
    </row>
    <row r="21" spans="1:66" ht="10.25" customHeight="1" x14ac:dyDescent="0.15">
      <c r="A21" s="8">
        <v>36799</v>
      </c>
      <c r="B21" s="6">
        <v>1.3518668875141859</v>
      </c>
      <c r="C21" s="9">
        <f t="shared" si="57"/>
        <v>0.58659097406731453</v>
      </c>
      <c r="D21" s="9">
        <f t="shared" si="58"/>
        <v>0.64729819751370621</v>
      </c>
      <c r="E21" s="9">
        <f t="shared" si="59"/>
        <v>0.67727396612343527</v>
      </c>
      <c r="F21" s="9">
        <f t="shared" si="64"/>
        <v>0.65777047088015994</v>
      </c>
      <c r="G21" s="9">
        <f t="shared" si="65"/>
        <v>0.48367105353460427</v>
      </c>
      <c r="H21" s="9">
        <f t="shared" si="62"/>
        <v>0.50035732855385118</v>
      </c>
      <c r="I21" s="9">
        <f t="shared" si="53"/>
        <v>0.72839523755927038</v>
      </c>
      <c r="J21" s="9">
        <f t="shared" si="60"/>
        <v>0.71524970497048168</v>
      </c>
      <c r="K21" s="9">
        <f t="shared" si="66"/>
        <v>0.65385382173692674</v>
      </c>
      <c r="L21" s="9">
        <f t="shared" si="67"/>
        <v>0.72888177748458083</v>
      </c>
      <c r="M21" s="9">
        <f t="shared" si="54"/>
        <v>0.80575397310195962</v>
      </c>
      <c r="N21" s="9">
        <f t="shared" si="68"/>
        <v>0.68198276148364101</v>
      </c>
      <c r="O21" s="9">
        <f t="shared" si="69"/>
        <v>0.75674066994241473</v>
      </c>
      <c r="P21" s="9">
        <f t="shared" si="63"/>
        <v>0.49796151328591765</v>
      </c>
      <c r="Q21" s="9">
        <f t="shared" si="61"/>
        <v>0.80007198577727101</v>
      </c>
      <c r="R21" s="5"/>
      <c r="S21" s="9">
        <f t="shared" si="55"/>
        <v>0.7652759134468714</v>
      </c>
      <c r="T21" s="9">
        <f t="shared" si="24"/>
        <v>0.70456869000047972</v>
      </c>
      <c r="U21" s="9">
        <f t="shared" si="25"/>
        <v>0.67459292139075067</v>
      </c>
      <c r="V21" s="9">
        <f t="shared" si="26"/>
        <v>0.69409641663402599</v>
      </c>
      <c r="W21" s="9">
        <f t="shared" si="27"/>
        <v>0.86819583397958167</v>
      </c>
      <c r="X21" s="9">
        <f t="shared" si="28"/>
        <v>0.85150955896033476</v>
      </c>
      <c r="Y21" s="9">
        <f t="shared" si="29"/>
        <v>0.62347164995491555</v>
      </c>
      <c r="Z21" s="9">
        <f t="shared" si="30"/>
        <v>0.63661718254370425</v>
      </c>
      <c r="AA21" s="9">
        <f t="shared" si="31"/>
        <v>0.69801306577725919</v>
      </c>
      <c r="AB21" s="9">
        <f t="shared" si="32"/>
        <v>0.6229851100296051</v>
      </c>
      <c r="AC21" s="9">
        <f t="shared" si="33"/>
        <v>0.54611291441222631</v>
      </c>
      <c r="AD21" s="9">
        <f t="shared" si="34"/>
        <v>0.66988412603054492</v>
      </c>
      <c r="AE21" s="9">
        <f t="shared" si="35"/>
        <v>0.5951262175717712</v>
      </c>
      <c r="AF21" s="9">
        <f t="shared" si="36"/>
        <v>0.85390537422826829</v>
      </c>
      <c r="AG21" s="9">
        <f t="shared" si="37"/>
        <v>0.55179490173691492</v>
      </c>
      <c r="AH21" s="5"/>
      <c r="AI21" s="9">
        <f t="shared" si="56"/>
        <v>0.58564722370194344</v>
      </c>
      <c r="AJ21" s="9">
        <f t="shared" si="39"/>
        <v>0.49641703892899208</v>
      </c>
      <c r="AK21" s="9">
        <f t="shared" si="40"/>
        <v>0.45507560959050752</v>
      </c>
      <c r="AL21" s="9">
        <f t="shared" si="41"/>
        <v>0.48176983558419539</v>
      </c>
      <c r="AM21" s="9">
        <f t="shared" si="42"/>
        <v>0.75376400613950134</v>
      </c>
      <c r="AN21" s="9">
        <f t="shared" si="43"/>
        <v>0.72506852900082386</v>
      </c>
      <c r="AO21" s="9">
        <f t="shared" si="44"/>
        <v>0.38871689829750478</v>
      </c>
      <c r="AP21" s="9">
        <f t="shared" si="45"/>
        <v>0.40528143710988407</v>
      </c>
      <c r="AQ21" s="9">
        <f t="shared" si="46"/>
        <v>0.48722223999576836</v>
      </c>
      <c r="AR21" s="9">
        <f t="shared" si="47"/>
        <v>0.38811044731859917</v>
      </c>
      <c r="AS21" s="9">
        <f t="shared" si="48"/>
        <v>0.29823931528781561</v>
      </c>
      <c r="AT21" s="9">
        <f t="shared" si="49"/>
        <v>0.448744742307707</v>
      </c>
      <c r="AU21" s="9">
        <f t="shared" si="50"/>
        <v>0.35417521484128317</v>
      </c>
      <c r="AV21" s="9">
        <f t="shared" si="51"/>
        <v>0.72915438813591893</v>
      </c>
      <c r="AW21" s="9">
        <f t="shared" si="52"/>
        <v>0.30447761358285158</v>
      </c>
      <c r="AY21" s="10" t="s">
        <v>151</v>
      </c>
      <c r="AZ21" s="10" t="s">
        <v>133</v>
      </c>
      <c r="BA21" s="14">
        <v>-0.48085253760916696</v>
      </c>
      <c r="BB21" s="14">
        <v>0.75942259582582194</v>
      </c>
      <c r="BC21" s="14">
        <v>0.49154390352583521</v>
      </c>
      <c r="BD21" s="14">
        <v>0.20374701038098159</v>
      </c>
      <c r="BE21" s="14">
        <v>6.5962959811509903E-2</v>
      </c>
      <c r="BF21" s="14">
        <v>0</v>
      </c>
      <c r="BG21" s="14">
        <v>0.12230004476405898</v>
      </c>
      <c r="BI21" s="15">
        <f t="shared" ca="1" si="70"/>
        <v>69.114573049260159</v>
      </c>
      <c r="BJ21" s="16">
        <f t="shared" ca="1" si="71"/>
        <v>-34.496336373034218</v>
      </c>
      <c r="BK21" s="14">
        <f t="shared" ca="1" si="72"/>
        <v>1.4799882730512339</v>
      </c>
    </row>
    <row r="22" spans="1:66" ht="10.25" customHeight="1" x14ac:dyDescent="0.15">
      <c r="A22" s="8">
        <v>36891</v>
      </c>
      <c r="B22" s="6">
        <v>1.198100647213507</v>
      </c>
      <c r="C22" s="9">
        <f t="shared" si="57"/>
        <v>0.57224928465674785</v>
      </c>
      <c r="D22" s="9">
        <f t="shared" si="58"/>
        <v>0.66136195803750386</v>
      </c>
      <c r="E22" s="9">
        <f t="shared" si="59"/>
        <v>0.58157346708989544</v>
      </c>
      <c r="F22" s="9">
        <f t="shared" si="64"/>
        <v>0.48309823284400966</v>
      </c>
      <c r="G22" s="9">
        <f t="shared" si="65"/>
        <v>0.54965728954533843</v>
      </c>
      <c r="H22" s="9">
        <f t="shared" si="62"/>
        <v>0.55138709211154135</v>
      </c>
      <c r="I22" s="9">
        <f t="shared" si="53"/>
        <v>0.72287659462049225</v>
      </c>
      <c r="J22" s="9">
        <f t="shared" si="60"/>
        <v>0.71320418124921159</v>
      </c>
      <c r="K22" s="9">
        <f t="shared" si="66"/>
        <v>0.70604386603291902</v>
      </c>
      <c r="L22" s="9">
        <f t="shared" si="67"/>
        <v>0.47307716113215692</v>
      </c>
      <c r="M22" s="9">
        <f t="shared" si="54"/>
        <v>0.79895003966029776</v>
      </c>
      <c r="N22" s="9">
        <f t="shared" si="68"/>
        <v>0.70867757235686901</v>
      </c>
      <c r="O22" s="9">
        <f t="shared" si="69"/>
        <v>1.1515186254652678</v>
      </c>
      <c r="P22" s="9">
        <f t="shared" si="63"/>
        <v>0.7469496413482366</v>
      </c>
      <c r="Q22" s="9">
        <f t="shared" si="61"/>
        <v>0.74830906164346578</v>
      </c>
      <c r="R22" s="5"/>
      <c r="S22" s="9">
        <f t="shared" si="55"/>
        <v>0.62585136255675911</v>
      </c>
      <c r="T22" s="9">
        <f t="shared" si="24"/>
        <v>0.53673868917600309</v>
      </c>
      <c r="U22" s="9">
        <f t="shared" si="25"/>
        <v>0.61652718012361152</v>
      </c>
      <c r="V22" s="9">
        <f t="shared" si="26"/>
        <v>0.7150024143694973</v>
      </c>
      <c r="W22" s="9">
        <f t="shared" si="27"/>
        <v>0.64844335766816852</v>
      </c>
      <c r="X22" s="9">
        <f t="shared" si="28"/>
        <v>0.6467135551019656</v>
      </c>
      <c r="Y22" s="9">
        <f t="shared" si="29"/>
        <v>0.4752240525930147</v>
      </c>
      <c r="Z22" s="9">
        <f t="shared" si="30"/>
        <v>0.48489646596429536</v>
      </c>
      <c r="AA22" s="9">
        <f t="shared" si="31"/>
        <v>0.49205678118058793</v>
      </c>
      <c r="AB22" s="9">
        <f t="shared" si="32"/>
        <v>0.72502348608135003</v>
      </c>
      <c r="AC22" s="9">
        <f t="shared" si="33"/>
        <v>0.39915060755320919</v>
      </c>
      <c r="AD22" s="9">
        <f t="shared" si="34"/>
        <v>0.48942307485663794</v>
      </c>
      <c r="AE22" s="9">
        <f t="shared" si="35"/>
        <v>4.6582021748239111E-2</v>
      </c>
      <c r="AF22" s="9">
        <f t="shared" si="36"/>
        <v>0.45115100586527035</v>
      </c>
      <c r="AG22" s="9">
        <f t="shared" si="37"/>
        <v>0.44979158557004117</v>
      </c>
      <c r="AH22" s="5"/>
      <c r="AI22" s="9">
        <f t="shared" si="56"/>
        <v>0.39168992801415192</v>
      </c>
      <c r="AJ22" s="9">
        <f t="shared" si="39"/>
        <v>0.28808842045837407</v>
      </c>
      <c r="AK22" s="9">
        <f t="shared" si="40"/>
        <v>0.38010576383117212</v>
      </c>
      <c r="AL22" s="9">
        <f t="shared" si="41"/>
        <v>0.51122845255421034</v>
      </c>
      <c r="AM22" s="9">
        <f t="shared" si="42"/>
        <v>0.42047878810396833</v>
      </c>
      <c r="AN22" s="9">
        <f t="shared" si="43"/>
        <v>0.4182384223526231</v>
      </c>
      <c r="AO22" s="9">
        <f t="shared" si="44"/>
        <v>0.2258379001629284</v>
      </c>
      <c r="AP22" s="9">
        <f t="shared" si="45"/>
        <v>0.23512458270466305</v>
      </c>
      <c r="AQ22" s="9">
        <f t="shared" si="46"/>
        <v>0.242119875905801</v>
      </c>
      <c r="AR22" s="9">
        <f t="shared" si="47"/>
        <v>0.5256590553695536</v>
      </c>
      <c r="AS22" s="9">
        <f t="shared" si="48"/>
        <v>0.15932120751009601</v>
      </c>
      <c r="AT22" s="9">
        <f t="shared" si="49"/>
        <v>0.23953494620212623</v>
      </c>
      <c r="AU22" s="9">
        <f t="shared" si="50"/>
        <v>2.1698847501534215E-3</v>
      </c>
      <c r="AV22" s="9">
        <f t="shared" si="51"/>
        <v>0.2035372300932452</v>
      </c>
      <c r="AW22" s="9">
        <f t="shared" si="52"/>
        <v>0.20231247044961168</v>
      </c>
      <c r="AY22" s="10" t="s">
        <v>155</v>
      </c>
      <c r="AZ22" s="10" t="s">
        <v>136</v>
      </c>
      <c r="BA22" s="14">
        <v>-0.89164592491972938</v>
      </c>
      <c r="BB22" s="14">
        <v>-5.9670259684902083E-2</v>
      </c>
      <c r="BC22" s="14">
        <v>0.52934290329591283</v>
      </c>
      <c r="BD22" s="14">
        <v>0.3585444661913797</v>
      </c>
      <c r="BE22" s="14">
        <v>0.33765547800977314</v>
      </c>
      <c r="BF22" s="14">
        <v>2.4040161088208071E-3</v>
      </c>
      <c r="BG22" s="14">
        <v>0.84459187981984152</v>
      </c>
      <c r="BI22" s="15">
        <f t="shared" ca="1" si="70"/>
        <v>50.340055116656735</v>
      </c>
      <c r="BJ22" s="16">
        <f t="shared" ca="1" si="71"/>
        <v>-67.127465333541636</v>
      </c>
      <c r="BK22" s="14">
        <f t="shared" ca="1" si="72"/>
        <v>1.4381667101900346</v>
      </c>
    </row>
    <row r="23" spans="1:66" ht="10.25" customHeight="1" x14ac:dyDescent="0.15">
      <c r="A23" s="8">
        <v>36981</v>
      </c>
      <c r="B23" s="6">
        <v>-0.43539495989035615</v>
      </c>
      <c r="C23" s="9">
        <f t="shared" si="57"/>
        <v>0.58295616434540454</v>
      </c>
      <c r="D23" s="9">
        <f t="shared" si="58"/>
        <v>0.64377322263190728</v>
      </c>
      <c r="E23" s="9">
        <f t="shared" si="59"/>
        <v>0.64933704358952571</v>
      </c>
      <c r="F23" s="9">
        <f t="shared" si="64"/>
        <v>0.62245577018280884</v>
      </c>
      <c r="G23" s="9">
        <f t="shared" si="65"/>
        <v>0.66998974026131575</v>
      </c>
      <c r="H23" s="9">
        <f t="shared" si="62"/>
        <v>0.66686791843085302</v>
      </c>
      <c r="I23" s="9">
        <f t="shared" si="53"/>
        <v>0.76129182156928699</v>
      </c>
      <c r="J23" s="9">
        <f t="shared" si="60"/>
        <v>0.75551454324555034</v>
      </c>
      <c r="K23" s="9">
        <f t="shared" si="66"/>
        <v>0.68484537539806922</v>
      </c>
      <c r="L23" s="9">
        <f t="shared" si="67"/>
        <v>0.62548070380045284</v>
      </c>
      <c r="M23" s="9">
        <f t="shared" si="54"/>
        <v>0.7892831818177708</v>
      </c>
      <c r="N23" s="9">
        <f t="shared" si="68"/>
        <v>0.73584786143198544</v>
      </c>
      <c r="O23" s="9">
        <f t="shared" si="69"/>
        <v>0.22786790746710117</v>
      </c>
      <c r="P23" s="9">
        <f t="shared" si="63"/>
        <v>0.73331096928470763</v>
      </c>
      <c r="Q23" s="9">
        <f t="shared" si="61"/>
        <v>0.7660066043517052</v>
      </c>
      <c r="R23" s="5"/>
      <c r="S23" s="9">
        <f t="shared" si="55"/>
        <v>-1.0183511242357608</v>
      </c>
      <c r="T23" s="9">
        <f t="shared" si="24"/>
        <v>-1.0791681825222634</v>
      </c>
      <c r="U23" s="9">
        <f t="shared" si="25"/>
        <v>-1.084732003479882</v>
      </c>
      <c r="V23" s="9">
        <f t="shared" si="26"/>
        <v>-1.057850730073165</v>
      </c>
      <c r="W23" s="9">
        <f t="shared" si="27"/>
        <v>-1.1053847001516719</v>
      </c>
      <c r="X23" s="9">
        <f t="shared" si="28"/>
        <v>-1.1022628783212092</v>
      </c>
      <c r="Y23" s="9">
        <f t="shared" si="29"/>
        <v>-1.1966867814596431</v>
      </c>
      <c r="Z23" s="9">
        <f t="shared" si="30"/>
        <v>-1.1909095031359065</v>
      </c>
      <c r="AA23" s="9">
        <f t="shared" si="31"/>
        <v>-1.1202403352884254</v>
      </c>
      <c r="AB23" s="9">
        <f t="shared" si="32"/>
        <v>-1.060875663690809</v>
      </c>
      <c r="AC23" s="9">
        <f t="shared" si="33"/>
        <v>-1.2246781417081269</v>
      </c>
      <c r="AD23" s="9">
        <f t="shared" si="34"/>
        <v>-1.1712428213223416</v>
      </c>
      <c r="AE23" s="9">
        <f t="shared" si="35"/>
        <v>-0.66326286735745732</v>
      </c>
      <c r="AF23" s="9">
        <f t="shared" si="36"/>
        <v>-1.1687059291750637</v>
      </c>
      <c r="AG23" s="9">
        <f t="shared" si="37"/>
        <v>-1.2014015642420612</v>
      </c>
      <c r="AH23" s="5"/>
      <c r="AI23" s="9">
        <f t="shared" si="56"/>
        <v>1.0370390122322379</v>
      </c>
      <c r="AJ23" s="9">
        <f t="shared" si="39"/>
        <v>1.1646039661684053</v>
      </c>
      <c r="AK23" s="9">
        <f t="shared" si="40"/>
        <v>1.1766435193734788</v>
      </c>
      <c r="AL23" s="9">
        <f t="shared" si="41"/>
        <v>1.1190481671163282</v>
      </c>
      <c r="AM23" s="9">
        <f t="shared" si="42"/>
        <v>1.2218753353294016</v>
      </c>
      <c r="AN23" s="9">
        <f t="shared" si="43"/>
        <v>1.2149834529249568</v>
      </c>
      <c r="AO23" s="9">
        <f t="shared" si="44"/>
        <v>1.4320592529202396</v>
      </c>
      <c r="AP23" s="9">
        <f t="shared" si="45"/>
        <v>1.4182654446594116</v>
      </c>
      <c r="AQ23" s="9">
        <f t="shared" si="46"/>
        <v>1.2549384088071236</v>
      </c>
      <c r="AR23" s="9">
        <f t="shared" si="47"/>
        <v>1.1254571738114145</v>
      </c>
      <c r="AS23" s="9">
        <f t="shared" si="48"/>
        <v>1.499836550777671</v>
      </c>
      <c r="AT23" s="9">
        <f t="shared" si="49"/>
        <v>1.3718097464991186</v>
      </c>
      <c r="AU23" s="9">
        <f t="shared" si="50"/>
        <v>0.43991763121523603</v>
      </c>
      <c r="AV23" s="9">
        <f t="shared" si="51"/>
        <v>1.3658735488889489</v>
      </c>
      <c r="AW23" s="9">
        <f t="shared" si="52"/>
        <v>1.4433657185632716</v>
      </c>
      <c r="AY23" s="10" t="s">
        <v>156</v>
      </c>
      <c r="AZ23" s="10" t="s">
        <v>134</v>
      </c>
      <c r="BA23" s="14">
        <v>-1.2791055002037344</v>
      </c>
      <c r="BB23" s="14">
        <v>-0.72132212931171846</v>
      </c>
      <c r="BC23" s="14">
        <v>0</v>
      </c>
      <c r="BD23" s="14">
        <v>0.20901107468732025</v>
      </c>
      <c r="BE23" s="14">
        <v>0.29254356550810412</v>
      </c>
      <c r="BF23" s="14">
        <v>0.15385145346711615</v>
      </c>
      <c r="BG23" s="14">
        <v>1.6522529433745941</v>
      </c>
      <c r="BI23" s="15">
        <f t="shared" ca="1" si="70"/>
        <v>63.867306085426456</v>
      </c>
      <c r="BJ23" s="16">
        <f t="shared" ca="1" si="71"/>
        <v>-43.813382486000926</v>
      </c>
      <c r="BK23" s="14">
        <f t="shared" ca="1" si="72"/>
        <v>1.4720451594163271</v>
      </c>
    </row>
    <row r="24" spans="1:66" ht="10.25" customHeight="1" x14ac:dyDescent="0.15">
      <c r="A24" s="8">
        <v>37072</v>
      </c>
      <c r="B24" s="6">
        <v>0.95173505607226705</v>
      </c>
      <c r="C24" s="9">
        <f t="shared" si="57"/>
        <v>0.57496287503439025</v>
      </c>
      <c r="D24" s="9">
        <f t="shared" si="58"/>
        <v>0.47442472554102844</v>
      </c>
      <c r="E24" s="9">
        <f t="shared" si="59"/>
        <v>0.38213710201986228</v>
      </c>
      <c r="F24" s="9">
        <f t="shared" si="64"/>
        <v>0.4036912270045222</v>
      </c>
      <c r="G24" s="9">
        <f t="shared" si="65"/>
        <v>0.46740661639813563</v>
      </c>
      <c r="H24" s="9">
        <f t="shared" si="62"/>
        <v>0.44410061249536525</v>
      </c>
      <c r="I24" s="9">
        <f t="shared" si="53"/>
        <v>0.62257277943731926</v>
      </c>
      <c r="J24" s="9">
        <f t="shared" si="60"/>
        <v>0.6194913431725414</v>
      </c>
      <c r="K24" s="9">
        <f t="shared" si="66"/>
        <v>0.46753668309468532</v>
      </c>
      <c r="L24" s="9">
        <f t="shared" si="67"/>
        <v>0.63736046127331214</v>
      </c>
      <c r="M24" s="9">
        <f t="shared" si="54"/>
        <v>0.58750684653048235</v>
      </c>
      <c r="N24" s="9">
        <f t="shared" si="68"/>
        <v>0.4355225349629836</v>
      </c>
      <c r="O24" s="9">
        <f t="shared" si="69"/>
        <v>0.75262841367535682</v>
      </c>
      <c r="P24" s="9">
        <f t="shared" si="63"/>
        <v>0.1945629679533297</v>
      </c>
      <c r="Q24" s="9">
        <f t="shared" si="61"/>
        <v>0.47745234803183478</v>
      </c>
      <c r="R24" s="5"/>
      <c r="S24" s="9">
        <f t="shared" si="55"/>
        <v>0.3767721810378768</v>
      </c>
      <c r="T24" s="9">
        <f t="shared" si="24"/>
        <v>0.47731033053123861</v>
      </c>
      <c r="U24" s="9">
        <f t="shared" si="25"/>
        <v>0.56959795405240476</v>
      </c>
      <c r="V24" s="9">
        <f t="shared" si="26"/>
        <v>0.54804382906774485</v>
      </c>
      <c r="W24" s="9">
        <f t="shared" si="27"/>
        <v>0.48432843967413142</v>
      </c>
      <c r="X24" s="9">
        <f t="shared" si="28"/>
        <v>0.50763444357690179</v>
      </c>
      <c r="Y24" s="9">
        <f t="shared" si="29"/>
        <v>0.32916227663494779</v>
      </c>
      <c r="Z24" s="9">
        <f t="shared" si="30"/>
        <v>0.33224371289972565</v>
      </c>
      <c r="AA24" s="9">
        <f t="shared" si="31"/>
        <v>0.48419837297758173</v>
      </c>
      <c r="AB24" s="9">
        <f t="shared" si="32"/>
        <v>0.31437459479895491</v>
      </c>
      <c r="AC24" s="9">
        <f t="shared" si="33"/>
        <v>0.3642282095417847</v>
      </c>
      <c r="AD24" s="9">
        <f t="shared" si="34"/>
        <v>0.5162125211092834</v>
      </c>
      <c r="AE24" s="9">
        <f t="shared" si="35"/>
        <v>0.19910664239691023</v>
      </c>
      <c r="AF24" s="9">
        <f t="shared" si="36"/>
        <v>0.75717208811893733</v>
      </c>
      <c r="AG24" s="9">
        <f t="shared" si="37"/>
        <v>0.47428270804043227</v>
      </c>
      <c r="AH24" s="5"/>
      <c r="AI24" s="9">
        <f t="shared" si="56"/>
        <v>0.1419572764040386</v>
      </c>
      <c r="AJ24" s="9">
        <f t="shared" si="39"/>
        <v>0.22782515163184025</v>
      </c>
      <c r="AK24" s="9">
        <f t="shared" si="40"/>
        <v>0.32444182926068543</v>
      </c>
      <c r="AL24" s="9">
        <f t="shared" si="41"/>
        <v>0.30035203857923554</v>
      </c>
      <c r="AM24" s="9">
        <f t="shared" si="42"/>
        <v>0.23457403747717875</v>
      </c>
      <c r="AN24" s="9">
        <f t="shared" si="43"/>
        <v>0.25769272830563067</v>
      </c>
      <c r="AO24" s="9">
        <f t="shared" si="44"/>
        <v>0.10834780435950189</v>
      </c>
      <c r="AP24" s="9">
        <f t="shared" si="45"/>
        <v>0.11038588476139533</v>
      </c>
      <c r="AQ24" s="9">
        <f t="shared" si="46"/>
        <v>0.23444806439413735</v>
      </c>
      <c r="AR24" s="9">
        <f t="shared" si="47"/>
        <v>9.8831385855007087E-2</v>
      </c>
      <c r="AS24" s="9">
        <f t="shared" si="48"/>
        <v>0.13266218862601423</v>
      </c>
      <c r="AT24" s="9">
        <f t="shared" si="49"/>
        <v>0.26647536695000235</v>
      </c>
      <c r="AU24" s="9">
        <f t="shared" si="50"/>
        <v>3.9643455046571088E-2</v>
      </c>
      <c r="AV24" s="9">
        <f t="shared" si="51"/>
        <v>0.5733095710263918</v>
      </c>
      <c r="AW24" s="9">
        <f t="shared" si="52"/>
        <v>0.2249440871461659</v>
      </c>
      <c r="AY24" s="10" t="s">
        <v>157</v>
      </c>
      <c r="AZ24" s="10" t="s">
        <v>135</v>
      </c>
      <c r="BA24" s="14">
        <v>-0.74019305431464</v>
      </c>
      <c r="BB24" s="14">
        <v>0</v>
      </c>
      <c r="BC24" s="14">
        <v>0</v>
      </c>
      <c r="BD24" s="14">
        <v>0.17557124539105992</v>
      </c>
      <c r="BE24" s="14">
        <v>0.32709241873610445</v>
      </c>
      <c r="BF24" s="14">
        <v>0.30807313433920952</v>
      </c>
      <c r="BG24" s="14">
        <v>0.93826008243911585</v>
      </c>
      <c r="BI24" s="15">
        <f t="shared" ca="1" si="70"/>
        <v>66.132503602604103</v>
      </c>
      <c r="BJ24" s="16">
        <f t="shared" ca="1" si="71"/>
        <v>-44.471440111480959</v>
      </c>
      <c r="BK24" s="14">
        <f t="shared" ca="1" si="72"/>
        <v>1.4598275543111559</v>
      </c>
    </row>
    <row r="25" spans="1:66" ht="10.25" customHeight="1" x14ac:dyDescent="0.15">
      <c r="A25" s="8">
        <v>37164</v>
      </c>
      <c r="B25" s="6">
        <v>0.13192690410401831</v>
      </c>
      <c r="C25" s="9">
        <f t="shared" si="57"/>
        <v>0.58093031614398505</v>
      </c>
      <c r="D25" s="9">
        <f t="shared" si="58"/>
        <v>0.63754507706403085</v>
      </c>
      <c r="E25" s="9">
        <f t="shared" si="59"/>
        <v>0.79987400545523624</v>
      </c>
      <c r="F25" s="9">
        <f t="shared" si="64"/>
        <v>0.57495257136610212</v>
      </c>
      <c r="G25" s="9">
        <f t="shared" si="65"/>
        <v>0.63921648463598046</v>
      </c>
      <c r="H25" s="9">
        <f t="shared" si="62"/>
        <v>0.67936444474345281</v>
      </c>
      <c r="I25" s="9">
        <f t="shared" si="53"/>
        <v>0.31942551442780082</v>
      </c>
      <c r="J25" s="9">
        <f t="shared" si="60"/>
        <v>0.31769336103914519</v>
      </c>
      <c r="K25" s="9">
        <f t="shared" si="66"/>
        <v>0.84797040794956857</v>
      </c>
      <c r="L25" s="9">
        <f t="shared" si="67"/>
        <v>0.51671679652630575</v>
      </c>
      <c r="M25" s="9">
        <f t="shared" si="54"/>
        <v>0.43354763641797639</v>
      </c>
      <c r="N25" s="9">
        <f t="shared" si="68"/>
        <v>0.84796167670503786</v>
      </c>
      <c r="O25" s="9">
        <f t="shared" si="69"/>
        <v>0.61701132519840318</v>
      </c>
      <c r="P25" s="9">
        <f t="shared" si="63"/>
        <v>0.76020314141261147</v>
      </c>
      <c r="Q25" s="9">
        <f t="shared" si="61"/>
        <v>0.41372293642252889</v>
      </c>
      <c r="R25" s="5"/>
      <c r="S25" s="9">
        <f t="shared" si="55"/>
        <v>-0.44900341203996674</v>
      </c>
      <c r="T25" s="9">
        <f t="shared" si="24"/>
        <v>-0.50561817296001255</v>
      </c>
      <c r="U25" s="9">
        <f t="shared" si="25"/>
        <v>-0.66794710135121793</v>
      </c>
      <c r="V25" s="9">
        <f t="shared" si="26"/>
        <v>-0.44302566726208381</v>
      </c>
      <c r="W25" s="9">
        <f t="shared" si="27"/>
        <v>-0.50728958053196216</v>
      </c>
      <c r="X25" s="9">
        <f t="shared" si="28"/>
        <v>-0.54743754063943451</v>
      </c>
      <c r="Y25" s="9">
        <f t="shared" si="29"/>
        <v>-0.18749861032378251</v>
      </c>
      <c r="Z25" s="9">
        <f t="shared" si="30"/>
        <v>-0.18576645693512689</v>
      </c>
      <c r="AA25" s="9">
        <f t="shared" si="31"/>
        <v>-0.71604350384555027</v>
      </c>
      <c r="AB25" s="9">
        <f t="shared" si="32"/>
        <v>-0.38478989242228745</v>
      </c>
      <c r="AC25" s="9">
        <f t="shared" si="33"/>
        <v>-0.30162073231395808</v>
      </c>
      <c r="AD25" s="9">
        <f t="shared" si="34"/>
        <v>-0.71603477260101955</v>
      </c>
      <c r="AE25" s="9">
        <f t="shared" si="35"/>
        <v>-0.48508442109438488</v>
      </c>
      <c r="AF25" s="9">
        <f t="shared" si="36"/>
        <v>-0.62827623730859317</v>
      </c>
      <c r="AG25" s="9">
        <f t="shared" si="37"/>
        <v>-0.28179603231851058</v>
      </c>
      <c r="AH25" s="5"/>
      <c r="AI25" s="9">
        <f t="shared" si="56"/>
        <v>0.20160406402353215</v>
      </c>
      <c r="AJ25" s="9">
        <f t="shared" si="39"/>
        <v>0.25564973682742115</v>
      </c>
      <c r="AK25" s="9">
        <f t="shared" si="40"/>
        <v>0.44615333020349418</v>
      </c>
      <c r="AL25" s="9">
        <f t="shared" si="41"/>
        <v>0.1962717418530146</v>
      </c>
      <c r="AM25" s="9">
        <f t="shared" si="42"/>
        <v>0.25734271851629414</v>
      </c>
      <c r="AN25" s="9">
        <f t="shared" si="43"/>
        <v>0.29968786090135252</v>
      </c>
      <c r="AO25" s="9">
        <f t="shared" si="44"/>
        <v>3.515572887334964E-2</v>
      </c>
      <c r="AP25" s="9">
        <f t="shared" si="45"/>
        <v>3.4509176522230352E-2</v>
      </c>
      <c r="AQ25" s="9">
        <f t="shared" si="46"/>
        <v>0.5127182993994126</v>
      </c>
      <c r="AR25" s="9">
        <f t="shared" si="47"/>
        <v>0.14806326131035555</v>
      </c>
      <c r="AS25" s="9">
        <f t="shared" si="48"/>
        <v>9.0975066161608359E-2</v>
      </c>
      <c r="AT25" s="9">
        <f t="shared" si="49"/>
        <v>0.51270579557379381</v>
      </c>
      <c r="AU25" s="9">
        <f t="shared" si="50"/>
        <v>0.23530689558847451</v>
      </c>
      <c r="AV25" s="9">
        <f t="shared" si="51"/>
        <v>0.3947310303666437</v>
      </c>
      <c r="AW25" s="9">
        <f t="shared" si="52"/>
        <v>7.9409003830455058E-2</v>
      </c>
    </row>
    <row r="26" spans="1:66" ht="10.25" customHeight="1" x14ac:dyDescent="0.15">
      <c r="A26" s="8">
        <v>37256</v>
      </c>
      <c r="B26" s="6">
        <v>0.21097423217746325</v>
      </c>
      <c r="C26" s="9">
        <f t="shared" si="57"/>
        <v>0.57647528492831102</v>
      </c>
      <c r="D26" s="9">
        <f t="shared" si="58"/>
        <v>0.53453328366835795</v>
      </c>
      <c r="E26" s="9">
        <f t="shared" si="59"/>
        <v>0.31649131785626006</v>
      </c>
      <c r="F26" s="9">
        <f t="shared" si="64"/>
        <v>0.57224738958591714</v>
      </c>
      <c r="G26" s="9">
        <f t="shared" si="65"/>
        <v>0.56702507338631936</v>
      </c>
      <c r="H26" s="9">
        <f t="shared" si="62"/>
        <v>0.51860856864935201</v>
      </c>
      <c r="I26" s="9">
        <f t="shared" si="53"/>
        <v>0.65029346368465446</v>
      </c>
      <c r="J26" s="9">
        <f t="shared" si="60"/>
        <v>0.66291964023318706</v>
      </c>
      <c r="K26" s="9">
        <f t="shared" si="66"/>
        <v>0.29160567322987574</v>
      </c>
      <c r="L26" s="9">
        <f t="shared" si="67"/>
        <v>0.6417692839576945</v>
      </c>
      <c r="M26" s="9">
        <f t="shared" si="54"/>
        <v>0.46416961314450533</v>
      </c>
      <c r="N26" s="9">
        <f t="shared" si="68"/>
        <v>0.2951636665146109</v>
      </c>
      <c r="O26" s="9">
        <f t="shared" si="69"/>
        <v>0.2618575919706177</v>
      </c>
      <c r="P26" s="9">
        <f t="shared" si="63"/>
        <v>0.44991237451419747</v>
      </c>
      <c r="Q26" s="9">
        <f t="shared" si="61"/>
        <v>0.36756469078965598</v>
      </c>
      <c r="R26" s="5"/>
      <c r="S26" s="9">
        <f t="shared" si="55"/>
        <v>-0.36550105275084777</v>
      </c>
      <c r="T26" s="9">
        <f t="shared" si="24"/>
        <v>-0.3235590514908947</v>
      </c>
      <c r="U26" s="9">
        <f t="shared" si="25"/>
        <v>-0.10551708567879681</v>
      </c>
      <c r="V26" s="9">
        <f t="shared" si="26"/>
        <v>-0.36127315740845389</v>
      </c>
      <c r="W26" s="9">
        <f t="shared" si="27"/>
        <v>-0.35605084120885611</v>
      </c>
      <c r="X26" s="9">
        <f t="shared" si="28"/>
        <v>-0.30763433647188876</v>
      </c>
      <c r="Y26" s="9">
        <f t="shared" si="29"/>
        <v>-0.43931923150719121</v>
      </c>
      <c r="Z26" s="9">
        <f t="shared" si="30"/>
        <v>-0.45194540805572381</v>
      </c>
      <c r="AA26" s="9">
        <f t="shared" si="31"/>
        <v>-8.0631441052412489E-2</v>
      </c>
      <c r="AB26" s="9">
        <f t="shared" si="32"/>
        <v>-0.43079505178023125</v>
      </c>
      <c r="AC26" s="9">
        <f t="shared" si="33"/>
        <v>-0.25319538096704208</v>
      </c>
      <c r="AD26" s="9">
        <f t="shared" si="34"/>
        <v>-8.4189434337147651E-2</v>
      </c>
      <c r="AE26" s="9">
        <f t="shared" si="35"/>
        <v>-5.0883359793154448E-2</v>
      </c>
      <c r="AF26" s="9">
        <f t="shared" si="36"/>
        <v>-0.23893814233673422</v>
      </c>
      <c r="AG26" s="9">
        <f t="shared" si="37"/>
        <v>-0.15659045861219273</v>
      </c>
      <c r="AH26" s="5"/>
      <c r="AI26" s="9">
        <f t="shared" si="56"/>
        <v>0.133591019561978</v>
      </c>
      <c r="AJ26" s="9">
        <f t="shared" si="39"/>
        <v>0.10469045980168745</v>
      </c>
      <c r="AK26" s="9">
        <f t="shared" si="40"/>
        <v>1.1133855370146547E-2</v>
      </c>
      <c r="AL26" s="9">
        <f t="shared" si="41"/>
        <v>0.13051829426387351</v>
      </c>
      <c r="AM26" s="9">
        <f t="shared" si="42"/>
        <v>0.12677220152553406</v>
      </c>
      <c r="AN26" s="9">
        <f t="shared" si="43"/>
        <v>9.4638884976499263E-2</v>
      </c>
      <c r="AO26" s="9">
        <f t="shared" si="44"/>
        <v>0.19300138717206908</v>
      </c>
      <c r="AP26" s="9">
        <f t="shared" si="45"/>
        <v>0.20425465186265471</v>
      </c>
      <c r="AQ26" s="9">
        <f t="shared" si="46"/>
        <v>6.5014292861886704E-3</v>
      </c>
      <c r="AR26" s="9">
        <f t="shared" si="47"/>
        <v>0.18558437663833213</v>
      </c>
      <c r="AS26" s="9">
        <f t="shared" si="48"/>
        <v>6.4107900943045582E-2</v>
      </c>
      <c r="AT26" s="9">
        <f t="shared" si="49"/>
        <v>7.0878608540088962E-3</v>
      </c>
      <c r="AU26" s="9">
        <f t="shared" si="50"/>
        <v>2.5891163038396065E-3</v>
      </c>
      <c r="AV26" s="9">
        <f t="shared" si="51"/>
        <v>5.7091435863329459E-2</v>
      </c>
      <c r="AW26" s="9">
        <f t="shared" si="52"/>
        <v>2.4520571728376843E-2</v>
      </c>
      <c r="BA26" s="17"/>
    </row>
    <row r="27" spans="1:66" ht="10.25" customHeight="1" x14ac:dyDescent="0.15">
      <c r="A27" s="8">
        <v>37346</v>
      </c>
      <c r="B27" s="6">
        <v>1.7669101705433787</v>
      </c>
      <c r="C27" s="9">
        <f t="shared" si="57"/>
        <v>0.57980121689280395</v>
      </c>
      <c r="D27" s="9">
        <f t="shared" si="58"/>
        <v>0.55361324374679854</v>
      </c>
      <c r="E27" s="9">
        <f t="shared" si="59"/>
        <v>0.76642768720881294</v>
      </c>
      <c r="F27" s="9">
        <f t="shared" si="64"/>
        <v>0.36701660484915499</v>
      </c>
      <c r="G27" s="9">
        <f t="shared" si="65"/>
        <v>0.53396151135247982</v>
      </c>
      <c r="H27" s="9">
        <f t="shared" si="62"/>
        <v>0.55726472982446373</v>
      </c>
      <c r="I27" s="9">
        <f t="shared" si="53"/>
        <v>0.51184939203900548</v>
      </c>
      <c r="J27" s="9">
        <f t="shared" si="60"/>
        <v>0.50809529883733617</v>
      </c>
      <c r="K27" s="9">
        <f t="shared" si="66"/>
        <v>0.83830253715334124</v>
      </c>
      <c r="L27" s="9">
        <f t="shared" si="67"/>
        <v>0.58856364081017576</v>
      </c>
      <c r="M27" s="9">
        <f t="shared" si="54"/>
        <v>0.53788309391580302</v>
      </c>
      <c r="N27" s="9">
        <f t="shared" si="68"/>
        <v>0.77402443282322619</v>
      </c>
      <c r="O27" s="9">
        <f t="shared" si="69"/>
        <v>0.79113220504565973</v>
      </c>
      <c r="P27" s="9">
        <f t="shared" si="63"/>
        <v>0.41116933963252467</v>
      </c>
      <c r="Q27" s="9">
        <f t="shared" si="61"/>
        <v>0.69263888409800933</v>
      </c>
      <c r="R27" s="5"/>
      <c r="S27" s="9">
        <f t="shared" si="55"/>
        <v>1.1871089536505748</v>
      </c>
      <c r="T27" s="9">
        <f t="shared" si="24"/>
        <v>1.2132969267965801</v>
      </c>
      <c r="U27" s="9">
        <f t="shared" si="25"/>
        <v>1.0004824833345658</v>
      </c>
      <c r="V27" s="9">
        <f t="shared" si="26"/>
        <v>1.3998935656942237</v>
      </c>
      <c r="W27" s="9">
        <f t="shared" si="27"/>
        <v>1.2329486591908989</v>
      </c>
      <c r="X27" s="9">
        <f t="shared" si="28"/>
        <v>1.209645440718915</v>
      </c>
      <c r="Y27" s="9">
        <f t="shared" si="29"/>
        <v>1.2550607785043733</v>
      </c>
      <c r="Z27" s="9">
        <f t="shared" si="30"/>
        <v>1.2588148717060426</v>
      </c>
      <c r="AA27" s="9">
        <f t="shared" si="31"/>
        <v>0.92860763339003749</v>
      </c>
      <c r="AB27" s="9">
        <f t="shared" si="32"/>
        <v>1.178346529733203</v>
      </c>
      <c r="AC27" s="9">
        <f t="shared" si="33"/>
        <v>1.2290270766275757</v>
      </c>
      <c r="AD27" s="9">
        <f t="shared" si="34"/>
        <v>0.99288573772015254</v>
      </c>
      <c r="AE27" s="9">
        <f t="shared" si="35"/>
        <v>0.975777965497719</v>
      </c>
      <c r="AF27" s="9">
        <f t="shared" si="36"/>
        <v>1.3557408309108541</v>
      </c>
      <c r="AG27" s="9">
        <f t="shared" si="37"/>
        <v>1.0742712864453694</v>
      </c>
      <c r="AH27" s="5"/>
      <c r="AI27" s="9">
        <f t="shared" si="56"/>
        <v>1.4092276678373625</v>
      </c>
      <c r="AJ27" s="9">
        <f t="shared" si="39"/>
        <v>1.4720894325740257</v>
      </c>
      <c r="AK27" s="9">
        <f t="shared" si="40"/>
        <v>1.0009651994592996</v>
      </c>
      <c r="AL27" s="9">
        <f t="shared" si="41"/>
        <v>1.959701995272088</v>
      </c>
      <c r="AM27" s="9">
        <f t="shared" si="42"/>
        <v>1.5201623962006354</v>
      </c>
      <c r="AN27" s="9">
        <f t="shared" si="43"/>
        <v>1.4632420922520581</v>
      </c>
      <c r="AO27" s="9">
        <f t="shared" si="44"/>
        <v>1.5751775577400036</v>
      </c>
      <c r="AP27" s="9">
        <f t="shared" si="45"/>
        <v>1.5846148812283003</v>
      </c>
      <c r="AQ27" s="9">
        <f t="shared" si="46"/>
        <v>0.86231213679024632</v>
      </c>
      <c r="AR27" s="9">
        <f t="shared" si="47"/>
        <v>1.3885005441342821</v>
      </c>
      <c r="AS27" s="9">
        <f t="shared" si="48"/>
        <v>1.5105075550837248</v>
      </c>
      <c r="AT27" s="9">
        <f t="shared" si="49"/>
        <v>0.98582208816809158</v>
      </c>
      <c r="AU27" s="9">
        <f t="shared" si="50"/>
        <v>0.95214263795086773</v>
      </c>
      <c r="AV27" s="9">
        <f t="shared" si="51"/>
        <v>1.8380332005988529</v>
      </c>
      <c r="AW27" s="9">
        <f t="shared" si="52"/>
        <v>1.154058796880989</v>
      </c>
      <c r="BA27" s="17"/>
    </row>
    <row r="28" spans="1:66" ht="10.25" customHeight="1" x14ac:dyDescent="0.15">
      <c r="A28" s="8">
        <v>37437</v>
      </c>
      <c r="B28" s="6">
        <v>0.21773146916947983</v>
      </c>
      <c r="C28" s="9">
        <f t="shared" si="57"/>
        <v>0.57731822117472298</v>
      </c>
      <c r="D28" s="9">
        <f t="shared" si="58"/>
        <v>0.71467713593421578</v>
      </c>
      <c r="E28" s="9">
        <f t="shared" si="59"/>
        <v>0.55264172177774784</v>
      </c>
      <c r="F28" s="9">
        <f t="shared" si="64"/>
        <v>0.80805962013378396</v>
      </c>
      <c r="G28" s="9">
        <f t="shared" si="65"/>
        <v>0.62916069437738997</v>
      </c>
      <c r="H28" s="9">
        <f t="shared" si="62"/>
        <v>0.65781007165848937</v>
      </c>
      <c r="I28" s="9">
        <f t="shared" si="53"/>
        <v>0.55682412637733736</v>
      </c>
      <c r="J28" s="9">
        <f t="shared" si="60"/>
        <v>0.55242148986144923</v>
      </c>
      <c r="K28" s="9">
        <f t="shared" si="66"/>
        <v>0.51972014396195865</v>
      </c>
      <c r="L28" s="9">
        <f t="shared" si="67"/>
        <v>0.55919545424066586</v>
      </c>
      <c r="M28" s="9">
        <f t="shared" si="54"/>
        <v>0.6280344867437313</v>
      </c>
      <c r="N28" s="9">
        <f t="shared" si="68"/>
        <v>0.58781689893207556</v>
      </c>
      <c r="O28" s="9">
        <f t="shared" si="69"/>
        <v>0.78168012267629106</v>
      </c>
      <c r="P28" s="9">
        <f t="shared" si="63"/>
        <v>0.91859604722953148</v>
      </c>
      <c r="Q28" s="9">
        <f t="shared" si="61"/>
        <v>0.47615140015142132</v>
      </c>
      <c r="R28" s="5"/>
      <c r="S28" s="9">
        <f t="shared" si="55"/>
        <v>-0.35958675200524315</v>
      </c>
      <c r="T28" s="9">
        <f t="shared" si="24"/>
        <v>-0.49694566676473595</v>
      </c>
      <c r="U28" s="9">
        <f t="shared" si="25"/>
        <v>-0.33491025260826801</v>
      </c>
      <c r="V28" s="9">
        <f t="shared" si="26"/>
        <v>-0.59032815096430413</v>
      </c>
      <c r="W28" s="9">
        <f t="shared" si="27"/>
        <v>-0.41142922520791014</v>
      </c>
      <c r="X28" s="9">
        <f t="shared" si="28"/>
        <v>-0.44007860248900954</v>
      </c>
      <c r="Y28" s="9">
        <f t="shared" si="29"/>
        <v>-0.33909265720785753</v>
      </c>
      <c r="Z28" s="9">
        <f t="shared" si="30"/>
        <v>-0.3346900206919694</v>
      </c>
      <c r="AA28" s="9">
        <f t="shared" si="31"/>
        <v>-0.30198867479247882</v>
      </c>
      <c r="AB28" s="9">
        <f t="shared" si="32"/>
        <v>-0.34146398507118603</v>
      </c>
      <c r="AC28" s="9">
        <f t="shared" si="33"/>
        <v>-0.41030301757425147</v>
      </c>
      <c r="AD28" s="9">
        <f t="shared" si="34"/>
        <v>-0.37008542976259573</v>
      </c>
      <c r="AE28" s="9">
        <f t="shared" si="35"/>
        <v>-0.56394865350681123</v>
      </c>
      <c r="AF28" s="9">
        <f t="shared" si="36"/>
        <v>-0.70086457806005165</v>
      </c>
      <c r="AG28" s="9">
        <f t="shared" si="37"/>
        <v>-0.25841993098194149</v>
      </c>
      <c r="AH28" s="5"/>
      <c r="AI28" s="9">
        <f t="shared" si="56"/>
        <v>0.12930263221768024</v>
      </c>
      <c r="AJ28" s="9">
        <f t="shared" si="39"/>
        <v>0.24695499571624799</v>
      </c>
      <c r="AK28" s="9">
        <f t="shared" si="40"/>
        <v>0.11216487730213388</v>
      </c>
      <c r="AL28" s="9">
        <f t="shared" si="41"/>
        <v>0.34848732582093422</v>
      </c>
      <c r="AM28" s="9">
        <f t="shared" si="42"/>
        <v>0.16927400735518125</v>
      </c>
      <c r="AN28" s="9">
        <f t="shared" si="43"/>
        <v>0.19366917636867967</v>
      </c>
      <c r="AO28" s="9">
        <f t="shared" si="44"/>
        <v>0.11498383017228557</v>
      </c>
      <c r="AP28" s="9">
        <f t="shared" si="45"/>
        <v>0.1120174099507909</v>
      </c>
      <c r="AQ28" s="9">
        <f t="shared" si="46"/>
        <v>9.119715970291753E-2</v>
      </c>
      <c r="AR28" s="9">
        <f t="shared" si="47"/>
        <v>0.11659765310069516</v>
      </c>
      <c r="AS28" s="9">
        <f t="shared" si="48"/>
        <v>0.16834856623053651</v>
      </c>
      <c r="AT28" s="9">
        <f t="shared" si="49"/>
        <v>0.13696322532256519</v>
      </c>
      <c r="AU28" s="9">
        <f t="shared" si="50"/>
        <v>0.31803808379214543</v>
      </c>
      <c r="AV28" s="9">
        <f t="shared" si="51"/>
        <v>0.49121115677929422</v>
      </c>
      <c r="AW28" s="9">
        <f t="shared" si="52"/>
        <v>6.6780860728711408E-2</v>
      </c>
    </row>
    <row r="29" spans="1:66" ht="10.25" customHeight="1" x14ac:dyDescent="0.15">
      <c r="A29" s="8">
        <v>37529</v>
      </c>
      <c r="B29" s="6">
        <v>1.1010675743947873</v>
      </c>
      <c r="C29" s="9">
        <f t="shared" si="57"/>
        <v>0.57917191746250862</v>
      </c>
      <c r="D29" s="9">
        <f t="shared" si="58"/>
        <v>0.53544217013694373</v>
      </c>
      <c r="E29" s="9">
        <f t="shared" si="59"/>
        <v>0.55232591091562133</v>
      </c>
      <c r="F29" s="9">
        <f t="shared" si="64"/>
        <v>0.38070268053296341</v>
      </c>
      <c r="G29" s="9">
        <f t="shared" si="65"/>
        <v>0.53124837532833724</v>
      </c>
      <c r="H29" s="9">
        <f t="shared" si="62"/>
        <v>0.46541251407173534</v>
      </c>
      <c r="I29" s="9">
        <f t="shared" si="53"/>
        <v>0.86108746250592483</v>
      </c>
      <c r="J29" s="9">
        <f t="shared" si="60"/>
        <v>0.86275399433356537</v>
      </c>
      <c r="K29" s="9">
        <f t="shared" si="66"/>
        <v>0.59340360066869524</v>
      </c>
      <c r="L29" s="9">
        <f t="shared" si="67"/>
        <v>0.62920984267266999</v>
      </c>
      <c r="M29" s="9">
        <f t="shared" si="54"/>
        <v>0.73723880327620195</v>
      </c>
      <c r="N29" s="9">
        <f t="shared" si="68"/>
        <v>0.56263422420279907</v>
      </c>
      <c r="O29" s="9">
        <f t="shared" si="69"/>
        <v>0.36616915973238756</v>
      </c>
      <c r="P29" s="9">
        <f t="shared" si="63"/>
        <v>0.39404996074820037</v>
      </c>
      <c r="Q29" s="9">
        <f t="shared" si="61"/>
        <v>0.84358969419836161</v>
      </c>
      <c r="R29" s="5"/>
      <c r="S29" s="9">
        <f t="shared" si="55"/>
        <v>0.52189565693227868</v>
      </c>
      <c r="T29" s="9">
        <f t="shared" si="24"/>
        <v>0.56562540425784358</v>
      </c>
      <c r="U29" s="9">
        <f t="shared" si="25"/>
        <v>0.54874166347916598</v>
      </c>
      <c r="V29" s="9">
        <f t="shared" si="26"/>
        <v>0.7203648938618239</v>
      </c>
      <c r="W29" s="9">
        <f t="shared" si="27"/>
        <v>0.56981919906645007</v>
      </c>
      <c r="X29" s="9">
        <f t="shared" si="28"/>
        <v>0.63565506032305197</v>
      </c>
      <c r="Y29" s="9">
        <f t="shared" si="29"/>
        <v>0.23998011188886248</v>
      </c>
      <c r="Z29" s="9">
        <f t="shared" si="30"/>
        <v>0.23831358006122194</v>
      </c>
      <c r="AA29" s="9">
        <f t="shared" si="31"/>
        <v>0.50766397372609207</v>
      </c>
      <c r="AB29" s="9">
        <f t="shared" si="32"/>
        <v>0.47185773172211731</v>
      </c>
      <c r="AC29" s="9">
        <f t="shared" si="33"/>
        <v>0.36382877111858536</v>
      </c>
      <c r="AD29" s="9">
        <f t="shared" si="34"/>
        <v>0.53843335019198824</v>
      </c>
      <c r="AE29" s="9">
        <f t="shared" si="35"/>
        <v>0.7348984146623998</v>
      </c>
      <c r="AF29" s="9">
        <f t="shared" si="36"/>
        <v>0.70701761364658688</v>
      </c>
      <c r="AG29" s="9">
        <f t="shared" si="37"/>
        <v>0.2574778801964257</v>
      </c>
      <c r="AH29" s="5"/>
      <c r="AI29" s="9">
        <f t="shared" si="56"/>
        <v>0.27237507672477473</v>
      </c>
      <c r="AJ29" s="9">
        <f t="shared" si="39"/>
        <v>0.31993209794184896</v>
      </c>
      <c r="AK29" s="9">
        <f t="shared" si="40"/>
        <v>0.30111741323788221</v>
      </c>
      <c r="AL29" s="9">
        <f t="shared" si="41"/>
        <v>0.51892558030855684</v>
      </c>
      <c r="AM29" s="9">
        <f t="shared" si="42"/>
        <v>0.32469391962473065</v>
      </c>
      <c r="AN29" s="9">
        <f t="shared" si="43"/>
        <v>0.40405735571430285</v>
      </c>
      <c r="AO29" s="9">
        <f t="shared" si="44"/>
        <v>5.7590454102190956E-2</v>
      </c>
      <c r="AP29" s="9">
        <f t="shared" si="45"/>
        <v>5.679336244159644E-2</v>
      </c>
      <c r="AQ29" s="9">
        <f t="shared" si="46"/>
        <v>0.25772271021936627</v>
      </c>
      <c r="AR29" s="9">
        <f t="shared" si="47"/>
        <v>0.22264971898594163</v>
      </c>
      <c r="AS29" s="9">
        <f t="shared" si="48"/>
        <v>0.13237137469365998</v>
      </c>
      <c r="AT29" s="9">
        <f t="shared" si="49"/>
        <v>0.28991047259896824</v>
      </c>
      <c r="AU29" s="9">
        <f t="shared" si="50"/>
        <v>0.54007567987330851</v>
      </c>
      <c r="AV29" s="9">
        <f t="shared" si="51"/>
        <v>0.49987390600651438</v>
      </c>
      <c r="AW29" s="9">
        <f t="shared" si="52"/>
        <v>6.6294858790444944E-2</v>
      </c>
      <c r="AY29" s="12" t="s">
        <v>171</v>
      </c>
      <c r="BM29" s="2" t="s">
        <v>169</v>
      </c>
    </row>
    <row r="30" spans="1:66" ht="10.25" customHeight="1" x14ac:dyDescent="0.15">
      <c r="A30" s="8">
        <v>37621</v>
      </c>
      <c r="B30" s="6">
        <v>0.60399552913874555</v>
      </c>
      <c r="C30" s="9">
        <f t="shared" si="57"/>
        <v>0.57778802867755097</v>
      </c>
      <c r="D30" s="9">
        <f t="shared" si="58"/>
        <v>0.64680057641737687</v>
      </c>
      <c r="E30" s="9">
        <f t="shared" si="59"/>
        <v>0.66375086335295885</v>
      </c>
      <c r="F30" s="9">
        <f t="shared" si="64"/>
        <v>0.51858181514484991</v>
      </c>
      <c r="G30" s="9">
        <f t="shared" si="65"/>
        <v>0.58719899886516358</v>
      </c>
      <c r="H30" s="9">
        <f t="shared" si="62"/>
        <v>0.66135697773361279</v>
      </c>
      <c r="I30" s="9">
        <f t="shared" si="53"/>
        <v>0.51783933516849057</v>
      </c>
      <c r="J30" s="9">
        <f t="shared" si="60"/>
        <v>0.50365687130716952</v>
      </c>
      <c r="K30" s="9">
        <f t="shared" si="66"/>
        <v>0.73532046203930412</v>
      </c>
      <c r="L30" s="9">
        <f t="shared" si="67"/>
        <v>0.57248906155864021</v>
      </c>
      <c r="M30" s="9">
        <f t="shared" si="54"/>
        <v>0.69143463830959806</v>
      </c>
      <c r="N30" s="9">
        <f t="shared" si="68"/>
        <v>0.76391663176273705</v>
      </c>
      <c r="O30" s="9">
        <f t="shared" si="69"/>
        <v>0.9656549966772231</v>
      </c>
      <c r="P30" s="9">
        <f t="shared" si="63"/>
        <v>0.63694160046903958</v>
      </c>
      <c r="Q30" s="9">
        <f t="shared" si="61"/>
        <v>0.60547348426015324</v>
      </c>
      <c r="R30" s="5"/>
      <c r="S30" s="9">
        <f t="shared" si="55"/>
        <v>2.6207500461194577E-2</v>
      </c>
      <c r="T30" s="9">
        <f t="shared" si="24"/>
        <v>-4.2805047278631325E-2</v>
      </c>
      <c r="U30" s="9">
        <f t="shared" si="25"/>
        <v>-5.9755334214213307E-2</v>
      </c>
      <c r="V30" s="9">
        <f t="shared" si="26"/>
        <v>8.5413713993895635E-2</v>
      </c>
      <c r="W30" s="9">
        <f t="shared" si="27"/>
        <v>1.6796530273581967E-2</v>
      </c>
      <c r="X30" s="9">
        <f t="shared" si="28"/>
        <v>-5.7361448594867248E-2</v>
      </c>
      <c r="Y30" s="9">
        <f t="shared" si="29"/>
        <v>8.6156193970254979E-2</v>
      </c>
      <c r="Z30" s="9">
        <f t="shared" si="30"/>
        <v>0.10033865783157603</v>
      </c>
      <c r="AA30" s="9">
        <f t="shared" si="31"/>
        <v>-0.13132493290055858</v>
      </c>
      <c r="AB30" s="9">
        <f t="shared" si="32"/>
        <v>3.1506467580105335E-2</v>
      </c>
      <c r="AC30" s="9">
        <f t="shared" si="33"/>
        <v>-8.7439109170852514E-2</v>
      </c>
      <c r="AD30" s="9">
        <f t="shared" si="34"/>
        <v>-0.15992110262399151</v>
      </c>
      <c r="AE30" s="9">
        <f t="shared" si="35"/>
        <v>-0.36165946753847755</v>
      </c>
      <c r="AF30" s="9">
        <f t="shared" si="36"/>
        <v>-3.2946071330294036E-2</v>
      </c>
      <c r="AG30" s="9">
        <f t="shared" si="37"/>
        <v>-1.4779551214076925E-3</v>
      </c>
      <c r="AH30" s="5"/>
      <c r="AI30" s="9">
        <f t="shared" si="56"/>
        <v>6.8683308042351396E-4</v>
      </c>
      <c r="AJ30" s="9">
        <f t="shared" si="39"/>
        <v>1.8322720725258629E-3</v>
      </c>
      <c r="AK30" s="9">
        <f t="shared" si="40"/>
        <v>3.5706999670523315E-3</v>
      </c>
      <c r="AL30" s="9">
        <f t="shared" si="41"/>
        <v>7.2955025382310029E-3</v>
      </c>
      <c r="AM30" s="9">
        <f t="shared" si="42"/>
        <v>2.8212342923135549E-4</v>
      </c>
      <c r="AN30" s="9">
        <f t="shared" si="43"/>
        <v>3.2903357849015978E-3</v>
      </c>
      <c r="AO30" s="9">
        <f t="shared" si="44"/>
        <v>7.4228897594402002E-3</v>
      </c>
      <c r="AP30" s="9">
        <f t="shared" si="45"/>
        <v>1.0067846255442093E-2</v>
      </c>
      <c r="AQ30" s="9">
        <f t="shared" si="46"/>
        <v>1.7246238001336213E-2</v>
      </c>
      <c r="AR30" s="9">
        <f t="shared" si="47"/>
        <v>9.9265749937622861E-4</v>
      </c>
      <c r="AS30" s="9">
        <f t="shared" si="48"/>
        <v>7.6455978125922639E-3</v>
      </c>
      <c r="AT30" s="9">
        <f t="shared" si="49"/>
        <v>2.5574759064473224E-2</v>
      </c>
      <c r="AU30" s="9">
        <f t="shared" si="50"/>
        <v>0.13079757046021509</v>
      </c>
      <c r="AV30" s="9">
        <f t="shared" si="51"/>
        <v>1.0854436161008227E-3</v>
      </c>
      <c r="AW30" s="9">
        <f t="shared" si="52"/>
        <v>2.1843513408952269E-6</v>
      </c>
      <c r="AY30" s="10" t="s">
        <v>158</v>
      </c>
      <c r="AZ30" s="10" t="s">
        <v>139</v>
      </c>
      <c r="BA30" s="11" t="s">
        <v>163</v>
      </c>
      <c r="BB30" s="11" t="s">
        <v>164</v>
      </c>
      <c r="BC30" s="11" t="s">
        <v>165</v>
      </c>
      <c r="BD30" s="11" t="s">
        <v>166</v>
      </c>
      <c r="BE30" s="11" t="s">
        <v>167</v>
      </c>
      <c r="BF30" s="11" t="s">
        <v>168</v>
      </c>
      <c r="BG30" s="13" t="s">
        <v>159</v>
      </c>
      <c r="BI30" s="13" t="s">
        <v>124</v>
      </c>
      <c r="BJ30" s="13" t="s">
        <v>160</v>
      </c>
      <c r="BK30" s="13" t="s">
        <v>161</v>
      </c>
      <c r="BM30" s="10" t="s">
        <v>139</v>
      </c>
      <c r="BN30" s="13" t="s">
        <v>170</v>
      </c>
    </row>
    <row r="31" spans="1:66" ht="10.25" customHeight="1" x14ac:dyDescent="0.15">
      <c r="A31" s="8">
        <v>37711</v>
      </c>
      <c r="B31" s="6">
        <v>-0.18320506508792134</v>
      </c>
      <c r="C31" s="9">
        <f t="shared" si="57"/>
        <v>0.5788211796752365</v>
      </c>
      <c r="D31" s="9">
        <f t="shared" si="58"/>
        <v>0.58303651652218103</v>
      </c>
      <c r="E31" s="9">
        <f t="shared" si="59"/>
        <v>0.49978873637978516</v>
      </c>
      <c r="F31" s="9">
        <f t="shared" si="64"/>
        <v>0.72817963552583798</v>
      </c>
      <c r="G31" s="9">
        <f t="shared" si="65"/>
        <v>0.58704823241012449</v>
      </c>
      <c r="H31" s="9">
        <f t="shared" si="62"/>
        <v>0.53643522691892875</v>
      </c>
      <c r="I31" s="9">
        <f t="shared" si="53"/>
        <v>0.64602140010873133</v>
      </c>
      <c r="J31" s="9">
        <f t="shared" si="60"/>
        <v>0.64853829101494587</v>
      </c>
      <c r="K31" s="9">
        <f t="shared" si="66"/>
        <v>0.45156313155318872</v>
      </c>
      <c r="L31" s="9">
        <f t="shared" si="67"/>
        <v>0.58583415948227513</v>
      </c>
      <c r="M31" s="9">
        <f t="shared" si="54"/>
        <v>0.58794011950700564</v>
      </c>
      <c r="N31" s="9">
        <f t="shared" si="68"/>
        <v>0.47411696084658256</v>
      </c>
      <c r="O31" s="9">
        <f t="shared" si="69"/>
        <v>0.49261268700279676</v>
      </c>
      <c r="P31" s="9">
        <f t="shared" si="63"/>
        <v>0.64541880794356288</v>
      </c>
      <c r="Q31" s="9">
        <f t="shared" si="61"/>
        <v>0.49444015288793325</v>
      </c>
      <c r="R31" s="5"/>
      <c r="S31" s="9">
        <f t="shared" si="55"/>
        <v>-0.76202624476315783</v>
      </c>
      <c r="T31" s="9">
        <f t="shared" si="24"/>
        <v>-0.76624158161010236</v>
      </c>
      <c r="U31" s="9">
        <f t="shared" si="25"/>
        <v>-0.6829938014677065</v>
      </c>
      <c r="V31" s="9">
        <f t="shared" si="26"/>
        <v>-0.91138470061375931</v>
      </c>
      <c r="W31" s="9">
        <f t="shared" si="27"/>
        <v>-0.77025329749804583</v>
      </c>
      <c r="X31" s="9">
        <f t="shared" si="28"/>
        <v>-0.71964029200685009</v>
      </c>
      <c r="Y31" s="9">
        <f t="shared" si="29"/>
        <v>-0.82922646519665266</v>
      </c>
      <c r="Z31" s="9">
        <f t="shared" si="30"/>
        <v>-0.8317433561028672</v>
      </c>
      <c r="AA31" s="9">
        <f t="shared" si="31"/>
        <v>-0.63476819664111006</v>
      </c>
      <c r="AB31" s="9">
        <f t="shared" si="32"/>
        <v>-0.76903922457019647</v>
      </c>
      <c r="AC31" s="9">
        <f t="shared" si="33"/>
        <v>-0.77114518459492698</v>
      </c>
      <c r="AD31" s="9">
        <f t="shared" si="34"/>
        <v>-0.65732202593450384</v>
      </c>
      <c r="AE31" s="9">
        <f t="shared" si="35"/>
        <v>-0.67581775209071804</v>
      </c>
      <c r="AF31" s="9">
        <f t="shared" si="36"/>
        <v>-0.82862387303148421</v>
      </c>
      <c r="AG31" s="9">
        <f t="shared" si="37"/>
        <v>-0.67764521797585453</v>
      </c>
      <c r="AH31" s="5"/>
      <c r="AI31" s="9">
        <f t="shared" si="56"/>
        <v>0.58068399770784018</v>
      </c>
      <c r="AJ31" s="9">
        <f t="shared" si="39"/>
        <v>0.58712616138835116</v>
      </c>
      <c r="AK31" s="9">
        <f t="shared" si="40"/>
        <v>0.46648053284330887</v>
      </c>
      <c r="AL31" s="9">
        <f t="shared" si="41"/>
        <v>0.83062207251283171</v>
      </c>
      <c r="AM31" s="9">
        <f t="shared" si="42"/>
        <v>0.59329014230661314</v>
      </c>
      <c r="AN31" s="9">
        <f t="shared" si="43"/>
        <v>0.51788214987970449</v>
      </c>
      <c r="AO31" s="9">
        <f t="shared" si="44"/>
        <v>0.68761653058253536</v>
      </c>
      <c r="AP31" s="9">
        <f t="shared" si="45"/>
        <v>0.69179701042126096</v>
      </c>
      <c r="AQ31" s="9">
        <f t="shared" si="46"/>
        <v>0.40293066346700696</v>
      </c>
      <c r="AR31" s="9">
        <f t="shared" si="47"/>
        <v>0.59142132892752908</v>
      </c>
      <c r="AS31" s="9">
        <f t="shared" si="48"/>
        <v>0.59466489572394399</v>
      </c>
      <c r="AT31" s="9">
        <f t="shared" si="49"/>
        <v>0.43207224577864056</v>
      </c>
      <c r="AU31" s="9">
        <f t="shared" si="50"/>
        <v>0.45672963404095124</v>
      </c>
      <c r="AV31" s="9">
        <f t="shared" si="51"/>
        <v>0.68661752295769729</v>
      </c>
      <c r="AW31" s="9">
        <f t="shared" si="52"/>
        <v>0.45920304144554341</v>
      </c>
      <c r="AY31" s="10" t="s">
        <v>118</v>
      </c>
      <c r="AZ31" s="10" t="s">
        <v>146</v>
      </c>
      <c r="BA31" s="14">
        <v>0.48240005273796616</v>
      </c>
      <c r="BB31" s="14">
        <v>0</v>
      </c>
      <c r="BC31" s="14">
        <v>0</v>
      </c>
      <c r="BD31" s="14">
        <v>0</v>
      </c>
      <c r="BE31" s="14">
        <v>0</v>
      </c>
      <c r="BF31" s="14">
        <v>0</v>
      </c>
      <c r="BG31" s="14">
        <v>0.48148081593361647</v>
      </c>
      <c r="BI31" s="15">
        <v>2565.2251362760462</v>
      </c>
      <c r="BJ31" s="16">
        <v>372.87716365127062</v>
      </c>
      <c r="BK31" s="14">
        <v>1.6541039973567186</v>
      </c>
      <c r="BM31" s="10" t="str">
        <f>INDEX($AZ$31:$BK$45,MATCH(BN31,$BK$31:$BK$45,0),1)</f>
        <v>ARMA(0,1)</v>
      </c>
      <c r="BN31" s="18">
        <f>LARGE($BK$31:$BK$45,RIGHT(AY31,2))</f>
        <v>1.7058362982801611</v>
      </c>
    </row>
    <row r="32" spans="1:66" ht="10.25" customHeight="1" x14ac:dyDescent="0.15">
      <c r="A32" s="8">
        <v>37802</v>
      </c>
      <c r="B32" s="6">
        <v>-0.78392759176965088</v>
      </c>
      <c r="C32" s="9">
        <f t="shared" si="57"/>
        <v>0.57804987420934872</v>
      </c>
      <c r="D32" s="9">
        <f t="shared" si="58"/>
        <v>0.50721971545807554</v>
      </c>
      <c r="E32" s="9">
        <f t="shared" si="59"/>
        <v>0.54999037025033459</v>
      </c>
      <c r="F32" s="9">
        <f t="shared" si="64"/>
        <v>0.21169055764303052</v>
      </c>
      <c r="G32" s="9">
        <f t="shared" si="65"/>
        <v>0.54632354803804883</v>
      </c>
      <c r="H32" s="9">
        <f t="shared" si="62"/>
        <v>0.5388927436950719</v>
      </c>
      <c r="I32" s="9">
        <f t="shared" si="53"/>
        <v>0.55279411244044463</v>
      </c>
      <c r="J32" s="9">
        <f t="shared" si="60"/>
        <v>0.55440336027004267</v>
      </c>
      <c r="K32" s="9">
        <f t="shared" si="66"/>
        <v>0.65028225635316939</v>
      </c>
      <c r="L32" s="9">
        <f t="shared" si="67"/>
        <v>0.61108603564217168</v>
      </c>
      <c r="M32" s="9">
        <f t="shared" si="54"/>
        <v>0.52186123070204748</v>
      </c>
      <c r="N32" s="9">
        <f t="shared" si="68"/>
        <v>0.60653840841995987</v>
      </c>
      <c r="O32" s="9">
        <f t="shared" si="69"/>
        <v>0.17890363865515929</v>
      </c>
      <c r="P32" s="9">
        <f t="shared" si="63"/>
        <v>0.29320008479755422</v>
      </c>
      <c r="Q32" s="9">
        <f t="shared" si="61"/>
        <v>0.53214249030356564</v>
      </c>
      <c r="R32" s="5"/>
      <c r="S32" s="9">
        <f t="shared" si="55"/>
        <v>-1.3619774659789996</v>
      </c>
      <c r="T32" s="9">
        <f t="shared" si="24"/>
        <v>-1.2911473072277264</v>
      </c>
      <c r="U32" s="9">
        <f t="shared" si="25"/>
        <v>-1.3339179620199855</v>
      </c>
      <c r="V32" s="9">
        <f t="shared" si="26"/>
        <v>-0.99561814941268145</v>
      </c>
      <c r="W32" s="9">
        <f t="shared" si="27"/>
        <v>-1.3302511398076997</v>
      </c>
      <c r="X32" s="9">
        <f t="shared" si="28"/>
        <v>-1.3228203354647228</v>
      </c>
      <c r="Y32" s="9">
        <f t="shared" si="29"/>
        <v>-1.3367217042100954</v>
      </c>
      <c r="Z32" s="9">
        <f t="shared" si="30"/>
        <v>-1.3383309520396935</v>
      </c>
      <c r="AA32" s="9">
        <f t="shared" si="31"/>
        <v>-1.4342098481228203</v>
      </c>
      <c r="AB32" s="9">
        <f t="shared" si="32"/>
        <v>-1.3950136274118226</v>
      </c>
      <c r="AC32" s="9">
        <f t="shared" si="33"/>
        <v>-1.3057888224716985</v>
      </c>
      <c r="AD32" s="9">
        <f t="shared" si="34"/>
        <v>-1.3904660001896108</v>
      </c>
      <c r="AE32" s="9">
        <f t="shared" si="35"/>
        <v>-0.96283123042481011</v>
      </c>
      <c r="AF32" s="9">
        <f t="shared" si="36"/>
        <v>-1.0771276765672051</v>
      </c>
      <c r="AG32" s="9">
        <f t="shared" si="37"/>
        <v>-1.3160700820732165</v>
      </c>
      <c r="AH32" s="5"/>
      <c r="AI32" s="9">
        <f t="shared" si="56"/>
        <v>1.854982617834577</v>
      </c>
      <c r="AJ32" s="9">
        <f t="shared" si="39"/>
        <v>1.6670613689614089</v>
      </c>
      <c r="AK32" s="9">
        <f t="shared" si="40"/>
        <v>1.7793371293995515</v>
      </c>
      <c r="AL32" s="9">
        <f t="shared" si="41"/>
        <v>0.99125549943993252</v>
      </c>
      <c r="AM32" s="9">
        <f t="shared" si="42"/>
        <v>1.7695680949596841</v>
      </c>
      <c r="AN32" s="9">
        <f t="shared" si="43"/>
        <v>1.7498536399190017</v>
      </c>
      <c r="AO32" s="9">
        <f t="shared" si="44"/>
        <v>1.7868249145063417</v>
      </c>
      <c r="AP32" s="9">
        <f t="shared" si="45"/>
        <v>1.7911297371874726</v>
      </c>
      <c r="AQ32" s="9">
        <f t="shared" si="46"/>
        <v>2.0569578884524833</v>
      </c>
      <c r="AR32" s="9">
        <f t="shared" si="47"/>
        <v>1.9460630206646914</v>
      </c>
      <c r="AS32" s="9">
        <f t="shared" si="48"/>
        <v>1.7050844488920249</v>
      </c>
      <c r="AT32" s="9">
        <f t="shared" si="49"/>
        <v>1.9333956976832947</v>
      </c>
      <c r="AU32" s="9">
        <f t="shared" si="50"/>
        <v>0.92704397828135376</v>
      </c>
      <c r="AV32" s="9">
        <f t="shared" si="51"/>
        <v>1.1602040316270656</v>
      </c>
      <c r="AW32" s="9">
        <f t="shared" si="52"/>
        <v>1.732040460928203</v>
      </c>
      <c r="AY32" s="10" t="s">
        <v>119</v>
      </c>
      <c r="AZ32" s="10" t="s">
        <v>147</v>
      </c>
      <c r="BA32" s="14">
        <v>0</v>
      </c>
      <c r="BB32" s="14">
        <v>0</v>
      </c>
      <c r="BC32" s="14">
        <v>0</v>
      </c>
      <c r="BD32" s="14">
        <v>-0.73652270614039572</v>
      </c>
      <c r="BE32" s="14">
        <v>0</v>
      </c>
      <c r="BF32" s="14">
        <v>0</v>
      </c>
      <c r="BG32" s="14">
        <v>1.0028580969543366</v>
      </c>
      <c r="BI32" s="15">
        <v>1903.8006617106241</v>
      </c>
      <c r="BJ32" s="16">
        <v>337.69027037809104</v>
      </c>
      <c r="BK32" s="14">
        <v>1.7058362982801611</v>
      </c>
      <c r="BM32" s="10" t="str">
        <f t="shared" ref="BM32:BM45" si="73">INDEX($AZ$31:$BK$45,MATCH(BN32,$BK$31:$BK$45,0),1)</f>
        <v>ARMA(1,2)</v>
      </c>
      <c r="BN32" s="18">
        <f t="shared" ref="BN32:BN45" si="74">LARGE($BK$31:$BK$45,RIGHT(AY32,2))</f>
        <v>1.6949052584745414</v>
      </c>
    </row>
    <row r="33" spans="1:66" ht="10.25" customHeight="1" x14ac:dyDescent="0.15">
      <c r="A33" s="8">
        <v>37894</v>
      </c>
      <c r="B33" s="6">
        <v>0.95380934617061985</v>
      </c>
      <c r="C33" s="9">
        <f t="shared" si="57"/>
        <v>0.57862569722364288</v>
      </c>
      <c r="D33" s="9">
        <f t="shared" si="58"/>
        <v>0.45220912214689096</v>
      </c>
      <c r="E33" s="9">
        <f t="shared" si="59"/>
        <v>0.42871489072431201</v>
      </c>
      <c r="F33" s="9">
        <f t="shared" si="64"/>
        <v>0.57083236759656275</v>
      </c>
      <c r="G33" s="9">
        <f t="shared" si="65"/>
        <v>0.59866302148611306</v>
      </c>
      <c r="H33" s="9">
        <f t="shared" si="62"/>
        <v>0.614770458937685</v>
      </c>
      <c r="I33" s="9">
        <f t="shared" si="53"/>
        <v>0.30371297063946928</v>
      </c>
      <c r="J33" s="9">
        <f t="shared" si="60"/>
        <v>0.30822764240581768</v>
      </c>
      <c r="K33" s="9">
        <f t="shared" si="66"/>
        <v>0.28189251604993193</v>
      </c>
      <c r="L33" s="9">
        <f t="shared" si="67"/>
        <v>0.57374301804943895</v>
      </c>
      <c r="M33" s="9">
        <f t="shared" si="54"/>
        <v>0.27678812293141875</v>
      </c>
      <c r="N33" s="9">
        <f t="shared" si="68"/>
        <v>0.23953601123904861</v>
      </c>
      <c r="O33" s="9">
        <f t="shared" si="69"/>
        <v>0.59256066116484429</v>
      </c>
      <c r="P33" s="9">
        <f t="shared" si="63"/>
        <v>0.3390552369094294</v>
      </c>
      <c r="Q33" s="9">
        <f t="shared" si="61"/>
        <v>9.1199912219870116E-2</v>
      </c>
      <c r="R33" s="5"/>
      <c r="S33" s="9">
        <f t="shared" si="55"/>
        <v>0.37518364894697698</v>
      </c>
      <c r="T33" s="9">
        <f t="shared" si="24"/>
        <v>0.50160022402372895</v>
      </c>
      <c r="U33" s="9">
        <f t="shared" si="25"/>
        <v>0.52509445544630784</v>
      </c>
      <c r="V33" s="9">
        <f t="shared" si="26"/>
        <v>0.3829769785740571</v>
      </c>
      <c r="W33" s="9">
        <f t="shared" si="27"/>
        <v>0.3551463246845068</v>
      </c>
      <c r="X33" s="9">
        <f t="shared" si="28"/>
        <v>0.33903888723293485</v>
      </c>
      <c r="Y33" s="9">
        <f t="shared" si="29"/>
        <v>0.65009637553115063</v>
      </c>
      <c r="Z33" s="9">
        <f t="shared" si="30"/>
        <v>0.64558170376480217</v>
      </c>
      <c r="AA33" s="9">
        <f t="shared" si="31"/>
        <v>0.67191683012068792</v>
      </c>
      <c r="AB33" s="9">
        <f t="shared" si="32"/>
        <v>0.38006632812118091</v>
      </c>
      <c r="AC33" s="9">
        <f t="shared" si="33"/>
        <v>0.67702122323920111</v>
      </c>
      <c r="AD33" s="9">
        <f t="shared" si="34"/>
        <v>0.7142733349315713</v>
      </c>
      <c r="AE33" s="9">
        <f t="shared" si="35"/>
        <v>0.36124868500577556</v>
      </c>
      <c r="AF33" s="9">
        <f t="shared" si="36"/>
        <v>0.61475410926119045</v>
      </c>
      <c r="AG33" s="9">
        <f t="shared" si="37"/>
        <v>0.86260943395074974</v>
      </c>
      <c r="AH33" s="5"/>
      <c r="AI33" s="9">
        <f t="shared" si="56"/>
        <v>0.14076277043716845</v>
      </c>
      <c r="AJ33" s="9">
        <f t="shared" si="39"/>
        <v>0.25160278474065506</v>
      </c>
      <c r="AK33" s="9">
        <f t="shared" si="40"/>
        <v>0.27572418714045455</v>
      </c>
      <c r="AL33" s="9">
        <f t="shared" si="41"/>
        <v>0.14667136611771378</v>
      </c>
      <c r="AM33" s="9">
        <f t="shared" si="42"/>
        <v>0.12612891193691311</v>
      </c>
      <c r="AN33" s="9">
        <f t="shared" si="43"/>
        <v>0.11494736705614671</v>
      </c>
      <c r="AO33" s="9">
        <f t="shared" si="44"/>
        <v>0.42262529747873884</v>
      </c>
      <c r="AP33" s="9">
        <f t="shared" si="45"/>
        <v>0.41677573623586478</v>
      </c>
      <c r="AQ33" s="9">
        <f t="shared" si="46"/>
        <v>0.45147222659943337</v>
      </c>
      <c r="AR33" s="9">
        <f t="shared" si="47"/>
        <v>0.14445041377151716</v>
      </c>
      <c r="AS33" s="9">
        <f t="shared" si="48"/>
        <v>0.4583577367163042</v>
      </c>
      <c r="AT33" s="9">
        <f t="shared" si="49"/>
        <v>0.5101863969942686</v>
      </c>
      <c r="AU33" s="9">
        <f t="shared" si="50"/>
        <v>0.13050061241840205</v>
      </c>
      <c r="AV33" s="9">
        <f t="shared" si="51"/>
        <v>0.37792261485351969</v>
      </c>
      <c r="AW33" s="9">
        <f t="shared" si="52"/>
        <v>0.74409503554083289</v>
      </c>
      <c r="AY33" s="10" t="s">
        <v>120</v>
      </c>
      <c r="AZ33" s="10" t="s">
        <v>162</v>
      </c>
      <c r="BA33" s="14">
        <v>0.271307663613997</v>
      </c>
      <c r="BB33" s="14">
        <v>0</v>
      </c>
      <c r="BC33" s="14">
        <v>0</v>
      </c>
      <c r="BD33" s="14">
        <v>-0.5927461839425342</v>
      </c>
      <c r="BE33" s="14">
        <v>0</v>
      </c>
      <c r="BF33" s="14">
        <v>0</v>
      </c>
      <c r="BG33" s="14">
        <v>0.72932528343193093</v>
      </c>
      <c r="BI33" s="15">
        <v>1820.7973747442325</v>
      </c>
      <c r="BJ33" s="16">
        <v>337.2007848361971</v>
      </c>
      <c r="BK33" s="14">
        <v>1.6790221347293393</v>
      </c>
      <c r="BM33" s="10" t="str">
        <f t="shared" si="73"/>
        <v>ARMA(2,0)</v>
      </c>
      <c r="BN33" s="18">
        <f t="shared" si="74"/>
        <v>1.6833233293379088</v>
      </c>
    </row>
    <row r="34" spans="1:66" ht="10.25" customHeight="1" x14ac:dyDescent="0.15">
      <c r="A34" s="8">
        <v>37986</v>
      </c>
      <c r="B34" s="6">
        <v>1.0064925730460139</v>
      </c>
      <c r="C34" s="9">
        <f t="shared" si="57"/>
        <v>0.57819581288020805</v>
      </c>
      <c r="D34" s="9">
        <f t="shared" si="58"/>
        <v>0.64009067980234191</v>
      </c>
      <c r="E34" s="9">
        <f t="shared" si="59"/>
        <v>0.75773833302777782</v>
      </c>
      <c r="F34" s="9">
        <f t="shared" si="64"/>
        <v>0.67905936423942304</v>
      </c>
      <c r="G34" s="9">
        <f t="shared" si="65"/>
        <v>0.56132084012729488</v>
      </c>
      <c r="H34" s="9">
        <f t="shared" si="62"/>
        <v>0.55065305147438726</v>
      </c>
      <c r="I34" s="9">
        <f t="shared" si="53"/>
        <v>0.30598672553936518</v>
      </c>
      <c r="J34" s="9">
        <f t="shared" si="60"/>
        <v>0.31587193815547088</v>
      </c>
      <c r="K34" s="9">
        <f t="shared" si="66"/>
        <v>0.80924931209398943</v>
      </c>
      <c r="L34" s="9">
        <f t="shared" si="67"/>
        <v>0.59723210082204492</v>
      </c>
      <c r="M34" s="9">
        <f t="shared" si="54"/>
        <v>0.30827050136484169</v>
      </c>
      <c r="N34" s="9">
        <f t="shared" si="68"/>
        <v>0.75459862386105081</v>
      </c>
      <c r="O34" s="9">
        <f t="shared" si="69"/>
        <v>0.36911718519905479</v>
      </c>
      <c r="P34" s="9">
        <f t="shared" si="63"/>
        <v>0.69297247428156716</v>
      </c>
      <c r="Q34" s="9">
        <f t="shared" si="61"/>
        <v>0.38296312082132344</v>
      </c>
      <c r="R34" s="5"/>
      <c r="S34" s="9">
        <f t="shared" si="55"/>
        <v>0.42829676016580587</v>
      </c>
      <c r="T34" s="9">
        <f t="shared" si="24"/>
        <v>0.36640189324367201</v>
      </c>
      <c r="U34" s="9">
        <f t="shared" si="25"/>
        <v>0.24875424001823609</v>
      </c>
      <c r="V34" s="9">
        <f t="shared" si="26"/>
        <v>0.32743320880659088</v>
      </c>
      <c r="W34" s="9">
        <f t="shared" si="27"/>
        <v>0.44517173291871903</v>
      </c>
      <c r="X34" s="9">
        <f t="shared" si="28"/>
        <v>0.45583952157162666</v>
      </c>
      <c r="Y34" s="9">
        <f t="shared" si="29"/>
        <v>0.70050584750664879</v>
      </c>
      <c r="Z34" s="9">
        <f t="shared" si="30"/>
        <v>0.69062063489054304</v>
      </c>
      <c r="AA34" s="9">
        <f t="shared" si="31"/>
        <v>0.19724326095202449</v>
      </c>
      <c r="AB34" s="9">
        <f t="shared" si="32"/>
        <v>0.409260472223969</v>
      </c>
      <c r="AC34" s="9">
        <f t="shared" si="33"/>
        <v>0.69822207168117223</v>
      </c>
      <c r="AD34" s="9">
        <f t="shared" si="34"/>
        <v>0.25189394918496311</v>
      </c>
      <c r="AE34" s="9">
        <f t="shared" si="35"/>
        <v>0.63737538784695913</v>
      </c>
      <c r="AF34" s="9">
        <f t="shared" si="36"/>
        <v>0.31352009876444675</v>
      </c>
      <c r="AG34" s="9">
        <f t="shared" si="37"/>
        <v>0.62352945222469047</v>
      </c>
      <c r="AH34" s="5"/>
      <c r="AI34" s="9">
        <f t="shared" si="56"/>
        <v>0.18343811476852584</v>
      </c>
      <c r="AJ34" s="9">
        <f t="shared" si="39"/>
        <v>0.13425034737254721</v>
      </c>
      <c r="AK34" s="9">
        <f t="shared" si="40"/>
        <v>6.1878671927050211E-2</v>
      </c>
      <c r="AL34" s="9">
        <f t="shared" si="41"/>
        <v>0.10721250622938054</v>
      </c>
      <c r="AM34" s="9">
        <f t="shared" si="42"/>
        <v>0.1981778717898553</v>
      </c>
      <c r="AN34" s="9">
        <f t="shared" si="43"/>
        <v>0.20778966942664948</v>
      </c>
      <c r="AO34" s="9">
        <f t="shared" si="44"/>
        <v>0.4907084423910083</v>
      </c>
      <c r="AP34" s="9">
        <f t="shared" si="45"/>
        <v>0.47695686133661674</v>
      </c>
      <c r="AQ34" s="9">
        <f t="shared" si="46"/>
        <v>3.8904903990988428E-2</v>
      </c>
      <c r="AR34" s="9">
        <f t="shared" si="47"/>
        <v>0.16749413412498609</v>
      </c>
      <c r="AS34" s="9">
        <f t="shared" si="48"/>
        <v>0.487514061382748</v>
      </c>
      <c r="AT34" s="9">
        <f t="shared" si="49"/>
        <v>6.3450561635996772E-2</v>
      </c>
      <c r="AU34" s="9">
        <f t="shared" si="50"/>
        <v>0.40624738503306157</v>
      </c>
      <c r="AV34" s="9">
        <f t="shared" si="51"/>
        <v>9.8294852329268448E-2</v>
      </c>
      <c r="AW34" s="9">
        <f t="shared" si="52"/>
        <v>0.38878897779162258</v>
      </c>
      <c r="AY34" s="10" t="s">
        <v>121</v>
      </c>
      <c r="AZ34" s="10" t="s">
        <v>129</v>
      </c>
      <c r="BA34" s="14">
        <v>-7.3718538793747193E-2</v>
      </c>
      <c r="BB34" s="14">
        <v>5.2759838186185175E-2</v>
      </c>
      <c r="BC34" s="14">
        <v>0</v>
      </c>
      <c r="BD34" s="14">
        <v>-0.52314006975572547</v>
      </c>
      <c r="BE34" s="14">
        <v>1.1706081172440529E-2</v>
      </c>
      <c r="BF34" s="14">
        <v>0</v>
      </c>
      <c r="BG34" s="14">
        <v>0.94706030547758113</v>
      </c>
      <c r="BI34" s="15">
        <v>2054.4424665193469</v>
      </c>
      <c r="BJ34" s="16">
        <v>360.98829198162917</v>
      </c>
      <c r="BK34" s="14">
        <v>1.6367270059278434</v>
      </c>
      <c r="BM34" s="10" t="str">
        <f t="shared" si="73"/>
        <v>ARMA(1,1)</v>
      </c>
      <c r="BN34" s="18">
        <f t="shared" si="74"/>
        <v>1.6790221347293393</v>
      </c>
    </row>
    <row r="35" spans="1:66" ht="10.25" customHeight="1" x14ac:dyDescent="0.15">
      <c r="A35" s="8">
        <v>38077</v>
      </c>
      <c r="B35" s="6">
        <v>0.81018326266864005</v>
      </c>
      <c r="C35" s="9">
        <f t="shared" si="57"/>
        <v>0.57851674577823908</v>
      </c>
      <c r="D35" s="9">
        <f t="shared" si="58"/>
        <v>0.62592177283882644</v>
      </c>
      <c r="E35" s="9">
        <f t="shared" si="59"/>
        <v>0.46487863951682484</v>
      </c>
      <c r="F35" s="9">
        <f t="shared" si="64"/>
        <v>0.38765359275093503</v>
      </c>
      <c r="G35" s="9">
        <f t="shared" si="65"/>
        <v>0.570934889974819</v>
      </c>
      <c r="H35" s="9">
        <f t="shared" si="62"/>
        <v>0.57971204100506069</v>
      </c>
      <c r="I35" s="9">
        <f t="shared" si="53"/>
        <v>0.78156466269657732</v>
      </c>
      <c r="J35" s="9">
        <f t="shared" si="60"/>
        <v>0.78857432998928134</v>
      </c>
      <c r="K35" s="9">
        <f t="shared" si="66"/>
        <v>0.30246035353671752</v>
      </c>
      <c r="L35" s="9">
        <f t="shared" si="67"/>
        <v>0.59759509922756893</v>
      </c>
      <c r="M35" s="9">
        <f t="shared" si="54"/>
        <v>0.62387619684775453</v>
      </c>
      <c r="N35" s="9">
        <f t="shared" si="68"/>
        <v>0.33793692033212286</v>
      </c>
      <c r="O35" s="9">
        <f t="shared" si="69"/>
        <v>0.92300352261154639</v>
      </c>
      <c r="P35" s="9">
        <f t="shared" si="63"/>
        <v>0.6009538677927887</v>
      </c>
      <c r="Q35" s="9">
        <f t="shared" si="61"/>
        <v>0.64097445379478446</v>
      </c>
      <c r="R35" s="5"/>
      <c r="S35" s="9">
        <f t="shared" si="55"/>
        <v>0.23166651689040096</v>
      </c>
      <c r="T35" s="9">
        <f t="shared" si="24"/>
        <v>0.18426148982981361</v>
      </c>
      <c r="U35" s="9">
        <f t="shared" si="25"/>
        <v>0.3453046231518152</v>
      </c>
      <c r="V35" s="9">
        <f t="shared" si="26"/>
        <v>0.42252966991770502</v>
      </c>
      <c r="W35" s="9">
        <f t="shared" si="27"/>
        <v>0.23924837269382104</v>
      </c>
      <c r="X35" s="9">
        <f t="shared" si="28"/>
        <v>0.23047122166357936</v>
      </c>
      <c r="Y35" s="9">
        <f t="shared" si="29"/>
        <v>2.861859997206273E-2</v>
      </c>
      <c r="Z35" s="9">
        <f t="shared" si="30"/>
        <v>2.1608932679358706E-2</v>
      </c>
      <c r="AA35" s="9">
        <f t="shared" si="31"/>
        <v>0.50772290913192253</v>
      </c>
      <c r="AB35" s="9">
        <f t="shared" si="32"/>
        <v>0.21258816344107112</v>
      </c>
      <c r="AC35" s="9">
        <f t="shared" si="33"/>
        <v>0.18630706582088552</v>
      </c>
      <c r="AD35" s="9">
        <f t="shared" si="34"/>
        <v>0.47224634233651719</v>
      </c>
      <c r="AE35" s="9">
        <f t="shared" si="35"/>
        <v>-0.11282025994290634</v>
      </c>
      <c r="AF35" s="9">
        <f t="shared" si="36"/>
        <v>0.20922939487585135</v>
      </c>
      <c r="AG35" s="9">
        <f t="shared" si="37"/>
        <v>0.16920880887385559</v>
      </c>
      <c r="AH35" s="5"/>
      <c r="AI35" s="9">
        <f t="shared" si="56"/>
        <v>5.3669375048130435E-2</v>
      </c>
      <c r="AJ35" s="9">
        <f t="shared" si="39"/>
        <v>3.3952296634302506E-2</v>
      </c>
      <c r="AK35" s="9">
        <f t="shared" si="40"/>
        <v>0.11923528277001712</v>
      </c>
      <c r="AL35" s="9">
        <f t="shared" si="41"/>
        <v>0.17853132196076477</v>
      </c>
      <c r="AM35" s="9">
        <f t="shared" si="42"/>
        <v>5.7239783836641495E-2</v>
      </c>
      <c r="AN35" s="9">
        <f t="shared" si="43"/>
        <v>5.3116984015102731E-2</v>
      </c>
      <c r="AO35" s="9">
        <f t="shared" si="44"/>
        <v>8.1902426436094894E-4</v>
      </c>
      <c r="AP35" s="9">
        <f t="shared" si="45"/>
        <v>4.6694597154105661E-4</v>
      </c>
      <c r="AQ35" s="9">
        <f t="shared" si="46"/>
        <v>0.25778255245738246</v>
      </c>
      <c r="AR35" s="9">
        <f t="shared" si="47"/>
        <v>4.5193727235247567E-2</v>
      </c>
      <c r="AS35" s="9">
        <f t="shared" si="48"/>
        <v>3.471032277478777E-2</v>
      </c>
      <c r="AT35" s="9">
        <f t="shared" si="49"/>
        <v>0.22301660785021898</v>
      </c>
      <c r="AU35" s="9">
        <f t="shared" si="50"/>
        <v>1.2728411053584958E-2</v>
      </c>
      <c r="AV35" s="9">
        <f t="shared" si="51"/>
        <v>4.377693968011493E-2</v>
      </c>
      <c r="AW35" s="9">
        <f t="shared" si="52"/>
        <v>2.8631621000508988E-2</v>
      </c>
      <c r="AY35" s="10" t="s">
        <v>122</v>
      </c>
      <c r="AZ35" s="10" t="s">
        <v>148</v>
      </c>
      <c r="BA35" s="14">
        <v>0.52906804638601546</v>
      </c>
      <c r="BB35" s="14">
        <v>-0.9275362411151945</v>
      </c>
      <c r="BC35" s="14">
        <v>0</v>
      </c>
      <c r="BD35" s="14">
        <v>0</v>
      </c>
      <c r="BE35" s="14">
        <v>0</v>
      </c>
      <c r="BF35" s="14">
        <v>0</v>
      </c>
      <c r="BG35" s="14">
        <v>1.448012246129144</v>
      </c>
      <c r="BI35" s="15">
        <v>2441.529970078966</v>
      </c>
      <c r="BJ35" s="16">
        <v>371.8161269129717</v>
      </c>
      <c r="BK35" s="14">
        <v>1.6833233293379088</v>
      </c>
      <c r="BM35" s="10" t="str">
        <f t="shared" si="73"/>
        <v>ARMA(2,1)</v>
      </c>
      <c r="BN35" s="18">
        <f t="shared" si="74"/>
        <v>1.6762947706493219</v>
      </c>
    </row>
    <row r="36" spans="1:66" ht="10.25" customHeight="1" x14ac:dyDescent="0.15">
      <c r="A36" s="8">
        <v>38168</v>
      </c>
      <c r="B36" s="6">
        <v>2.5430724848565234</v>
      </c>
      <c r="C36" s="9">
        <f t="shared" si="57"/>
        <v>0.57827715127657475</v>
      </c>
      <c r="D36" s="9">
        <f t="shared" si="58"/>
        <v>0.60683329433929134</v>
      </c>
      <c r="E36" s="9">
        <f t="shared" si="59"/>
        <v>0.70675048099435167</v>
      </c>
      <c r="F36" s="9">
        <f t="shared" si="64"/>
        <v>0.65697311098880873</v>
      </c>
      <c r="G36" s="9">
        <f t="shared" si="65"/>
        <v>0.58591415536786351</v>
      </c>
      <c r="H36" s="9">
        <f t="shared" si="62"/>
        <v>0.58473952226581627</v>
      </c>
      <c r="I36" s="9">
        <f t="shared" si="53"/>
        <v>0.75197208181178254</v>
      </c>
      <c r="J36" s="9">
        <f t="shared" si="60"/>
        <v>0.73763278410218436</v>
      </c>
      <c r="K36" s="9">
        <f t="shared" si="66"/>
        <v>0.80429235030337809</v>
      </c>
      <c r="L36" s="9">
        <f t="shared" si="67"/>
        <v>0.58062397729579107</v>
      </c>
      <c r="M36" s="9">
        <f t="shared" si="54"/>
        <v>0.81589127142336304</v>
      </c>
      <c r="N36" s="9">
        <f t="shared" si="68"/>
        <v>0.76343838167040257</v>
      </c>
      <c r="O36" s="9">
        <f t="shared" si="69"/>
        <v>0.48887267169802923</v>
      </c>
      <c r="P36" s="9">
        <f t="shared" si="63"/>
        <v>0.61374352647384012</v>
      </c>
      <c r="Q36" s="9">
        <f t="shared" si="61"/>
        <v>0.96322199376136797</v>
      </c>
      <c r="R36" s="5"/>
      <c r="S36" s="9">
        <f t="shared" si="55"/>
        <v>1.9647953335799486</v>
      </c>
      <c r="T36" s="9">
        <f t="shared" si="24"/>
        <v>1.936239190517232</v>
      </c>
      <c r="U36" s="9">
        <f t="shared" si="25"/>
        <v>1.8363220038621717</v>
      </c>
      <c r="V36" s="9">
        <f t="shared" si="26"/>
        <v>1.8860993738677148</v>
      </c>
      <c r="W36" s="9">
        <f t="shared" si="27"/>
        <v>1.9571583294886599</v>
      </c>
      <c r="X36" s="9">
        <f t="shared" si="28"/>
        <v>1.9583329625907071</v>
      </c>
      <c r="Y36" s="9">
        <f t="shared" si="29"/>
        <v>1.7911004030447408</v>
      </c>
      <c r="Z36" s="9">
        <f t="shared" si="30"/>
        <v>1.805439700754339</v>
      </c>
      <c r="AA36" s="9">
        <f t="shared" si="31"/>
        <v>1.7387801345531453</v>
      </c>
      <c r="AB36" s="9">
        <f t="shared" si="32"/>
        <v>1.9624485075607323</v>
      </c>
      <c r="AC36" s="9">
        <f t="shared" si="33"/>
        <v>1.7271812134331603</v>
      </c>
      <c r="AD36" s="9">
        <f t="shared" si="34"/>
        <v>1.7796341031861207</v>
      </c>
      <c r="AE36" s="9">
        <f t="shared" si="35"/>
        <v>2.054199813158494</v>
      </c>
      <c r="AF36" s="9">
        <f t="shared" si="36"/>
        <v>1.9293289583826834</v>
      </c>
      <c r="AG36" s="9">
        <f t="shared" si="37"/>
        <v>1.5798504910951554</v>
      </c>
      <c r="AH36" s="5"/>
      <c r="AI36" s="9">
        <f t="shared" si="56"/>
        <v>3.8604207028575415</v>
      </c>
      <c r="AJ36" s="9">
        <f t="shared" si="39"/>
        <v>3.7490222028948259</v>
      </c>
      <c r="AK36" s="9">
        <f t="shared" si="40"/>
        <v>3.3720785018683817</v>
      </c>
      <c r="AL36" s="9">
        <f t="shared" si="41"/>
        <v>3.5573708481041857</v>
      </c>
      <c r="AM36" s="9">
        <f t="shared" si="42"/>
        <v>3.8304687266868416</v>
      </c>
      <c r="AN36" s="9">
        <f t="shared" si="43"/>
        <v>3.8350679923692956</v>
      </c>
      <c r="AO36" s="9">
        <f t="shared" si="44"/>
        <v>3.208040653787033</v>
      </c>
      <c r="AP36" s="9">
        <f t="shared" si="45"/>
        <v>3.2596125130599174</v>
      </c>
      <c r="AQ36" s="9">
        <f t="shared" si="46"/>
        <v>3.0233563563166541</v>
      </c>
      <c r="AR36" s="9">
        <f t="shared" si="47"/>
        <v>3.8512041448273457</v>
      </c>
      <c r="AS36" s="9">
        <f t="shared" si="48"/>
        <v>2.983154944036444</v>
      </c>
      <c r="AT36" s="9">
        <f t="shared" si="49"/>
        <v>3.1670975412230682</v>
      </c>
      <c r="AU36" s="9">
        <f t="shared" si="50"/>
        <v>4.2197368723803912</v>
      </c>
      <c r="AV36" s="9">
        <f t="shared" si="51"/>
        <v>3.7223102296540098</v>
      </c>
      <c r="AW36" s="9">
        <f t="shared" si="52"/>
        <v>2.4959275742136038</v>
      </c>
      <c r="AY36" s="10" t="s">
        <v>123</v>
      </c>
      <c r="AZ36" s="10" t="s">
        <v>130</v>
      </c>
      <c r="BA36" s="14">
        <v>0.4219300650026227</v>
      </c>
      <c r="BB36" s="14">
        <v>-0.16599040488600683</v>
      </c>
      <c r="BC36" s="14">
        <v>0</v>
      </c>
      <c r="BD36" s="14">
        <v>-0.5813093159437801</v>
      </c>
      <c r="BE36" s="14">
        <v>0</v>
      </c>
      <c r="BF36" s="14">
        <v>0</v>
      </c>
      <c r="BG36" s="14">
        <v>0.74306459715665885</v>
      </c>
      <c r="BI36" s="15">
        <v>1791.8628636817607</v>
      </c>
      <c r="BJ36" s="16">
        <v>340.08125832081595</v>
      </c>
      <c r="BK36" s="14">
        <v>1.6762947706493219</v>
      </c>
      <c r="BM36" s="10" t="str">
        <f t="shared" si="73"/>
        <v>ARMA(0,2)</v>
      </c>
      <c r="BN36" s="18">
        <f t="shared" si="74"/>
        <v>1.6687996288523388</v>
      </c>
    </row>
    <row r="37" spans="1:66" ht="10.25" customHeight="1" x14ac:dyDescent="0.15">
      <c r="A37" s="8">
        <v>38260</v>
      </c>
      <c r="B37" s="6">
        <v>0.88251491008706218</v>
      </c>
      <c r="C37" s="9">
        <f t="shared" si="57"/>
        <v>0.57845602207972391</v>
      </c>
      <c r="D37" s="9">
        <f t="shared" si="58"/>
        <v>0.7904421369926623</v>
      </c>
      <c r="E37" s="9">
        <f t="shared" si="59"/>
        <v>0.70461524988915514</v>
      </c>
      <c r="F37" s="9">
        <f t="shared" si="64"/>
        <v>0.72391693119949196</v>
      </c>
      <c r="G37" s="9">
        <f t="shared" si="65"/>
        <v>0.55967233190424737</v>
      </c>
      <c r="H37" s="9">
        <f t="shared" si="62"/>
        <v>0.59345867417376086</v>
      </c>
      <c r="I37" s="9">
        <f t="shared" si="53"/>
        <v>0.70127093417448316</v>
      </c>
      <c r="J37" s="9">
        <f t="shared" si="60"/>
        <v>0.68577145773747894</v>
      </c>
      <c r="K37" s="9">
        <f t="shared" si="66"/>
        <v>0.65795646927836671</v>
      </c>
      <c r="L37" s="9">
        <f t="shared" si="67"/>
        <v>0.59913836239970819</v>
      </c>
      <c r="M37" s="9">
        <f t="shared" si="54"/>
        <v>0.88997192204792941</v>
      </c>
      <c r="N37" s="9">
        <f t="shared" si="68"/>
        <v>0.77649994265838695</v>
      </c>
      <c r="O37" s="9">
        <f t="shared" si="69"/>
        <v>1.2489641142399308</v>
      </c>
      <c r="P37" s="9">
        <f t="shared" si="63"/>
        <v>0.94642425450214274</v>
      </c>
      <c r="Q37" s="9">
        <f t="shared" si="61"/>
        <v>0.75010576241278115</v>
      </c>
      <c r="R37" s="5"/>
      <c r="S37" s="9">
        <f t="shared" si="55"/>
        <v>0.30405888800733827</v>
      </c>
      <c r="T37" s="9">
        <f t="shared" si="24"/>
        <v>9.2072773094399873E-2</v>
      </c>
      <c r="U37" s="9">
        <f t="shared" si="25"/>
        <v>0.17789966019790704</v>
      </c>
      <c r="V37" s="9">
        <f t="shared" si="26"/>
        <v>0.15859797888757021</v>
      </c>
      <c r="W37" s="9">
        <f t="shared" si="27"/>
        <v>0.32284257818281481</v>
      </c>
      <c r="X37" s="9">
        <f t="shared" si="28"/>
        <v>0.28905623591330132</v>
      </c>
      <c r="Y37" s="9">
        <f t="shared" si="29"/>
        <v>0.18124397591257901</v>
      </c>
      <c r="Z37" s="9">
        <f t="shared" si="30"/>
        <v>0.19674345234958324</v>
      </c>
      <c r="AA37" s="9">
        <f t="shared" si="31"/>
        <v>0.22455844080869547</v>
      </c>
      <c r="AB37" s="9">
        <f t="shared" si="32"/>
        <v>0.28337654768735399</v>
      </c>
      <c r="AC37" s="9">
        <f t="shared" si="33"/>
        <v>-7.4570119608672325E-3</v>
      </c>
      <c r="AD37" s="9">
        <f t="shared" si="34"/>
        <v>0.10601496742867522</v>
      </c>
      <c r="AE37" s="9">
        <f t="shared" si="35"/>
        <v>-0.36644920415286864</v>
      </c>
      <c r="AF37" s="9">
        <f t="shared" si="36"/>
        <v>-6.390934441508056E-2</v>
      </c>
      <c r="AG37" s="9">
        <f t="shared" si="37"/>
        <v>0.13240914767428102</v>
      </c>
      <c r="AH37" s="5"/>
      <c r="AI37" s="9">
        <f t="shared" si="56"/>
        <v>9.2451807376259076E-2</v>
      </c>
      <c r="AJ37" s="9">
        <f t="shared" si="39"/>
        <v>8.477395545292846E-3</v>
      </c>
      <c r="AK37" s="9">
        <f t="shared" si="40"/>
        <v>3.1648289098530791E-2</v>
      </c>
      <c r="AL37" s="9">
        <f t="shared" si="41"/>
        <v>2.5153318907222166E-2</v>
      </c>
      <c r="AM37" s="9">
        <f t="shared" si="42"/>
        <v>0.10422733028772689</v>
      </c>
      <c r="AN37" s="9">
        <f t="shared" si="43"/>
        <v>8.355350752036611E-2</v>
      </c>
      <c r="AO37" s="9">
        <f t="shared" si="44"/>
        <v>3.2849378804599524E-2</v>
      </c>
      <c r="AP37" s="9">
        <f t="shared" si="45"/>
        <v>3.8707986042432731E-2</v>
      </c>
      <c r="AQ37" s="9">
        <f t="shared" si="46"/>
        <v>5.0426493338432389E-2</v>
      </c>
      <c r="AR37" s="9">
        <f t="shared" si="47"/>
        <v>8.0302267779203212E-2</v>
      </c>
      <c r="AS37" s="9">
        <f t="shared" si="48"/>
        <v>5.5607027384516968E-5</v>
      </c>
      <c r="AT37" s="9">
        <f t="shared" si="49"/>
        <v>1.1239173318903069E-2</v>
      </c>
      <c r="AU37" s="9">
        <f t="shared" si="50"/>
        <v>0.1342850192242708</v>
      </c>
      <c r="AV37" s="9">
        <f t="shared" si="51"/>
        <v>4.0844043035653888E-3</v>
      </c>
      <c r="AW37" s="9">
        <f t="shared" si="52"/>
        <v>1.753218238782956E-2</v>
      </c>
      <c r="AY37" s="10" t="s">
        <v>126</v>
      </c>
      <c r="AZ37" s="10" t="s">
        <v>152</v>
      </c>
      <c r="BA37" s="14">
        <v>0.9</v>
      </c>
      <c r="BB37" s="14">
        <v>0</v>
      </c>
      <c r="BC37" s="14">
        <v>0</v>
      </c>
      <c r="BD37" s="14">
        <v>-0.58711936488813155</v>
      </c>
      <c r="BE37" s="14">
        <v>-0.1972333409736215</v>
      </c>
      <c r="BF37" s="14">
        <v>0</v>
      </c>
      <c r="BG37" s="14">
        <v>1.0107409720545717</v>
      </c>
      <c r="BI37" s="15">
        <v>1844.6356048656457</v>
      </c>
      <c r="BJ37" s="16">
        <v>343.50632268488431</v>
      </c>
      <c r="BK37" s="14">
        <v>1.6687996288523388</v>
      </c>
      <c r="BM37" s="10" t="str">
        <f t="shared" si="73"/>
        <v>ARMA(0,3)</v>
      </c>
      <c r="BN37" s="18">
        <f t="shared" si="74"/>
        <v>1.6681237272439726</v>
      </c>
    </row>
    <row r="38" spans="1:66" ht="10.25" customHeight="1" x14ac:dyDescent="0.15">
      <c r="A38" s="8">
        <v>38352</v>
      </c>
      <c r="B38" s="6">
        <v>1.6735841995713541</v>
      </c>
      <c r="C38" s="9">
        <f t="shared" si="57"/>
        <v>0.57832248494094574</v>
      </c>
      <c r="D38" s="9">
        <f t="shared" si="58"/>
        <v>0.59717183370606108</v>
      </c>
      <c r="E38" s="9">
        <f t="shared" si="59"/>
        <v>0.49763470639108054</v>
      </c>
      <c r="F38" s="9">
        <f t="shared" si="64"/>
        <v>0.3800381271929093</v>
      </c>
      <c r="G38" s="9">
        <f t="shared" si="65"/>
        <v>0.58237264749044715</v>
      </c>
      <c r="H38" s="9">
        <f t="shared" si="62"/>
        <v>0.54327986869336953</v>
      </c>
      <c r="I38" s="9">
        <f t="shared" si="53"/>
        <v>1.020756856522584</v>
      </c>
      <c r="J38" s="9">
        <f t="shared" si="60"/>
        <v>1.01711716295441</v>
      </c>
      <c r="K38" s="9">
        <f t="shared" si="66"/>
        <v>0.59403683164690624</v>
      </c>
      <c r="L38" s="9">
        <f t="shared" si="67"/>
        <v>0.59063277220281662</v>
      </c>
      <c r="M38" s="9">
        <f t="shared" si="54"/>
        <v>0.93089850560551879</v>
      </c>
      <c r="N38" s="9">
        <f t="shared" si="68"/>
        <v>0.63379143290704176</v>
      </c>
      <c r="O38" s="9">
        <f t="shared" si="69"/>
        <v>0.75232458595337293</v>
      </c>
      <c r="P38" s="9">
        <f t="shared" si="63"/>
        <v>0.58221494482153469</v>
      </c>
      <c r="Q38" s="9">
        <f t="shared" si="61"/>
        <v>0.97517005253943989</v>
      </c>
      <c r="R38" s="5"/>
      <c r="S38" s="9">
        <f t="shared" si="55"/>
        <v>1.0952617146304084</v>
      </c>
      <c r="T38" s="9">
        <f t="shared" si="24"/>
        <v>1.0764123658652931</v>
      </c>
      <c r="U38" s="9">
        <f t="shared" si="25"/>
        <v>1.1759494931802736</v>
      </c>
      <c r="V38" s="9">
        <f t="shared" si="26"/>
        <v>1.2935460723784447</v>
      </c>
      <c r="W38" s="9">
        <f t="shared" si="27"/>
        <v>1.0912115520809069</v>
      </c>
      <c r="X38" s="9">
        <f t="shared" si="28"/>
        <v>1.1303043308779845</v>
      </c>
      <c r="Y38" s="9">
        <f t="shared" si="29"/>
        <v>0.6528273430487701</v>
      </c>
      <c r="Z38" s="9">
        <f t="shared" si="30"/>
        <v>0.65646703661694406</v>
      </c>
      <c r="AA38" s="9">
        <f t="shared" si="31"/>
        <v>1.0795473679244478</v>
      </c>
      <c r="AB38" s="9">
        <f t="shared" si="32"/>
        <v>1.0829514273685374</v>
      </c>
      <c r="AC38" s="9">
        <f t="shared" si="33"/>
        <v>0.74268569396583528</v>
      </c>
      <c r="AD38" s="9">
        <f t="shared" si="34"/>
        <v>1.0397927666643123</v>
      </c>
      <c r="AE38" s="9">
        <f t="shared" si="35"/>
        <v>0.92125961361798114</v>
      </c>
      <c r="AF38" s="9">
        <f t="shared" si="36"/>
        <v>1.0913692547498193</v>
      </c>
      <c r="AG38" s="9">
        <f t="shared" si="37"/>
        <v>0.69841414703191418</v>
      </c>
      <c r="AH38" s="5"/>
      <c r="AI38" s="9">
        <f t="shared" si="56"/>
        <v>1.1995982235351423</v>
      </c>
      <c r="AJ38" s="9">
        <f t="shared" si="39"/>
        <v>1.1586635813877175</v>
      </c>
      <c r="AK38" s="9">
        <f t="shared" si="40"/>
        <v>1.3828572105109425</v>
      </c>
      <c r="AL38" s="9">
        <f t="shared" si="41"/>
        <v>1.6732614413657003</v>
      </c>
      <c r="AM38" s="9">
        <f t="shared" si="42"/>
        <v>1.1907426513948218</v>
      </c>
      <c r="AN38" s="9">
        <f t="shared" si="43"/>
        <v>1.2775878804015284</v>
      </c>
      <c r="AO38" s="9">
        <f t="shared" si="44"/>
        <v>0.42618353983211654</v>
      </c>
      <c r="AP38" s="9">
        <f t="shared" si="45"/>
        <v>0.43094897016463218</v>
      </c>
      <c r="AQ38" s="9">
        <f t="shared" si="46"/>
        <v>1.1654225195926031</v>
      </c>
      <c r="AR38" s="9">
        <f t="shared" si="47"/>
        <v>1.1727837940395527</v>
      </c>
      <c r="AS38" s="9">
        <f t="shared" si="48"/>
        <v>0.55158204002151434</v>
      </c>
      <c r="AT38" s="9">
        <f t="shared" si="49"/>
        <v>1.081168997607425</v>
      </c>
      <c r="AU38" s="9">
        <f t="shared" si="50"/>
        <v>0.84871927568355188</v>
      </c>
      <c r="AV38" s="9">
        <f t="shared" si="51"/>
        <v>1.191086850213176</v>
      </c>
      <c r="AW38" s="9">
        <f t="shared" si="52"/>
        <v>0.48778232077431621</v>
      </c>
      <c r="AY38" s="10" t="s">
        <v>127</v>
      </c>
      <c r="AZ38" s="10" t="s">
        <v>131</v>
      </c>
      <c r="BA38" s="14">
        <v>0.66796086947495426</v>
      </c>
      <c r="BB38" s="14">
        <v>0</v>
      </c>
      <c r="BC38" s="14">
        <v>0</v>
      </c>
      <c r="BD38" s="14">
        <v>-0.85017347120178488</v>
      </c>
      <c r="BE38" s="14">
        <v>0.46584954159684511</v>
      </c>
      <c r="BF38" s="14">
        <v>0</v>
      </c>
      <c r="BG38" s="14">
        <v>0.31656641600152735</v>
      </c>
      <c r="BI38" s="15">
        <v>1537.507084894771</v>
      </c>
      <c r="BJ38" s="16">
        <v>322.01623052325425</v>
      </c>
      <c r="BK38" s="14">
        <v>1.6949052584745414</v>
      </c>
      <c r="BM38" s="10" t="str">
        <f t="shared" si="73"/>
        <v>ARMA(3,0)</v>
      </c>
      <c r="BN38" s="18">
        <f t="shared" si="74"/>
        <v>1.6626308716955416</v>
      </c>
    </row>
    <row r="39" spans="1:66" ht="10.25" customHeight="1" x14ac:dyDescent="0.15">
      <c r="A39" s="8">
        <v>38442</v>
      </c>
      <c r="B39" s="6">
        <v>0.41666888470290875</v>
      </c>
      <c r="C39" s="9">
        <f t="shared" si="57"/>
        <v>0.57842217794348783</v>
      </c>
      <c r="D39" s="9">
        <f t="shared" si="58"/>
        <v>0.70033151053050946</v>
      </c>
      <c r="E39" s="9">
        <f t="shared" si="59"/>
        <v>0.78556415588585327</v>
      </c>
      <c r="F39" s="9">
        <f t="shared" si="64"/>
        <v>0.70971615283118716</v>
      </c>
      <c r="G39" s="9">
        <f t="shared" si="65"/>
        <v>0.57245087953189855</v>
      </c>
      <c r="H39" s="9">
        <f t="shared" si="62"/>
        <v>0.61909716189565134</v>
      </c>
      <c r="I39" s="9">
        <f t="shared" si="53"/>
        <v>0.66712262610531958</v>
      </c>
      <c r="J39" s="9">
        <f t="shared" si="60"/>
        <v>0.64679146639348539</v>
      </c>
      <c r="K39" s="9">
        <f t="shared" si="66"/>
        <v>0.91651602578921232</v>
      </c>
      <c r="L39" s="9">
        <f t="shared" si="67"/>
        <v>0.5869797590374759</v>
      </c>
      <c r="M39" s="9">
        <f t="shared" si="54"/>
        <v>0.87145833896441582</v>
      </c>
      <c r="N39" s="9">
        <f t="shared" si="68"/>
        <v>1.0013426389352476</v>
      </c>
      <c r="O39" s="9">
        <f t="shared" si="69"/>
        <v>0.56955727951780555</v>
      </c>
      <c r="P39" s="9">
        <f t="shared" si="63"/>
        <v>0.73110390445767348</v>
      </c>
      <c r="Q39" s="9">
        <f t="shared" si="61"/>
        <v>0.86908694532149844</v>
      </c>
      <c r="R39" s="5"/>
      <c r="S39" s="9">
        <f t="shared" si="55"/>
        <v>-0.16175329324057908</v>
      </c>
      <c r="T39" s="9">
        <f t="shared" si="24"/>
        <v>-0.28366262582760071</v>
      </c>
      <c r="U39" s="9">
        <f t="shared" si="25"/>
        <v>-0.36889527118294452</v>
      </c>
      <c r="V39" s="9">
        <f t="shared" si="26"/>
        <v>-0.29304726812827842</v>
      </c>
      <c r="W39" s="9">
        <f t="shared" si="27"/>
        <v>-0.1557819948289898</v>
      </c>
      <c r="X39" s="9">
        <f t="shared" si="28"/>
        <v>-0.20242827719274259</v>
      </c>
      <c r="Y39" s="9">
        <f t="shared" si="29"/>
        <v>-0.25045374140241083</v>
      </c>
      <c r="Z39" s="9">
        <f t="shared" si="30"/>
        <v>-0.23012258169057664</v>
      </c>
      <c r="AA39" s="9">
        <f t="shared" si="31"/>
        <v>-0.49984714108630357</v>
      </c>
      <c r="AB39" s="9">
        <f t="shared" si="32"/>
        <v>-0.17031087433456715</v>
      </c>
      <c r="AC39" s="9">
        <f t="shared" si="33"/>
        <v>-0.45478945426150708</v>
      </c>
      <c r="AD39" s="9">
        <f t="shared" si="34"/>
        <v>-0.5846737542323388</v>
      </c>
      <c r="AE39" s="9">
        <f t="shared" si="35"/>
        <v>-0.1528883948148968</v>
      </c>
      <c r="AF39" s="9">
        <f t="shared" si="36"/>
        <v>-0.31443501975476473</v>
      </c>
      <c r="AG39" s="9">
        <f t="shared" si="37"/>
        <v>-0.45241806061858969</v>
      </c>
      <c r="AH39" s="5"/>
      <c r="AI39" s="9">
        <f t="shared" si="56"/>
        <v>2.6164127874172764E-2</v>
      </c>
      <c r="AJ39" s="9">
        <f t="shared" si="39"/>
        <v>8.0464485291409413E-2</v>
      </c>
      <c r="AK39" s="9">
        <f t="shared" si="40"/>
        <v>0.13608372110113817</v>
      </c>
      <c r="AL39" s="9">
        <f t="shared" si="41"/>
        <v>8.5876701357447099E-2</v>
      </c>
      <c r="AM39" s="9">
        <f t="shared" si="42"/>
        <v>2.4268029912899405E-2</v>
      </c>
      <c r="AN39" s="9">
        <f t="shared" si="43"/>
        <v>4.0977207407221827E-2</v>
      </c>
      <c r="AO39" s="9">
        <f t="shared" si="44"/>
        <v>6.272707658246568E-2</v>
      </c>
      <c r="AP39" s="9">
        <f t="shared" si="45"/>
        <v>5.2956402603936123E-2</v>
      </c>
      <c r="AQ39" s="9">
        <f t="shared" si="46"/>
        <v>0.24984716445215108</v>
      </c>
      <c r="AR39" s="9">
        <f t="shared" si="47"/>
        <v>2.9005793916604725E-2</v>
      </c>
      <c r="AS39" s="9">
        <f t="shared" si="48"/>
        <v>0.20683344770747944</v>
      </c>
      <c r="AT39" s="9">
        <f t="shared" si="49"/>
        <v>0.34184339888813731</v>
      </c>
      <c r="AU39" s="9">
        <f t="shared" si="50"/>
        <v>2.3374861269075762E-2</v>
      </c>
      <c r="AV39" s="9">
        <f t="shared" si="51"/>
        <v>9.8869381648179294E-2</v>
      </c>
      <c r="AW39" s="9">
        <f t="shared" si="52"/>
        <v>0.20468210157388589</v>
      </c>
      <c r="AY39" s="10" t="s">
        <v>128</v>
      </c>
      <c r="AZ39" s="10" t="s">
        <v>132</v>
      </c>
      <c r="BA39" s="14">
        <v>0.46154789792379242</v>
      </c>
      <c r="BB39" s="14">
        <v>8.4780956675594876E-2</v>
      </c>
      <c r="BC39" s="14">
        <v>0.21512867145857303</v>
      </c>
      <c r="BD39" s="14">
        <v>-0.39102909074319497</v>
      </c>
      <c r="BE39" s="14">
        <v>0</v>
      </c>
      <c r="BF39" s="14">
        <v>0</v>
      </c>
      <c r="BG39" s="14">
        <v>0.18751389439661942</v>
      </c>
      <c r="BI39" s="15">
        <v>1847.5302441081442</v>
      </c>
      <c r="BJ39" s="16">
        <v>348.46203014665889</v>
      </c>
      <c r="BK39" s="14">
        <v>1.527261987357879</v>
      </c>
      <c r="BM39" s="10" t="str">
        <f t="shared" si="73"/>
        <v>ARMA(1,0)</v>
      </c>
      <c r="BN39" s="18">
        <f t="shared" si="74"/>
        <v>1.6541039973567186</v>
      </c>
    </row>
    <row r="40" spans="1:66" ht="10.25" customHeight="1" x14ac:dyDescent="0.15">
      <c r="A40" s="8">
        <v>38533</v>
      </c>
      <c r="B40" s="6">
        <v>1.020268678375591</v>
      </c>
      <c r="C40" s="9">
        <f t="shared" si="57"/>
        <v>0.57834775149668216</v>
      </c>
      <c r="D40" s="9">
        <f t="shared" si="58"/>
        <v>0.55779442512779986</v>
      </c>
      <c r="E40" s="9">
        <f t="shared" si="59"/>
        <v>0.36534161071787519</v>
      </c>
      <c r="F40" s="9">
        <f t="shared" si="64"/>
        <v>0.51029087018551733</v>
      </c>
      <c r="G40" s="9">
        <f t="shared" si="65"/>
        <v>0.56857421104746342</v>
      </c>
      <c r="H40" s="9">
        <f t="shared" si="62"/>
        <v>0.5304269223010476</v>
      </c>
      <c r="I40" s="9">
        <f t="shared" si="53"/>
        <v>0.72336389553713853</v>
      </c>
      <c r="J40" s="9">
        <f t="shared" si="60"/>
        <v>0.72155191581425426</v>
      </c>
      <c r="K40" s="9">
        <f t="shared" si="66"/>
        <v>0.37628748029434933</v>
      </c>
      <c r="L40" s="9">
        <f t="shared" si="67"/>
        <v>0.59702007651679811</v>
      </c>
      <c r="M40" s="9">
        <f t="shared" si="54"/>
        <v>0.66962514033079945</v>
      </c>
      <c r="N40" s="9">
        <f t="shared" si="68"/>
        <v>0.45326352291482191</v>
      </c>
      <c r="O40" s="9">
        <f t="shared" si="69"/>
        <v>1.208357456974088</v>
      </c>
      <c r="P40" s="9">
        <f t="shared" si="63"/>
        <v>0.54084950039035617</v>
      </c>
      <c r="Q40" s="9">
        <f t="shared" si="61"/>
        <v>0.48477403334778257</v>
      </c>
      <c r="R40" s="5"/>
      <c r="S40" s="9">
        <f t="shared" si="55"/>
        <v>0.44192092687890883</v>
      </c>
      <c r="T40" s="9">
        <f t="shared" si="24"/>
        <v>0.46247425324779112</v>
      </c>
      <c r="U40" s="9">
        <f t="shared" si="25"/>
        <v>0.6549270676577158</v>
      </c>
      <c r="V40" s="9">
        <f t="shared" si="26"/>
        <v>0.50997780819007366</v>
      </c>
      <c r="W40" s="9">
        <f t="shared" si="27"/>
        <v>0.45169446732812757</v>
      </c>
      <c r="X40" s="9">
        <f t="shared" si="28"/>
        <v>0.48984175607454339</v>
      </c>
      <c r="Y40" s="9">
        <f t="shared" si="29"/>
        <v>0.29690478283845245</v>
      </c>
      <c r="Z40" s="9">
        <f t="shared" si="30"/>
        <v>0.29871676256133672</v>
      </c>
      <c r="AA40" s="9">
        <f t="shared" si="31"/>
        <v>0.64398119808124166</v>
      </c>
      <c r="AB40" s="9">
        <f t="shared" si="32"/>
        <v>0.42324860185879287</v>
      </c>
      <c r="AC40" s="9">
        <f t="shared" si="33"/>
        <v>0.35064353804479154</v>
      </c>
      <c r="AD40" s="9">
        <f t="shared" si="34"/>
        <v>0.56700515546076913</v>
      </c>
      <c r="AE40" s="9">
        <f t="shared" si="35"/>
        <v>-0.18808877859849704</v>
      </c>
      <c r="AF40" s="9">
        <f t="shared" si="36"/>
        <v>0.47941917798523481</v>
      </c>
      <c r="AG40" s="9">
        <f t="shared" si="37"/>
        <v>0.53549464502780841</v>
      </c>
      <c r="AH40" s="5"/>
      <c r="AI40" s="9">
        <f t="shared" si="56"/>
        <v>0.19529410561351387</v>
      </c>
      <c r="AJ40" s="9">
        <f t="shared" si="39"/>
        <v>0.21388243491710204</v>
      </c>
      <c r="AK40" s="9">
        <f t="shared" si="40"/>
        <v>0.42892946395073422</v>
      </c>
      <c r="AL40" s="9">
        <f t="shared" si="41"/>
        <v>0.26007736484635158</v>
      </c>
      <c r="AM40" s="9">
        <f t="shared" si="42"/>
        <v>0.20402789181484091</v>
      </c>
      <c r="AN40" s="9">
        <f t="shared" si="43"/>
        <v>0.23994494599419247</v>
      </c>
      <c r="AO40" s="9">
        <f t="shared" si="44"/>
        <v>8.8152450072348607E-2</v>
      </c>
      <c r="AP40" s="9">
        <f t="shared" si="45"/>
        <v>8.9231704235126025E-2</v>
      </c>
      <c r="AQ40" s="9">
        <f t="shared" si="46"/>
        <v>0.41471178348215143</v>
      </c>
      <c r="AR40" s="9">
        <f t="shared" si="47"/>
        <v>0.17913937897542295</v>
      </c>
      <c r="AS40" s="9">
        <f t="shared" si="48"/>
        <v>0.12295089077256917</v>
      </c>
      <c r="AT40" s="9">
        <f t="shared" si="49"/>
        <v>0.32149484631909098</v>
      </c>
      <c r="AU40" s="9">
        <f t="shared" si="50"/>
        <v>3.5377388634674441E-2</v>
      </c>
      <c r="AV40" s="9">
        <f t="shared" si="51"/>
        <v>0.22984274822003825</v>
      </c>
      <c r="AW40" s="9">
        <f t="shared" si="52"/>
        <v>0.28675451485345854</v>
      </c>
      <c r="AY40" s="10" t="s">
        <v>149</v>
      </c>
      <c r="AZ40" s="10" t="s">
        <v>153</v>
      </c>
      <c r="BA40" s="14">
        <v>0.91663777770297583</v>
      </c>
      <c r="BB40" s="14">
        <v>-1.141863197857705</v>
      </c>
      <c r="BC40" s="14">
        <v>0.37362837307241298</v>
      </c>
      <c r="BD40" s="14">
        <v>0</v>
      </c>
      <c r="BE40" s="14">
        <v>0</v>
      </c>
      <c r="BF40" s="14">
        <v>0</v>
      </c>
      <c r="BG40" s="14">
        <v>0.82637105301736802</v>
      </c>
      <c r="BI40" s="15">
        <v>2435.3839676160919</v>
      </c>
      <c r="BJ40" s="16">
        <v>376.28939858990054</v>
      </c>
      <c r="BK40" s="14">
        <v>1.6626308716955416</v>
      </c>
      <c r="BM40" s="10" t="str">
        <f t="shared" si="73"/>
        <v>ARMA(1,3)</v>
      </c>
      <c r="BN40" s="18">
        <f t="shared" si="74"/>
        <v>1.6539769137744396</v>
      </c>
    </row>
    <row r="41" spans="1:66" ht="10.25" customHeight="1" x14ac:dyDescent="0.15">
      <c r="A41" s="8">
        <v>38625</v>
      </c>
      <c r="B41" s="6">
        <v>0.51154173728829022</v>
      </c>
      <c r="C41" s="9">
        <f t="shared" si="57"/>
        <v>0.57840331503517395</v>
      </c>
      <c r="D41" s="9">
        <f t="shared" si="58"/>
        <v>0.63599024278819449</v>
      </c>
      <c r="E41" s="9">
        <f t="shared" si="59"/>
        <v>0.82378442061467616</v>
      </c>
      <c r="F41" s="9">
        <f t="shared" si="64"/>
        <v>0.44303850577192327</v>
      </c>
      <c r="G41" s="9">
        <f t="shared" si="65"/>
        <v>0.58080204838643712</v>
      </c>
      <c r="H41" s="9">
        <f t="shared" si="62"/>
        <v>0.60322638479019797</v>
      </c>
      <c r="I41" s="9">
        <f t="shared" si="53"/>
        <v>0.54244014338300728</v>
      </c>
      <c r="J41" s="9">
        <f t="shared" si="60"/>
        <v>0.53870212061388023</v>
      </c>
      <c r="K41" s="9">
        <f t="shared" si="66"/>
        <v>1.035262449926716</v>
      </c>
      <c r="L41" s="9">
        <f t="shared" si="67"/>
        <v>0.58849215864538906</v>
      </c>
      <c r="M41" s="9">
        <f t="shared" si="54"/>
        <v>0.62157642442562511</v>
      </c>
      <c r="N41" s="9">
        <f t="shared" si="68"/>
        <v>1.0532844646309032</v>
      </c>
      <c r="O41" s="9">
        <f t="shared" si="69"/>
        <v>1.4569855436714726E-2</v>
      </c>
      <c r="P41" s="9">
        <f t="shared" si="63"/>
        <v>0.60921466946064595</v>
      </c>
      <c r="Q41" s="9">
        <f t="shared" si="61"/>
        <v>0.74063128938610479</v>
      </c>
      <c r="R41" s="5"/>
      <c r="S41" s="9">
        <f t="shared" si="55"/>
        <v>-6.6861577746883727E-2</v>
      </c>
      <c r="T41" s="9">
        <f t="shared" si="24"/>
        <v>-0.12444850549990427</v>
      </c>
      <c r="U41" s="9">
        <f t="shared" si="25"/>
        <v>-0.31224268332638594</v>
      </c>
      <c r="V41" s="9">
        <f t="shared" si="26"/>
        <v>6.8503231516366947E-2</v>
      </c>
      <c r="W41" s="9">
        <f t="shared" si="27"/>
        <v>-6.9260311098146898E-2</v>
      </c>
      <c r="X41" s="9">
        <f t="shared" si="28"/>
        <v>-9.1684647501907746E-2</v>
      </c>
      <c r="Y41" s="9">
        <f t="shared" si="29"/>
        <v>-3.0898406094717057E-2</v>
      </c>
      <c r="Z41" s="9">
        <f t="shared" si="30"/>
        <v>-2.716038332559001E-2</v>
      </c>
      <c r="AA41" s="9">
        <f t="shared" si="31"/>
        <v>-0.52372071263842579</v>
      </c>
      <c r="AB41" s="9">
        <f t="shared" si="32"/>
        <v>-7.6950421357098842E-2</v>
      </c>
      <c r="AC41" s="9">
        <f t="shared" si="33"/>
        <v>-0.11003468713733489</v>
      </c>
      <c r="AD41" s="9">
        <f t="shared" si="34"/>
        <v>-0.54174272734261297</v>
      </c>
      <c r="AE41" s="9">
        <f t="shared" si="35"/>
        <v>0.49697188185157548</v>
      </c>
      <c r="AF41" s="9">
        <f t="shared" si="36"/>
        <v>-9.7672932172355731E-2</v>
      </c>
      <c r="AG41" s="9">
        <f t="shared" si="37"/>
        <v>-0.22908955209781456</v>
      </c>
      <c r="AH41" s="5"/>
      <c r="AI41" s="9">
        <f t="shared" si="56"/>
        <v>4.4704705788025769E-3</v>
      </c>
      <c r="AJ41" s="9">
        <f t="shared" si="39"/>
        <v>1.5487430521159704E-2</v>
      </c>
      <c r="AK41" s="9">
        <f t="shared" si="40"/>
        <v>9.7495493290861726E-2</v>
      </c>
      <c r="AL41" s="9">
        <f t="shared" si="41"/>
        <v>4.6926927281849698E-3</v>
      </c>
      <c r="AM41" s="9">
        <f t="shared" si="42"/>
        <v>4.79699069341209E-3</v>
      </c>
      <c r="AN41" s="9">
        <f t="shared" si="43"/>
        <v>8.4060745875490783E-3</v>
      </c>
      <c r="AO41" s="9">
        <f t="shared" si="44"/>
        <v>9.547114991940482E-4</v>
      </c>
      <c r="AP41" s="9">
        <f t="shared" si="45"/>
        <v>7.3768642239298787E-4</v>
      </c>
      <c r="AQ41" s="9">
        <f t="shared" si="46"/>
        <v>0.27428338484650056</v>
      </c>
      <c r="AR41" s="9">
        <f t="shared" si="47"/>
        <v>5.9213673470350538E-3</v>
      </c>
      <c r="AS41" s="9">
        <f t="shared" si="48"/>
        <v>1.2107632373411172E-2</v>
      </c>
      <c r="AT41" s="9">
        <f t="shared" si="49"/>
        <v>0.29348518262861273</v>
      </c>
      <c r="AU41" s="9">
        <f t="shared" si="50"/>
        <v>0.2469810513510963</v>
      </c>
      <c r="AV41" s="9">
        <f t="shared" si="51"/>
        <v>9.5400016791456037E-3</v>
      </c>
      <c r="AW41" s="9">
        <f t="shared" si="52"/>
        <v>5.2482022880377295E-2</v>
      </c>
      <c r="AY41" s="10" t="s">
        <v>150</v>
      </c>
      <c r="AZ41" s="10" t="s">
        <v>154</v>
      </c>
      <c r="BA41" s="14">
        <v>0</v>
      </c>
      <c r="BB41" s="14">
        <v>0</v>
      </c>
      <c r="BC41" s="14">
        <v>0</v>
      </c>
      <c r="BD41" s="14">
        <v>-0.60010613892135012</v>
      </c>
      <c r="BE41" s="14">
        <v>-0.22783398565646906</v>
      </c>
      <c r="BF41" s="14">
        <v>5.8852998283434169E-2</v>
      </c>
      <c r="BG41" s="14">
        <v>1.0084867742697514</v>
      </c>
      <c r="BI41" s="15">
        <v>1836.0312473678125</v>
      </c>
      <c r="BJ41" s="16">
        <v>342.95462046621088</v>
      </c>
      <c r="BK41" s="14">
        <v>1.6681237272439726</v>
      </c>
      <c r="BM41" s="10" t="str">
        <f t="shared" si="73"/>
        <v>ARMA(2,2)</v>
      </c>
      <c r="BN41" s="18">
        <f t="shared" si="74"/>
        <v>1.6367270059278434</v>
      </c>
    </row>
    <row r="42" spans="1:66" ht="10.25" customHeight="1" x14ac:dyDescent="0.15">
      <c r="A42" s="8">
        <v>38717</v>
      </c>
      <c r="B42" s="6">
        <v>0.80760653779419211</v>
      </c>
      <c r="C42" s="9">
        <f t="shared" si="57"/>
        <v>0.57836183372117556</v>
      </c>
      <c r="D42" s="9">
        <f t="shared" si="58"/>
        <v>0.574480208489068</v>
      </c>
      <c r="E42" s="9">
        <f t="shared" si="59"/>
        <v>0.34248874408801855</v>
      </c>
      <c r="F42" s="9">
        <f t="shared" si="64"/>
        <v>0.69867915400134795</v>
      </c>
      <c r="G42" s="9">
        <f t="shared" si="65"/>
        <v>0.56795500631593732</v>
      </c>
      <c r="H42" s="9">
        <f t="shared" si="62"/>
        <v>0.56259289134915136</v>
      </c>
      <c r="I42" s="9">
        <f t="shared" si="53"/>
        <v>0.65231395668160008</v>
      </c>
      <c r="J42" s="9">
        <f t="shared" si="60"/>
        <v>0.6537356679367976</v>
      </c>
      <c r="K42" s="9">
        <f t="shared" si="66"/>
        <v>0.28515508604027506</v>
      </c>
      <c r="L42" s="9">
        <f t="shared" si="67"/>
        <v>0.59084160480866377</v>
      </c>
      <c r="M42" s="9">
        <f t="shared" si="54"/>
        <v>0.57745619698611828</v>
      </c>
      <c r="N42" s="9">
        <f t="shared" si="68"/>
        <v>0.37927084498708086</v>
      </c>
      <c r="O42" s="9">
        <f t="shared" si="69"/>
        <v>1.1752985937571325</v>
      </c>
      <c r="P42" s="9">
        <f t="shared" si="63"/>
        <v>0.5543363819732583</v>
      </c>
      <c r="Q42" s="9">
        <f t="shared" si="61"/>
        <v>0.38560679695547362</v>
      </c>
      <c r="R42" s="5"/>
      <c r="S42" s="9">
        <f t="shared" si="55"/>
        <v>0.22924470407301656</v>
      </c>
      <c r="T42" s="9">
        <f t="shared" si="24"/>
        <v>0.23312632930512411</v>
      </c>
      <c r="U42" s="9">
        <f t="shared" si="25"/>
        <v>0.46511779370617357</v>
      </c>
      <c r="V42" s="9">
        <f t="shared" si="26"/>
        <v>0.10892738379284417</v>
      </c>
      <c r="W42" s="9">
        <f t="shared" si="27"/>
        <v>0.2396515314782548</v>
      </c>
      <c r="X42" s="9">
        <f t="shared" si="28"/>
        <v>0.24501364644504076</v>
      </c>
      <c r="Y42" s="9">
        <f t="shared" si="29"/>
        <v>0.15529258111259203</v>
      </c>
      <c r="Z42" s="9">
        <f t="shared" si="30"/>
        <v>0.15387086985739451</v>
      </c>
      <c r="AA42" s="9">
        <f t="shared" si="31"/>
        <v>0.52245145175391705</v>
      </c>
      <c r="AB42" s="9">
        <f t="shared" si="32"/>
        <v>0.21676493298552835</v>
      </c>
      <c r="AC42" s="9">
        <f t="shared" si="33"/>
        <v>0.23015034080807384</v>
      </c>
      <c r="AD42" s="9">
        <f t="shared" si="34"/>
        <v>0.42833569280711126</v>
      </c>
      <c r="AE42" s="9">
        <f t="shared" si="35"/>
        <v>-0.36769205596294041</v>
      </c>
      <c r="AF42" s="9">
        <f t="shared" si="36"/>
        <v>0.25327015582093382</v>
      </c>
      <c r="AG42" s="9">
        <f t="shared" si="37"/>
        <v>0.4219997408387185</v>
      </c>
      <c r="AH42" s="5"/>
      <c r="AI42" s="9">
        <f t="shared" si="56"/>
        <v>5.2553134345524936E-2</v>
      </c>
      <c r="AJ42" s="9">
        <f t="shared" si="39"/>
        <v>5.4347885415281169E-2</v>
      </c>
      <c r="AK42" s="9">
        <f t="shared" si="40"/>
        <v>0.21633456202209864</v>
      </c>
      <c r="AL42" s="9">
        <f t="shared" si="41"/>
        <v>1.1865174939953571E-2</v>
      </c>
      <c r="AM42" s="9">
        <f t="shared" si="42"/>
        <v>5.7432856539872949E-2</v>
      </c>
      <c r="AN42" s="9">
        <f t="shared" si="43"/>
        <v>6.0031686944295434E-2</v>
      </c>
      <c r="AO42" s="9">
        <f t="shared" si="44"/>
        <v>2.4115785748610976E-2</v>
      </c>
      <c r="AP42" s="9">
        <f t="shared" si="45"/>
        <v>2.3676244590671237E-2</v>
      </c>
      <c r="AQ42" s="9">
        <f t="shared" si="46"/>
        <v>0.27295551943977553</v>
      </c>
      <c r="AR42" s="9">
        <f t="shared" si="47"/>
        <v>4.6987036172220595E-2</v>
      </c>
      <c r="AS42" s="9">
        <f t="shared" si="48"/>
        <v>5.2969179374072535E-2</v>
      </c>
      <c r="AT42" s="9">
        <f t="shared" si="49"/>
        <v>0.18347146573254799</v>
      </c>
      <c r="AU42" s="9">
        <f t="shared" si="50"/>
        <v>0.13519744801825409</v>
      </c>
      <c r="AV42" s="9">
        <f t="shared" si="51"/>
        <v>6.4145771829560091E-2</v>
      </c>
      <c r="AW42" s="9">
        <f t="shared" si="52"/>
        <v>0.17808378126794558</v>
      </c>
      <c r="AY42" s="10" t="s">
        <v>151</v>
      </c>
      <c r="AZ42" s="10" t="s">
        <v>133</v>
      </c>
      <c r="BA42" s="14">
        <v>0.35118929014046751</v>
      </c>
      <c r="BB42" s="14">
        <v>0.30020074634488492</v>
      </c>
      <c r="BC42" s="14">
        <v>7.7157605686906147E-2</v>
      </c>
      <c r="BD42" s="14">
        <v>-0.2253548038326324</v>
      </c>
      <c r="BE42" s="14">
        <v>-0.21292115095115272</v>
      </c>
      <c r="BF42" s="14">
        <v>0</v>
      </c>
      <c r="BG42" s="14">
        <v>0.23374190694422275</v>
      </c>
      <c r="BI42" s="15">
        <v>2035.729294316204</v>
      </c>
      <c r="BJ42" s="16">
        <v>364.67923235262725</v>
      </c>
      <c r="BK42" s="14">
        <v>1.6020645874667063</v>
      </c>
      <c r="BM42" s="10" t="str">
        <f t="shared" si="73"/>
        <v>ARMA(3,2)</v>
      </c>
      <c r="BN42" s="18">
        <f t="shared" si="74"/>
        <v>1.6020645874667063</v>
      </c>
    </row>
    <row r="43" spans="1:66" ht="10.25" customHeight="1" x14ac:dyDescent="0.15">
      <c r="A43" s="8">
        <v>38807</v>
      </c>
      <c r="B43" s="6">
        <v>1.9010640806363055</v>
      </c>
      <c r="C43" s="9">
        <f t="shared" si="57"/>
        <v>0.57839280186067388</v>
      </c>
      <c r="D43" s="9">
        <f t="shared" si="58"/>
        <v>0.61195437357390958</v>
      </c>
      <c r="E43" s="9">
        <f t="shared" si="59"/>
        <v>0.81782963721886759</v>
      </c>
      <c r="F43" s="9">
        <f t="shared" si="64"/>
        <v>0.411964402097593</v>
      </c>
      <c r="G43" s="9">
        <f t="shared" si="65"/>
        <v>0.57548876413426764</v>
      </c>
      <c r="H43" s="9">
        <f t="shared" si="62"/>
        <v>0.56840390927784434</v>
      </c>
      <c r="I43" s="9">
        <f t="shared" si="53"/>
        <v>0.58588595096990947</v>
      </c>
      <c r="J43" s="9">
        <f t="shared" si="60"/>
        <v>0.5815813780368092</v>
      </c>
      <c r="K43" s="9">
        <f t="shared" si="66"/>
        <v>1.0353935239261924</v>
      </c>
      <c r="L43" s="9">
        <f t="shared" si="67"/>
        <v>0.59425881518694901</v>
      </c>
      <c r="M43" s="9">
        <f t="shared" si="54"/>
        <v>0.62596511217786965</v>
      </c>
      <c r="N43" s="9">
        <f t="shared" si="68"/>
        <v>1.0141508032603201</v>
      </c>
      <c r="O43" s="9">
        <f t="shared" si="69"/>
        <v>0.47092689351118289</v>
      </c>
      <c r="P43" s="9">
        <f t="shared" si="63"/>
        <v>0.60188022262233798</v>
      </c>
      <c r="Q43" s="9">
        <f t="shared" si="61"/>
        <v>0.81696568770265143</v>
      </c>
      <c r="R43" s="5"/>
      <c r="S43" s="9">
        <f t="shared" si="55"/>
        <v>1.3226712787756316</v>
      </c>
      <c r="T43" s="9">
        <f t="shared" si="24"/>
        <v>1.289109707062396</v>
      </c>
      <c r="U43" s="9">
        <f t="shared" si="25"/>
        <v>1.0832344434174379</v>
      </c>
      <c r="V43" s="9">
        <f t="shared" si="26"/>
        <v>1.4890996785387125</v>
      </c>
      <c r="W43" s="9">
        <f t="shared" si="27"/>
        <v>1.3255753165020379</v>
      </c>
      <c r="X43" s="9">
        <f t="shared" si="28"/>
        <v>1.3326601713584612</v>
      </c>
      <c r="Y43" s="9">
        <f t="shared" si="29"/>
        <v>1.315178129666396</v>
      </c>
      <c r="Z43" s="9">
        <f t="shared" si="30"/>
        <v>1.3194827025994962</v>
      </c>
      <c r="AA43" s="9">
        <f t="shared" si="31"/>
        <v>0.86567055671011306</v>
      </c>
      <c r="AB43" s="9">
        <f t="shared" si="32"/>
        <v>1.3068052654493565</v>
      </c>
      <c r="AC43" s="9">
        <f t="shared" si="33"/>
        <v>1.275098968458436</v>
      </c>
      <c r="AD43" s="9">
        <f t="shared" si="34"/>
        <v>0.88691327737598535</v>
      </c>
      <c r="AE43" s="9">
        <f t="shared" si="35"/>
        <v>1.4301371871251227</v>
      </c>
      <c r="AF43" s="9">
        <f t="shared" si="36"/>
        <v>1.2991838580139676</v>
      </c>
      <c r="AG43" s="9">
        <f t="shared" si="37"/>
        <v>1.0840983929336541</v>
      </c>
      <c r="AH43" s="5"/>
      <c r="AI43" s="9">
        <f t="shared" si="56"/>
        <v>1.7494593116979646</v>
      </c>
      <c r="AJ43" s="9">
        <f t="shared" si="39"/>
        <v>1.6618038368424966</v>
      </c>
      <c r="AK43" s="9">
        <f t="shared" si="40"/>
        <v>1.1733968594058866</v>
      </c>
      <c r="AL43" s="9">
        <f t="shared" si="41"/>
        <v>2.2174178526240969</v>
      </c>
      <c r="AM43" s="9">
        <f t="shared" si="42"/>
        <v>1.7571499197194778</v>
      </c>
      <c r="AN43" s="9">
        <f t="shared" si="43"/>
        <v>1.7759831323251631</v>
      </c>
      <c r="AO43" s="9">
        <f t="shared" si="44"/>
        <v>1.7296935127527997</v>
      </c>
      <c r="AP43" s="9">
        <f t="shared" si="45"/>
        <v>1.7410346024592704</v>
      </c>
      <c r="AQ43" s="9">
        <f t="shared" si="46"/>
        <v>0.74938551275479703</v>
      </c>
      <c r="AR43" s="9">
        <f t="shared" si="47"/>
        <v>1.707740001806163</v>
      </c>
      <c r="AS43" s="9">
        <f t="shared" si="48"/>
        <v>1.6258773793637675</v>
      </c>
      <c r="AT43" s="9">
        <f t="shared" si="49"/>
        <v>0.78661516158581157</v>
      </c>
      <c r="AU43" s="9">
        <f t="shared" si="50"/>
        <v>2.0452923739981581</v>
      </c>
      <c r="AV43" s="9">
        <f t="shared" si="51"/>
        <v>1.6878786969240571</v>
      </c>
      <c r="AW43" s="9">
        <f t="shared" si="52"/>
        <v>1.1752693255613313</v>
      </c>
      <c r="AY43" s="10" t="s">
        <v>155</v>
      </c>
      <c r="AZ43" s="10" t="s">
        <v>136</v>
      </c>
      <c r="BA43" s="14">
        <v>-0.13585578435103829</v>
      </c>
      <c r="BB43" s="14">
        <v>-3.7730665112273715E-2</v>
      </c>
      <c r="BC43" s="14">
        <v>3.7190764123381639E-2</v>
      </c>
      <c r="BD43" s="14">
        <v>-0.39790263329316278</v>
      </c>
      <c r="BE43" s="14">
        <v>-0.17248715600522666</v>
      </c>
      <c r="BF43" s="14">
        <v>6.0552703194042094E-2</v>
      </c>
      <c r="BG43" s="14">
        <v>0.98806308129111975</v>
      </c>
      <c r="BI43" s="15">
        <v>2017.2928604452882</v>
      </c>
      <c r="BJ43" s="16">
        <v>368.37639005382442</v>
      </c>
      <c r="BK43" s="14">
        <v>1.4982563439610315</v>
      </c>
      <c r="BM43" s="48" t="str">
        <f t="shared" si="73"/>
        <v>ARMA(2,3)</v>
      </c>
      <c r="BN43" s="18">
        <f t="shared" si="74"/>
        <v>1.5452579987567789</v>
      </c>
    </row>
    <row r="44" spans="1:66" ht="10.25" customHeight="1" x14ac:dyDescent="0.15">
      <c r="A44" s="8">
        <v>38898</v>
      </c>
      <c r="B44" s="6">
        <v>0.49251626927186987</v>
      </c>
      <c r="C44" s="9">
        <f t="shared" si="57"/>
        <v>0.57836968239864284</v>
      </c>
      <c r="D44" s="9">
        <f t="shared" si="58"/>
        <v>0.72262238366053044</v>
      </c>
      <c r="E44" s="9">
        <f t="shared" si="59"/>
        <v>0.52273261842242547</v>
      </c>
      <c r="F44" s="9">
        <f t="shared" si="64"/>
        <v>0.70758629584938348</v>
      </c>
      <c r="G44" s="9">
        <f t="shared" si="65"/>
        <v>0.57522210750352243</v>
      </c>
      <c r="H44" s="9">
        <f t="shared" si="62"/>
        <v>0.61378862598886452</v>
      </c>
      <c r="I44" s="9">
        <f t="shared" si="53"/>
        <v>0.70194108727428772</v>
      </c>
      <c r="J44" s="9">
        <f t="shared" si="60"/>
        <v>0.69612809082093385</v>
      </c>
      <c r="K44" s="9">
        <f t="shared" si="66"/>
        <v>0.50750835312275089</v>
      </c>
      <c r="L44" s="9">
        <f t="shared" si="67"/>
        <v>0.58882195920464575</v>
      </c>
      <c r="M44" s="9">
        <f t="shared" si="54"/>
        <v>0.7491151026710634</v>
      </c>
      <c r="N44" s="9">
        <f t="shared" si="68"/>
        <v>0.64936568320992061</v>
      </c>
      <c r="O44" s="9">
        <f t="shared" si="69"/>
        <v>0.75208317739742969</v>
      </c>
      <c r="P44" s="9">
        <f t="shared" si="63"/>
        <v>0.81313878697606401</v>
      </c>
      <c r="Q44" s="9">
        <f t="shared" si="61"/>
        <v>0.59134083933984449</v>
      </c>
      <c r="R44" s="5"/>
      <c r="S44" s="9">
        <f t="shared" si="55"/>
        <v>-8.5853413126772971E-2</v>
      </c>
      <c r="T44" s="9">
        <f t="shared" si="24"/>
        <v>-0.23010611438866058</v>
      </c>
      <c r="U44" s="9">
        <f t="shared" si="25"/>
        <v>-3.0216349150555599E-2</v>
      </c>
      <c r="V44" s="9">
        <f t="shared" si="26"/>
        <v>-0.21507002657751362</v>
      </c>
      <c r="W44" s="9">
        <f t="shared" si="27"/>
        <v>-8.2705838231652562E-2</v>
      </c>
      <c r="X44" s="9">
        <f t="shared" si="28"/>
        <v>-0.12127235671699466</v>
      </c>
      <c r="Y44" s="9">
        <f t="shared" si="29"/>
        <v>-0.20942481800241786</v>
      </c>
      <c r="Z44" s="9">
        <f t="shared" si="30"/>
        <v>-0.20361182154906399</v>
      </c>
      <c r="AA44" s="9">
        <f t="shared" si="31"/>
        <v>-1.4992083850881022E-2</v>
      </c>
      <c r="AB44" s="9">
        <f t="shared" si="32"/>
        <v>-9.6305689932775884E-2</v>
      </c>
      <c r="AC44" s="9">
        <f t="shared" si="33"/>
        <v>-0.25659883339919354</v>
      </c>
      <c r="AD44" s="9">
        <f t="shared" si="34"/>
        <v>-0.15684941393805074</v>
      </c>
      <c r="AE44" s="9">
        <f t="shared" si="35"/>
        <v>-0.25956690812555983</v>
      </c>
      <c r="AF44" s="9">
        <f t="shared" si="36"/>
        <v>-0.32062251770419414</v>
      </c>
      <c r="AG44" s="9">
        <f t="shared" si="37"/>
        <v>-9.8824570067974626E-2</v>
      </c>
      <c r="AH44" s="5"/>
      <c r="AI44" s="9">
        <f t="shared" si="56"/>
        <v>7.3708085455163538E-3</v>
      </c>
      <c r="AJ44" s="9">
        <f t="shared" si="39"/>
        <v>5.2948823879047348E-2</v>
      </c>
      <c r="AK44" s="9">
        <f t="shared" si="40"/>
        <v>9.1302775598828213E-4</v>
      </c>
      <c r="AL44" s="9">
        <f t="shared" si="41"/>
        <v>4.6255116332052412E-2</v>
      </c>
      <c r="AM44" s="9">
        <f t="shared" si="42"/>
        <v>6.8402556776002823E-3</v>
      </c>
      <c r="AN44" s="9">
        <f t="shared" si="43"/>
        <v>1.4706984503693999E-2</v>
      </c>
      <c r="AO44" s="9">
        <f t="shared" si="44"/>
        <v>4.3858754395345839E-2</v>
      </c>
      <c r="AP44" s="9">
        <f t="shared" si="45"/>
        <v>4.1457773874527877E-2</v>
      </c>
      <c r="AQ44" s="9">
        <f t="shared" si="46"/>
        <v>2.2476257819184752E-4</v>
      </c>
      <c r="AR44" s="9">
        <f t="shared" si="47"/>
        <v>9.2747859134279711E-3</v>
      </c>
      <c r="AS44" s="9">
        <f t="shared" si="48"/>
        <v>6.5842961301827083E-2</v>
      </c>
      <c r="AT44" s="9">
        <f t="shared" si="49"/>
        <v>2.4601738652709985E-2</v>
      </c>
      <c r="AU44" s="9">
        <f t="shared" si="50"/>
        <v>6.737497979386281E-2</v>
      </c>
      <c r="AV44" s="9">
        <f t="shared" si="51"/>
        <v>0.10279879885897629</v>
      </c>
      <c r="AW44" s="9">
        <f t="shared" si="52"/>
        <v>9.7662956491200263E-3</v>
      </c>
      <c r="AY44" s="10" t="s">
        <v>156</v>
      </c>
      <c r="AZ44" s="10" t="s">
        <v>134</v>
      </c>
      <c r="BA44" s="14">
        <v>-0.13072322273885087</v>
      </c>
      <c r="BB44" s="14">
        <v>-0.56212605844663766</v>
      </c>
      <c r="BC44" s="14">
        <v>0</v>
      </c>
      <c r="BD44" s="14">
        <v>6.3239537681198305E-2</v>
      </c>
      <c r="BE44" s="14">
        <v>-0.16907420653350053</v>
      </c>
      <c r="BF44" s="14">
        <v>7.3334325896216551E-2</v>
      </c>
      <c r="BG44" s="14">
        <v>1.0341008103727416</v>
      </c>
      <c r="BI44" s="15">
        <v>2599.2400408710255</v>
      </c>
      <c r="BJ44" s="16">
        <v>393.51429999857498</v>
      </c>
      <c r="BK44" s="14">
        <v>1.5452579987567789</v>
      </c>
      <c r="BM44" s="48" t="str">
        <f t="shared" si="73"/>
        <v>ARMA(3,1)</v>
      </c>
      <c r="BN44" s="18">
        <f t="shared" si="74"/>
        <v>1.527261987357879</v>
      </c>
    </row>
    <row r="45" spans="1:66" ht="10.25" customHeight="1" x14ac:dyDescent="0.15">
      <c r="A45" s="8">
        <v>38990</v>
      </c>
      <c r="B45" s="6">
        <v>1.3657813085235615</v>
      </c>
      <c r="C45" s="9">
        <f t="shared" si="57"/>
        <v>0.5783869423804584</v>
      </c>
      <c r="D45" s="9">
        <f t="shared" si="58"/>
        <v>0.56340719581432031</v>
      </c>
      <c r="E45" s="9">
        <f t="shared" si="59"/>
        <v>0.61412239380217448</v>
      </c>
      <c r="F45" s="9">
        <f t="shared" si="64"/>
        <v>0.51351736724164798</v>
      </c>
      <c r="G45" s="9">
        <f t="shared" si="65"/>
        <v>0.57005447440939694</v>
      </c>
      <c r="H45" s="9">
        <f t="shared" si="62"/>
        <v>0.52050022077992564</v>
      </c>
      <c r="I45" s="9">
        <f t="shared" si="53"/>
        <v>0.88340765766072404</v>
      </c>
      <c r="J45" s="9">
        <f t="shared" si="60"/>
        <v>0.87797230400508541</v>
      </c>
      <c r="K45" s="9">
        <f t="shared" si="66"/>
        <v>0.79261716792677361</v>
      </c>
      <c r="L45" s="9">
        <f t="shared" si="67"/>
        <v>0.59242468287569583</v>
      </c>
      <c r="M45" s="9">
        <f t="shared" si="54"/>
        <v>0.82247506227358369</v>
      </c>
      <c r="N45" s="9">
        <f t="shared" si="68"/>
        <v>0.79319404106750446</v>
      </c>
      <c r="O45" s="9">
        <f t="shared" si="69"/>
        <v>1.1569790587211684</v>
      </c>
      <c r="P45" s="9">
        <f t="shared" si="63"/>
        <v>0.53003332742452836</v>
      </c>
      <c r="Q45" s="9">
        <f t="shared" si="61"/>
        <v>0.96781009592821399</v>
      </c>
      <c r="R45" s="5"/>
      <c r="S45" s="9">
        <f t="shared" si="55"/>
        <v>0.7873943661431031</v>
      </c>
      <c r="T45" s="9">
        <f t="shared" si="24"/>
        <v>0.80237411270924119</v>
      </c>
      <c r="U45" s="9">
        <f t="shared" si="25"/>
        <v>0.75165891472138702</v>
      </c>
      <c r="V45" s="9">
        <f t="shared" si="26"/>
        <v>0.85226394128191352</v>
      </c>
      <c r="W45" s="9">
        <f t="shared" si="27"/>
        <v>0.79572683411416456</v>
      </c>
      <c r="X45" s="9">
        <f t="shared" si="28"/>
        <v>0.84528108774363586</v>
      </c>
      <c r="Y45" s="9">
        <f t="shared" si="29"/>
        <v>0.48237365086283746</v>
      </c>
      <c r="Z45" s="9">
        <f t="shared" si="30"/>
        <v>0.48780900451847609</v>
      </c>
      <c r="AA45" s="9">
        <f t="shared" si="31"/>
        <v>0.57316414059678789</v>
      </c>
      <c r="AB45" s="9">
        <f t="shared" si="32"/>
        <v>0.77335662564786567</v>
      </c>
      <c r="AC45" s="9">
        <f t="shared" si="33"/>
        <v>0.54330624624997781</v>
      </c>
      <c r="AD45" s="9">
        <f t="shared" si="34"/>
        <v>0.57258726745605704</v>
      </c>
      <c r="AE45" s="9">
        <f t="shared" si="35"/>
        <v>0.20880224980239315</v>
      </c>
      <c r="AF45" s="9">
        <f t="shared" si="36"/>
        <v>0.83574798109903314</v>
      </c>
      <c r="AG45" s="9">
        <f t="shared" si="37"/>
        <v>0.39797121259534751</v>
      </c>
      <c r="AH45" s="5"/>
      <c r="AI45" s="9">
        <f t="shared" si="56"/>
        <v>0.61998988783389908</v>
      </c>
      <c r="AJ45" s="9">
        <f t="shared" si="39"/>
        <v>0.64380421674594213</v>
      </c>
      <c r="AK45" s="9">
        <f t="shared" si="40"/>
        <v>0.56499112408013341</v>
      </c>
      <c r="AL45" s="9">
        <f t="shared" si="41"/>
        <v>0.72635382560938089</v>
      </c>
      <c r="AM45" s="9">
        <f t="shared" si="42"/>
        <v>0.63318119452935118</v>
      </c>
      <c r="AN45" s="9">
        <f t="shared" si="43"/>
        <v>0.7145001172970642</v>
      </c>
      <c r="AO45" s="9">
        <f t="shared" si="44"/>
        <v>0.2326843390467426</v>
      </c>
      <c r="AP45" s="9">
        <f t="shared" si="45"/>
        <v>0.23795762488930663</v>
      </c>
      <c r="AQ45" s="9">
        <f t="shared" si="46"/>
        <v>0.32851713206605443</v>
      </c>
      <c r="AR45" s="9">
        <f t="shared" si="47"/>
        <v>0.59808047043345303</v>
      </c>
      <c r="AS45" s="9">
        <f t="shared" si="48"/>
        <v>0.29518167721424154</v>
      </c>
      <c r="AT45" s="9">
        <f t="shared" si="49"/>
        <v>0.32785617885279417</v>
      </c>
      <c r="AU45" s="9">
        <f t="shared" si="50"/>
        <v>4.3598379522540989E-2</v>
      </c>
      <c r="AV45" s="9">
        <f t="shared" si="51"/>
        <v>0.69847468791110989</v>
      </c>
      <c r="AW45" s="9">
        <f t="shared" si="52"/>
        <v>0.15838108605461129</v>
      </c>
      <c r="AY45" s="10" t="s">
        <v>157</v>
      </c>
      <c r="AZ45" s="10" t="s">
        <v>135</v>
      </c>
      <c r="BA45" s="14">
        <v>0.55212882155019583</v>
      </c>
      <c r="BB45" s="14">
        <v>0</v>
      </c>
      <c r="BC45" s="14">
        <v>0</v>
      </c>
      <c r="BD45" s="14">
        <v>-0.60078562951486436</v>
      </c>
      <c r="BE45" s="14">
        <v>9.4699513152705E-2</v>
      </c>
      <c r="BF45" s="14">
        <v>0.12392421254728161</v>
      </c>
      <c r="BG45" s="14">
        <v>0.43730339366413667</v>
      </c>
      <c r="BI45" s="15">
        <v>1782.0598305842332</v>
      </c>
      <c r="BJ45" s="16">
        <v>344.2046089621461</v>
      </c>
      <c r="BK45" s="14">
        <v>1.6539769137744396</v>
      </c>
      <c r="BM45" s="48" t="str">
        <f t="shared" si="73"/>
        <v>ARMA(3,3)</v>
      </c>
      <c r="BN45" s="18">
        <f t="shared" si="74"/>
        <v>1.4982563439610315</v>
      </c>
    </row>
    <row r="46" spans="1:66" ht="10.25" customHeight="1" x14ac:dyDescent="0.15">
      <c r="A46" s="8">
        <v>39082</v>
      </c>
      <c r="B46" s="6">
        <v>0.78149724496936468</v>
      </c>
      <c r="C46" s="9">
        <f t="shared" si="57"/>
        <v>0.57837405683096443</v>
      </c>
      <c r="D46" s="9">
        <f t="shared" si="58"/>
        <v>0.67161205452088568</v>
      </c>
      <c r="E46" s="9">
        <f t="shared" si="59"/>
        <v>0.64080677773351469</v>
      </c>
      <c r="F46" s="9">
        <f t="shared" si="64"/>
        <v>0.48400172788575546</v>
      </c>
      <c r="G46" s="9">
        <f t="shared" si="65"/>
        <v>0.57687695174193299</v>
      </c>
      <c r="H46" s="9">
        <f t="shared" si="62"/>
        <v>0.62738852539412582</v>
      </c>
      <c r="I46" s="9">
        <f t="shared" si="53"/>
        <v>0.5636744270730909</v>
      </c>
      <c r="J46" s="9">
        <f t="shared" si="60"/>
        <v>0.54861007474110279</v>
      </c>
      <c r="K46" s="9">
        <f t="shared" si="66"/>
        <v>0.7440552335597751</v>
      </c>
      <c r="L46" s="9">
        <f t="shared" si="67"/>
        <v>0.59227524710981982</v>
      </c>
      <c r="M46" s="9">
        <f t="shared" si="54"/>
        <v>0.74622436259795744</v>
      </c>
      <c r="N46" s="9">
        <f t="shared" si="68"/>
        <v>0.8388499870205377</v>
      </c>
      <c r="O46" s="9">
        <f t="shared" si="69"/>
        <v>8.0398030370071004E-3</v>
      </c>
      <c r="P46" s="9">
        <f t="shared" si="63"/>
        <v>0.66851525178943183</v>
      </c>
      <c r="Q46" s="9">
        <f t="shared" si="61"/>
        <v>0.5934228951517031</v>
      </c>
      <c r="R46" s="5"/>
      <c r="S46" s="9">
        <f t="shared" si="55"/>
        <v>0.20312318813840025</v>
      </c>
      <c r="T46" s="9">
        <f t="shared" si="24"/>
        <v>0.109885190448479</v>
      </c>
      <c r="U46" s="9">
        <f t="shared" si="25"/>
        <v>0.14069046723584999</v>
      </c>
      <c r="V46" s="9">
        <f t="shared" si="26"/>
        <v>0.29749551708360922</v>
      </c>
      <c r="W46" s="9">
        <f t="shared" si="27"/>
        <v>0.20462029322743169</v>
      </c>
      <c r="X46" s="9">
        <f t="shared" si="28"/>
        <v>0.15410871957523886</v>
      </c>
      <c r="Y46" s="9">
        <f t="shared" si="29"/>
        <v>0.21782281789627378</v>
      </c>
      <c r="Z46" s="9">
        <f t="shared" si="30"/>
        <v>0.23288717022826189</v>
      </c>
      <c r="AA46" s="9">
        <f t="shared" si="31"/>
        <v>3.7442011409589582E-2</v>
      </c>
      <c r="AB46" s="9">
        <f t="shared" si="32"/>
        <v>0.18922199785954485</v>
      </c>
      <c r="AC46" s="9">
        <f t="shared" si="33"/>
        <v>3.5272882371407244E-2</v>
      </c>
      <c r="AD46" s="9">
        <f t="shared" si="34"/>
        <v>-5.7352742051173022E-2</v>
      </c>
      <c r="AE46" s="9">
        <f t="shared" si="35"/>
        <v>0.77345744193235755</v>
      </c>
      <c r="AF46" s="9">
        <f t="shared" si="36"/>
        <v>0.11298199317993285</v>
      </c>
      <c r="AG46" s="9">
        <f t="shared" si="37"/>
        <v>0.18807434981766158</v>
      </c>
      <c r="AH46" s="5"/>
      <c r="AI46" s="9">
        <f t="shared" si="56"/>
        <v>4.1259029559507943E-2</v>
      </c>
      <c r="AJ46" s="9">
        <f t="shared" si="39"/>
        <v>1.2074755079898501E-2</v>
      </c>
      <c r="AK46" s="9">
        <f t="shared" si="40"/>
        <v>1.979380757104178E-2</v>
      </c>
      <c r="AL46" s="9">
        <f t="shared" si="41"/>
        <v>8.8503582684844026E-2</v>
      </c>
      <c r="AM46" s="9">
        <f t="shared" si="42"/>
        <v>4.186946440048013E-2</v>
      </c>
      <c r="AN46" s="9">
        <f t="shared" si="43"/>
        <v>2.3749497449119611E-2</v>
      </c>
      <c r="AO46" s="9">
        <f t="shared" si="44"/>
        <v>4.7446779996273246E-2</v>
      </c>
      <c r="AP46" s="9">
        <f t="shared" si="45"/>
        <v>5.4236434056927428E-2</v>
      </c>
      <c r="AQ46" s="9">
        <f t="shared" si="46"/>
        <v>1.4019042183958364E-3</v>
      </c>
      <c r="AR46" s="9">
        <f t="shared" si="47"/>
        <v>3.5804964473957597E-2</v>
      </c>
      <c r="AS46" s="9">
        <f t="shared" si="48"/>
        <v>1.2441762307871319E-3</v>
      </c>
      <c r="AT46" s="9">
        <f t="shared" si="49"/>
        <v>3.2893370207883904E-3</v>
      </c>
      <c r="AU46" s="9">
        <f t="shared" si="50"/>
        <v>0.59823641448054621</v>
      </c>
      <c r="AV46" s="9">
        <f t="shared" si="51"/>
        <v>1.2764930782910393E-2</v>
      </c>
      <c r="AW46" s="9">
        <f t="shared" si="52"/>
        <v>3.5371961059336141E-2</v>
      </c>
    </row>
    <row r="47" spans="1:66" ht="10.25" customHeight="1" x14ac:dyDescent="0.15">
      <c r="A47" s="8">
        <v>39172</v>
      </c>
      <c r="B47" s="6">
        <v>2.808607444426503</v>
      </c>
      <c r="C47" s="9">
        <f t="shared" si="57"/>
        <v>0.57838367662011236</v>
      </c>
      <c r="D47" s="9">
        <f t="shared" si="58"/>
        <v>0.59903859110483282</v>
      </c>
      <c r="E47" s="9">
        <f t="shared" si="59"/>
        <v>0.5430056959605134</v>
      </c>
      <c r="F47" s="9">
        <f t="shared" si="64"/>
        <v>0.70136864190038406</v>
      </c>
      <c r="G47" s="9">
        <f t="shared" si="65"/>
        <v>0.57190637179170101</v>
      </c>
      <c r="H47" s="9">
        <f t="shared" si="62"/>
        <v>0.54405316753951682</v>
      </c>
      <c r="I47" s="9">
        <f t="shared" si="53"/>
        <v>0.71180992588644421</v>
      </c>
      <c r="J47" s="9">
        <f t="shared" si="60"/>
        <v>0.71331521884800619</v>
      </c>
      <c r="K47" s="9">
        <f t="shared" si="66"/>
        <v>0.61980476920095851</v>
      </c>
      <c r="L47" s="9">
        <f t="shared" si="67"/>
        <v>0.58989909829519016</v>
      </c>
      <c r="M47" s="9">
        <f t="shared" si="54"/>
        <v>0.65467615232567711</v>
      </c>
      <c r="N47" s="9">
        <f t="shared" si="68"/>
        <v>0.66658222141530776</v>
      </c>
      <c r="O47" s="9">
        <f t="shared" si="69"/>
        <v>1.5136939800419011</v>
      </c>
      <c r="P47" s="9">
        <f t="shared" si="63"/>
        <v>0.63360558120529886</v>
      </c>
      <c r="Q47" s="9">
        <f t="shared" si="61"/>
        <v>0.63176119646472795</v>
      </c>
      <c r="R47" s="5"/>
      <c r="S47" s="9">
        <f t="shared" si="55"/>
        <v>2.2302237678063905</v>
      </c>
      <c r="T47" s="9">
        <f t="shared" si="24"/>
        <v>2.2095688533216702</v>
      </c>
      <c r="U47" s="9">
        <f t="shared" si="25"/>
        <v>2.2656017484659898</v>
      </c>
      <c r="V47" s="9">
        <f t="shared" si="26"/>
        <v>2.1072388025261191</v>
      </c>
      <c r="W47" s="9">
        <f t="shared" si="27"/>
        <v>2.2367010726348022</v>
      </c>
      <c r="X47" s="9">
        <f t="shared" si="28"/>
        <v>2.2645542768869862</v>
      </c>
      <c r="Y47" s="9">
        <f t="shared" si="29"/>
        <v>2.0967975185400589</v>
      </c>
      <c r="Z47" s="9">
        <f t="shared" si="30"/>
        <v>2.0952922255784969</v>
      </c>
      <c r="AA47" s="9">
        <f t="shared" si="31"/>
        <v>2.1888026752255447</v>
      </c>
      <c r="AB47" s="9">
        <f t="shared" si="32"/>
        <v>2.2187083461313128</v>
      </c>
      <c r="AC47" s="9">
        <f t="shared" si="33"/>
        <v>2.1539312921008258</v>
      </c>
      <c r="AD47" s="9">
        <f t="shared" si="34"/>
        <v>2.1420252230111951</v>
      </c>
      <c r="AE47" s="9">
        <f t="shared" si="35"/>
        <v>1.2949134643846019</v>
      </c>
      <c r="AF47" s="9">
        <f t="shared" si="36"/>
        <v>2.1750018632212043</v>
      </c>
      <c r="AG47" s="9">
        <f t="shared" si="37"/>
        <v>2.1768462479617749</v>
      </c>
      <c r="AH47" s="5"/>
      <c r="AI47" s="9">
        <f t="shared" si="56"/>
        <v>4.9738980544885329</v>
      </c>
      <c r="AJ47" s="9">
        <f t="shared" si="39"/>
        <v>4.8821945175692401</v>
      </c>
      <c r="AK47" s="9">
        <f t="shared" si="40"/>
        <v>5.1329512826521499</v>
      </c>
      <c r="AL47" s="9">
        <f t="shared" si="41"/>
        <v>4.440455370871712</v>
      </c>
      <c r="AM47" s="9">
        <f t="shared" si="42"/>
        <v>5.0028316883256752</v>
      </c>
      <c r="AN47" s="9">
        <f t="shared" si="43"/>
        <v>5.1282060729671413</v>
      </c>
      <c r="AO47" s="9">
        <f t="shared" si="44"/>
        <v>4.3965598337557488</v>
      </c>
      <c r="AP47" s="9">
        <f t="shared" si="45"/>
        <v>4.3902495105696913</v>
      </c>
      <c r="AQ47" s="9">
        <f t="shared" si="46"/>
        <v>4.7908571510745013</v>
      </c>
      <c r="AR47" s="9">
        <f t="shared" si="47"/>
        <v>4.9226667251927454</v>
      </c>
      <c r="AS47" s="9">
        <f t="shared" si="48"/>
        <v>4.6394200110911328</v>
      </c>
      <c r="AT47" s="9">
        <f t="shared" si="49"/>
        <v>4.5882720560161605</v>
      </c>
      <c r="AU47" s="9">
        <f t="shared" si="50"/>
        <v>1.6768008802445316</v>
      </c>
      <c r="AV47" s="9">
        <f t="shared" si="51"/>
        <v>4.73063310501571</v>
      </c>
      <c r="AW47" s="9">
        <f t="shared" si="52"/>
        <v>4.738659587265257</v>
      </c>
    </row>
    <row r="48" spans="1:66" ht="10.25" customHeight="1" x14ac:dyDescent="0.15">
      <c r="A48" s="8">
        <v>39263</v>
      </c>
      <c r="B48" s="6">
        <v>0.86741767972942085</v>
      </c>
      <c r="C48" s="9">
        <f t="shared" si="57"/>
        <v>0.57837649490517706</v>
      </c>
      <c r="D48" s="9">
        <f t="shared" si="58"/>
        <v>0.81908733209455642</v>
      </c>
      <c r="E48" s="9">
        <f t="shared" si="59"/>
        <v>0.88706964159470569</v>
      </c>
      <c r="F48" s="9">
        <f t="shared" si="64"/>
        <v>0.6097925299451642</v>
      </c>
      <c r="G48" s="9">
        <f t="shared" si="65"/>
        <v>0.57329167460473007</v>
      </c>
      <c r="H48" s="9">
        <f t="shared" si="62"/>
        <v>0.61715208704561308</v>
      </c>
      <c r="I48" s="9">
        <f t="shared" si="53"/>
        <v>0.76518111232395114</v>
      </c>
      <c r="J48" s="9">
        <f t="shared" si="60"/>
        <v>0.75398335247503956</v>
      </c>
      <c r="K48" s="9">
        <f t="shared" si="66"/>
        <v>1.1466023246586021</v>
      </c>
      <c r="L48" s="9">
        <f t="shared" si="67"/>
        <v>0.59263258811570463</v>
      </c>
      <c r="M48" s="9">
        <f t="shared" si="54"/>
        <v>0.88891438024471259</v>
      </c>
      <c r="N48" s="9">
        <f t="shared" si="68"/>
        <v>1.2613517006528843</v>
      </c>
      <c r="O48" s="9">
        <f t="shared" si="69"/>
        <v>0.83281989090073305</v>
      </c>
      <c r="P48" s="9">
        <f t="shared" si="63"/>
        <v>0.9758223882231517</v>
      </c>
      <c r="Q48" s="9">
        <f t="shared" si="61"/>
        <v>1.0369483724350261</v>
      </c>
      <c r="R48" s="5"/>
      <c r="S48" s="9">
        <f t="shared" si="55"/>
        <v>0.28904118482424379</v>
      </c>
      <c r="T48" s="9">
        <f t="shared" si="24"/>
        <v>4.8330347634864435E-2</v>
      </c>
      <c r="U48" s="9">
        <f t="shared" si="25"/>
        <v>-1.9651961865284839E-2</v>
      </c>
      <c r="V48" s="9">
        <f t="shared" si="26"/>
        <v>0.25762514978425666</v>
      </c>
      <c r="W48" s="9">
        <f t="shared" si="27"/>
        <v>0.29412600512469078</v>
      </c>
      <c r="X48" s="9">
        <f t="shared" si="28"/>
        <v>0.25026559268380777</v>
      </c>
      <c r="Y48" s="9">
        <f t="shared" si="29"/>
        <v>0.10223656740546971</v>
      </c>
      <c r="Z48" s="9">
        <f t="shared" si="30"/>
        <v>0.1134343272543813</v>
      </c>
      <c r="AA48" s="9">
        <f t="shared" si="31"/>
        <v>-0.27918464492918127</v>
      </c>
      <c r="AB48" s="9">
        <f t="shared" si="32"/>
        <v>0.27478509161371623</v>
      </c>
      <c r="AC48" s="9">
        <f t="shared" si="33"/>
        <v>-2.1496700515291733E-2</v>
      </c>
      <c r="AD48" s="9">
        <f t="shared" si="34"/>
        <v>-0.39393402092346341</v>
      </c>
      <c r="AE48" s="9">
        <f t="shared" si="35"/>
        <v>3.4597788828687803E-2</v>
      </c>
      <c r="AF48" s="9">
        <f t="shared" si="36"/>
        <v>-0.10840470849373085</v>
      </c>
      <c r="AG48" s="9">
        <f t="shared" si="37"/>
        <v>-0.16953069270560528</v>
      </c>
      <c r="AH48" s="5"/>
      <c r="AI48" s="9">
        <f t="shared" si="56"/>
        <v>8.3544806524602652E-2</v>
      </c>
      <c r="AJ48" s="9">
        <f t="shared" si="39"/>
        <v>2.3358225025068464E-3</v>
      </c>
      <c r="AK48" s="9">
        <f t="shared" si="40"/>
        <v>3.8619960515460958E-4</v>
      </c>
      <c r="AL48" s="9">
        <f t="shared" si="41"/>
        <v>6.6370717801360682E-2</v>
      </c>
      <c r="AM48" s="9">
        <f t="shared" si="42"/>
        <v>8.6510106890609631E-2</v>
      </c>
      <c r="AN48" s="9">
        <f t="shared" si="43"/>
        <v>6.2632866881377577E-2</v>
      </c>
      <c r="AO48" s="9">
        <f t="shared" si="44"/>
        <v>1.0452315714853153E-2</v>
      </c>
      <c r="AP48" s="9">
        <f t="shared" si="45"/>
        <v>1.2867346599654071E-2</v>
      </c>
      <c r="AQ48" s="9">
        <f t="shared" si="46"/>
        <v>7.794406596423302E-2</v>
      </c>
      <c r="AR48" s="9">
        <f t="shared" si="47"/>
        <v>7.5506846573158426E-2</v>
      </c>
      <c r="AS48" s="9">
        <f t="shared" si="48"/>
        <v>4.6210813304414387E-4</v>
      </c>
      <c r="AT48" s="9">
        <f t="shared" si="49"/>
        <v>0.1551840128409277</v>
      </c>
      <c r="AU48" s="9">
        <f t="shared" si="50"/>
        <v>1.1970069918344746E-3</v>
      </c>
      <c r="AV48" s="9">
        <f t="shared" si="51"/>
        <v>1.1751580823610762E-2</v>
      </c>
      <c r="AW48" s="9">
        <f t="shared" si="52"/>
        <v>2.8740655769242368E-2</v>
      </c>
      <c r="AY48" s="12" t="s">
        <v>172</v>
      </c>
      <c r="BM48" s="2" t="s">
        <v>169</v>
      </c>
    </row>
    <row r="49" spans="1:66" ht="10.25" customHeight="1" x14ac:dyDescent="0.15">
      <c r="A49" s="8">
        <v>39355</v>
      </c>
      <c r="B49" s="6">
        <v>0.85631629516911278</v>
      </c>
      <c r="C49" s="9">
        <f t="shared" si="57"/>
        <v>0.57838185646026097</v>
      </c>
      <c r="D49" s="9">
        <f t="shared" si="58"/>
        <v>0.59258758807877632</v>
      </c>
      <c r="E49" s="9">
        <f t="shared" si="59"/>
        <v>0.32965919051177406</v>
      </c>
      <c r="F49" s="9">
        <f t="shared" si="64"/>
        <v>0.51153969952570488</v>
      </c>
      <c r="G49" s="9">
        <f t="shared" si="65"/>
        <v>0.57515013543289784</v>
      </c>
      <c r="H49" s="9">
        <f t="shared" si="62"/>
        <v>0.54192636758815982</v>
      </c>
      <c r="I49" s="9">
        <f t="shared" si="53"/>
        <v>1.0885611769157411</v>
      </c>
      <c r="J49" s="9">
        <f t="shared" si="60"/>
        <v>1.0777297587516799</v>
      </c>
      <c r="K49" s="9">
        <f t="shared" si="66"/>
        <v>0.36681680521983562</v>
      </c>
      <c r="L49" s="9">
        <f t="shared" si="67"/>
        <v>0.59128546522715797</v>
      </c>
      <c r="M49" s="9">
        <f t="shared" si="54"/>
        <v>0.99235026759001288</v>
      </c>
      <c r="N49" s="9">
        <f t="shared" si="68"/>
        <v>0.49535652134892161</v>
      </c>
      <c r="O49" s="9">
        <f t="shared" si="69"/>
        <v>0.46744359239002342</v>
      </c>
      <c r="P49" s="9">
        <f t="shared" si="63"/>
        <v>0.57804689169402668</v>
      </c>
      <c r="Q49" s="9">
        <f t="shared" si="61"/>
        <v>0.91092394352907347</v>
      </c>
      <c r="R49" s="5"/>
      <c r="S49" s="9">
        <f t="shared" si="55"/>
        <v>0.27793443870885182</v>
      </c>
      <c r="T49" s="9">
        <f t="shared" si="24"/>
        <v>0.26372870709033647</v>
      </c>
      <c r="U49" s="9">
        <f t="shared" si="25"/>
        <v>0.52665710465733873</v>
      </c>
      <c r="V49" s="9">
        <f t="shared" si="26"/>
        <v>0.3447765956434079</v>
      </c>
      <c r="W49" s="9">
        <f t="shared" si="27"/>
        <v>0.28116615973621495</v>
      </c>
      <c r="X49" s="9">
        <f t="shared" si="28"/>
        <v>0.31438992758095297</v>
      </c>
      <c r="Y49" s="9">
        <f t="shared" si="29"/>
        <v>-0.23224488174662827</v>
      </c>
      <c r="Z49" s="9">
        <f t="shared" si="30"/>
        <v>-0.22141346358256708</v>
      </c>
      <c r="AA49" s="9">
        <f t="shared" si="31"/>
        <v>0.48949948994927717</v>
      </c>
      <c r="AB49" s="9">
        <f t="shared" si="32"/>
        <v>0.26503082994195482</v>
      </c>
      <c r="AC49" s="9">
        <f t="shared" si="33"/>
        <v>-0.1360339724209001</v>
      </c>
      <c r="AD49" s="9">
        <f t="shared" si="34"/>
        <v>0.36095977382019118</v>
      </c>
      <c r="AE49" s="9">
        <f t="shared" si="35"/>
        <v>0.38887270277908936</v>
      </c>
      <c r="AF49" s="9">
        <f t="shared" si="36"/>
        <v>0.27826940347508611</v>
      </c>
      <c r="AG49" s="9">
        <f t="shared" si="37"/>
        <v>-5.4607648359960681E-2</v>
      </c>
      <c r="AH49" s="5"/>
      <c r="AI49" s="9">
        <f t="shared" si="56"/>
        <v>7.7247552220404511E-2</v>
      </c>
      <c r="AJ49" s="9">
        <f t="shared" si="39"/>
        <v>6.9552830943540492E-2</v>
      </c>
      <c r="AK49" s="9">
        <f t="shared" si="40"/>
        <v>0.27736770588605103</v>
      </c>
      <c r="AL49" s="9">
        <f t="shared" si="41"/>
        <v>0.11887090090345799</v>
      </c>
      <c r="AM49" s="9">
        <f t="shared" si="42"/>
        <v>7.9054409380810736E-2</v>
      </c>
      <c r="AN49" s="9">
        <f t="shared" si="43"/>
        <v>9.8841026564356851E-2</v>
      </c>
      <c r="AO49" s="9">
        <f t="shared" si="44"/>
        <v>5.393768509750535E-2</v>
      </c>
      <c r="AP49" s="9">
        <f t="shared" si="45"/>
        <v>4.902392185562876E-2</v>
      </c>
      <c r="AQ49" s="9">
        <f t="shared" si="46"/>
        <v>0.2396097506606025</v>
      </c>
      <c r="AR49" s="9">
        <f t="shared" si="47"/>
        <v>7.0241340819721373E-2</v>
      </c>
      <c r="AS49" s="9">
        <f t="shared" si="48"/>
        <v>1.8505241652610208E-2</v>
      </c>
      <c r="AT49" s="9">
        <f t="shared" si="49"/>
        <v>0.13029195831632356</v>
      </c>
      <c r="AU49" s="9">
        <f t="shared" si="50"/>
        <v>0.15122197896671397</v>
      </c>
      <c r="AV49" s="9">
        <f t="shared" si="51"/>
        <v>7.7433860910380264E-2</v>
      </c>
      <c r="AW49" s="9">
        <f t="shared" si="52"/>
        <v>2.9819952594051166E-3</v>
      </c>
      <c r="AY49" s="10" t="s">
        <v>158</v>
      </c>
      <c r="AZ49" s="10" t="s">
        <v>139</v>
      </c>
      <c r="BA49" s="11" t="s">
        <v>163</v>
      </c>
      <c r="BB49" s="11" t="s">
        <v>164</v>
      </c>
      <c r="BC49" s="11" t="s">
        <v>165</v>
      </c>
      <c r="BD49" s="11" t="s">
        <v>166</v>
      </c>
      <c r="BE49" s="11" t="s">
        <v>167</v>
      </c>
      <c r="BF49" s="11" t="s">
        <v>168</v>
      </c>
      <c r="BG49" s="13" t="s">
        <v>159</v>
      </c>
      <c r="BI49" s="13" t="s">
        <v>124</v>
      </c>
      <c r="BJ49" s="13" t="s">
        <v>160</v>
      </c>
      <c r="BK49" s="13" t="s">
        <v>161</v>
      </c>
      <c r="BM49" s="10" t="s">
        <v>139</v>
      </c>
      <c r="BN49" s="13" t="s">
        <v>170</v>
      </c>
    </row>
    <row r="50" spans="1:66" ht="10.25" customHeight="1" x14ac:dyDescent="0.15">
      <c r="A50" s="8">
        <v>39447</v>
      </c>
      <c r="B50" s="6">
        <v>1.5135096243153123</v>
      </c>
      <c r="C50" s="9">
        <f t="shared" si="57"/>
        <v>0.57837785375712158</v>
      </c>
      <c r="D50" s="9">
        <f t="shared" si="58"/>
        <v>0.61516153035757148</v>
      </c>
      <c r="E50" s="9">
        <f t="shared" si="59"/>
        <v>0.8356359720086286</v>
      </c>
      <c r="F50" s="9">
        <f t="shared" si="64"/>
        <v>0.54828469052048856</v>
      </c>
      <c r="G50" s="9">
        <f t="shared" si="65"/>
        <v>0.57175356285862877</v>
      </c>
      <c r="H50" s="9">
        <f t="shared" si="62"/>
        <v>0.58617886275758213</v>
      </c>
      <c r="I50" s="9">
        <f t="shared" si="53"/>
        <v>0.5935622037160424</v>
      </c>
      <c r="J50" s="9">
        <f t="shared" si="60"/>
        <v>0.57279810910465012</v>
      </c>
      <c r="K50" s="9">
        <f t="shared" si="66"/>
        <v>1.2019844176456356</v>
      </c>
      <c r="L50" s="9">
        <f t="shared" si="67"/>
        <v>0.59084715952704214</v>
      </c>
      <c r="M50" s="9">
        <f t="shared" si="54"/>
        <v>0.82476035715845386</v>
      </c>
      <c r="N50" s="9">
        <f t="shared" si="68"/>
        <v>1.2172194351398105</v>
      </c>
      <c r="O50" s="9">
        <f t="shared" si="69"/>
        <v>1.3335895738588341</v>
      </c>
      <c r="P50" s="9">
        <f t="shared" si="63"/>
        <v>0.57006318701249459</v>
      </c>
      <c r="Q50" s="9">
        <f t="shared" si="61"/>
        <v>0.86958861585660729</v>
      </c>
      <c r="R50" s="5"/>
      <c r="S50" s="9">
        <f t="shared" si="55"/>
        <v>0.93513177055819074</v>
      </c>
      <c r="T50" s="9">
        <f t="shared" si="24"/>
        <v>0.89834809395774085</v>
      </c>
      <c r="U50" s="9">
        <f t="shared" si="25"/>
        <v>0.67787365230668373</v>
      </c>
      <c r="V50" s="9">
        <f t="shared" si="26"/>
        <v>0.96522493379482377</v>
      </c>
      <c r="W50" s="9">
        <f t="shared" si="27"/>
        <v>0.94175606145668356</v>
      </c>
      <c r="X50" s="9">
        <f t="shared" si="28"/>
        <v>0.9273307615577302</v>
      </c>
      <c r="Y50" s="9">
        <f t="shared" si="29"/>
        <v>0.91994742059926993</v>
      </c>
      <c r="Z50" s="9">
        <f t="shared" si="30"/>
        <v>0.94071151521066221</v>
      </c>
      <c r="AA50" s="9">
        <f t="shared" si="31"/>
        <v>0.31152520666967676</v>
      </c>
      <c r="AB50" s="9">
        <f t="shared" si="32"/>
        <v>0.92266246478827019</v>
      </c>
      <c r="AC50" s="9">
        <f t="shared" si="33"/>
        <v>0.68874926715685847</v>
      </c>
      <c r="AD50" s="9">
        <f t="shared" si="34"/>
        <v>0.29629018917550187</v>
      </c>
      <c r="AE50" s="9">
        <f t="shared" si="35"/>
        <v>0.17992005045647819</v>
      </c>
      <c r="AF50" s="9">
        <f t="shared" si="36"/>
        <v>0.94344643730281774</v>
      </c>
      <c r="AG50" s="9">
        <f t="shared" si="37"/>
        <v>0.64392100845870504</v>
      </c>
      <c r="AH50" s="5"/>
      <c r="AI50" s="9">
        <f t="shared" si="56"/>
        <v>0.87447142830729674</v>
      </c>
      <c r="AJ50" s="9">
        <f t="shared" si="39"/>
        <v>0.80702929791750599</v>
      </c>
      <c r="AK50" s="9">
        <f t="shared" si="40"/>
        <v>0.45951268849160276</v>
      </c>
      <c r="AL50" s="9">
        <f t="shared" si="41"/>
        <v>0.93165917281922195</v>
      </c>
      <c r="AM50" s="9">
        <f t="shared" si="42"/>
        <v>0.88690447929040472</v>
      </c>
      <c r="AN50" s="9">
        <f t="shared" si="43"/>
        <v>0.85994234133123981</v>
      </c>
      <c r="AO50" s="9">
        <f t="shared" si="44"/>
        <v>0.84630325666725004</v>
      </c>
      <c r="AP50" s="9">
        <f t="shared" si="45"/>
        <v>0.88493815484993998</v>
      </c>
      <c r="AQ50" s="9">
        <f t="shared" si="46"/>
        <v>9.704795439058482E-2</v>
      </c>
      <c r="AR50" s="9">
        <f t="shared" si="47"/>
        <v>0.85130602392916588</v>
      </c>
      <c r="AS50" s="9">
        <f t="shared" si="48"/>
        <v>0.47437555300910961</v>
      </c>
      <c r="AT50" s="9">
        <f t="shared" si="49"/>
        <v>8.7787876201654694E-2</v>
      </c>
      <c r="AU50" s="9">
        <f t="shared" si="50"/>
        <v>3.2371224556261659E-2</v>
      </c>
      <c r="AV50" s="9">
        <f t="shared" si="51"/>
        <v>0.89009118005937959</v>
      </c>
      <c r="AW50" s="9">
        <f t="shared" si="52"/>
        <v>0.41463426513447565</v>
      </c>
      <c r="AY50" s="10" t="s">
        <v>118</v>
      </c>
      <c r="AZ50" s="10" t="s">
        <v>146</v>
      </c>
      <c r="BA50" s="14">
        <v>-0.61066094166995211</v>
      </c>
      <c r="BB50" s="14">
        <v>0</v>
      </c>
      <c r="BC50" s="14">
        <v>0</v>
      </c>
      <c r="BD50" s="14">
        <v>0</v>
      </c>
      <c r="BE50" s="14">
        <v>0</v>
      </c>
      <c r="BF50" s="14">
        <v>0</v>
      </c>
      <c r="BG50" s="14">
        <v>0.46332322981452018</v>
      </c>
      <c r="BI50" s="15">
        <v>431.1321722305446</v>
      </c>
      <c r="BJ50" s="16">
        <v>162.43751901157265</v>
      </c>
      <c r="BK50" s="14">
        <v>2.1169821146654106</v>
      </c>
      <c r="BM50" s="10" t="str">
        <f>INDEX($AZ$50:$BK$64,MATCH(BN50,$BK$50:$BK$64,0),1)</f>
        <v>ARMA(1,2)</v>
      </c>
      <c r="BN50" s="18">
        <f>LARGE($BK$50:$BK$64,RIGHT(AY50,2))</f>
        <v>2.2359991495081477</v>
      </c>
    </row>
    <row r="51" spans="1:66" ht="10.25" customHeight="1" x14ac:dyDescent="0.15">
      <c r="A51" s="8">
        <v>39538</v>
      </c>
      <c r="B51" s="6">
        <v>0.8484441371608975</v>
      </c>
      <c r="C51" s="9">
        <f t="shared" si="57"/>
        <v>0.57838084200067619</v>
      </c>
      <c r="D51" s="9">
        <f t="shared" si="58"/>
        <v>0.68167021428796437</v>
      </c>
      <c r="E51" s="9">
        <f t="shared" si="59"/>
        <v>0.45776429188857337</v>
      </c>
      <c r="F51" s="9">
        <f t="shared" si="64"/>
        <v>0.65352465702064277</v>
      </c>
      <c r="G51" s="9">
        <f t="shared" si="65"/>
        <v>0.57475051378764608</v>
      </c>
      <c r="H51" s="9">
        <f t="shared" si="62"/>
        <v>0.59757788572181791</v>
      </c>
      <c r="I51" s="9">
        <f t="shared" si="53"/>
        <v>0.58532717083488195</v>
      </c>
      <c r="J51" s="9">
        <f t="shared" si="60"/>
        <v>0.58539932245981208</v>
      </c>
      <c r="K51" s="9">
        <f t="shared" si="66"/>
        <v>0.45592816321741791</v>
      </c>
      <c r="L51" s="9">
        <f t="shared" si="67"/>
        <v>0.59228222118688079</v>
      </c>
      <c r="M51" s="9">
        <f t="shared" si="54"/>
        <v>0.62555989330121053</v>
      </c>
      <c r="N51" s="9">
        <f t="shared" si="68"/>
        <v>0.61736987981359803</v>
      </c>
      <c r="O51" s="9">
        <f t="shared" si="69"/>
        <v>0.26435449963074054</v>
      </c>
      <c r="P51" s="9">
        <f t="shared" si="63"/>
        <v>0.76804242591504734</v>
      </c>
      <c r="Q51" s="9">
        <f t="shared" si="61"/>
        <v>0.33756104260747216</v>
      </c>
      <c r="R51" s="5"/>
      <c r="S51" s="9">
        <f t="shared" si="55"/>
        <v>0.27006329516022132</v>
      </c>
      <c r="T51" s="9">
        <f t="shared" si="24"/>
        <v>0.16677392287293313</v>
      </c>
      <c r="U51" s="9">
        <f t="shared" si="25"/>
        <v>0.39067984527232413</v>
      </c>
      <c r="V51" s="9">
        <f t="shared" si="26"/>
        <v>0.19491948014025473</v>
      </c>
      <c r="W51" s="9">
        <f t="shared" si="27"/>
        <v>0.27369362337325143</v>
      </c>
      <c r="X51" s="9">
        <f t="shared" si="28"/>
        <v>0.25086625143907959</v>
      </c>
      <c r="Y51" s="9">
        <f t="shared" si="29"/>
        <v>0.26311696632601556</v>
      </c>
      <c r="Z51" s="9">
        <f t="shared" si="30"/>
        <v>0.26304481470108543</v>
      </c>
      <c r="AA51" s="9">
        <f t="shared" si="31"/>
        <v>0.39251597394347959</v>
      </c>
      <c r="AB51" s="9">
        <f t="shared" si="32"/>
        <v>0.25616191597401672</v>
      </c>
      <c r="AC51" s="9">
        <f t="shared" si="33"/>
        <v>0.22288424385968697</v>
      </c>
      <c r="AD51" s="9">
        <f t="shared" si="34"/>
        <v>0.23107425734729947</v>
      </c>
      <c r="AE51" s="9">
        <f t="shared" si="35"/>
        <v>0.58408963753015697</v>
      </c>
      <c r="AF51" s="9">
        <f t="shared" si="36"/>
        <v>8.040171124585016E-2</v>
      </c>
      <c r="AG51" s="9">
        <f t="shared" si="37"/>
        <v>0.51088309455342529</v>
      </c>
      <c r="AH51" s="5"/>
      <c r="AI51" s="9">
        <f t="shared" si="56"/>
        <v>7.2934183392796822E-2</v>
      </c>
      <c r="AJ51" s="9">
        <f t="shared" si="39"/>
        <v>2.7813541350427049E-2</v>
      </c>
      <c r="AK51" s="9">
        <f t="shared" si="40"/>
        <v>0.15263074150200712</v>
      </c>
      <c r="AL51" s="9">
        <f t="shared" si="41"/>
        <v>3.7993603738147155E-2</v>
      </c>
      <c r="AM51" s="9">
        <f t="shared" si="42"/>
        <v>7.4908199475179196E-2</v>
      </c>
      <c r="AN51" s="9">
        <f t="shared" si="43"/>
        <v>6.2933876111095507E-2</v>
      </c>
      <c r="AO51" s="9">
        <f t="shared" si="44"/>
        <v>6.9230537968605607E-2</v>
      </c>
      <c r="AP51" s="9">
        <f t="shared" si="45"/>
        <v>6.9192574541128371E-2</v>
      </c>
      <c r="AQ51" s="9">
        <f t="shared" si="46"/>
        <v>0.15406878980079836</v>
      </c>
      <c r="AR51" s="9">
        <f t="shared" si="47"/>
        <v>6.5618927195479196E-2</v>
      </c>
      <c r="AS51" s="9">
        <f t="shared" si="48"/>
        <v>4.9677386160904412E-2</v>
      </c>
      <c r="AT51" s="9">
        <f t="shared" si="49"/>
        <v>5.3395312408605983E-2</v>
      </c>
      <c r="AU51" s="9">
        <f t="shared" si="50"/>
        <v>0.34116070467011017</v>
      </c>
      <c r="AV51" s="9">
        <f t="shared" si="51"/>
        <v>6.464435171261068E-3</v>
      </c>
      <c r="AW51" s="9">
        <f t="shared" si="52"/>
        <v>0.26100153630048406</v>
      </c>
      <c r="AY51" s="10" t="s">
        <v>119</v>
      </c>
      <c r="AZ51" s="10" t="s">
        <v>147</v>
      </c>
      <c r="BA51" s="14">
        <v>0</v>
      </c>
      <c r="BB51" s="14">
        <v>0</v>
      </c>
      <c r="BC51" s="14">
        <v>0</v>
      </c>
      <c r="BD51" s="14">
        <v>7.4396112855849114E-2</v>
      </c>
      <c r="BE51" s="14">
        <v>0</v>
      </c>
      <c r="BF51" s="14">
        <v>0</v>
      </c>
      <c r="BG51" s="14">
        <v>0.25569447535146106</v>
      </c>
      <c r="BI51" s="15">
        <v>487.67718500455737</v>
      </c>
      <c r="BJ51" s="16">
        <v>176.9797178991231</v>
      </c>
      <c r="BK51" s="14">
        <v>2.1155341556675982</v>
      </c>
      <c r="BM51" s="10" t="str">
        <f t="shared" ref="BM51:BM64" si="75">INDEX($AZ$50:$BK$64,MATCH(BN51,$BK$50:$BK$64,0),1)</f>
        <v>ARMA(2,0)</v>
      </c>
      <c r="BN51" s="18">
        <f t="shared" ref="BN51:BN64" si="76">LARGE($BK$50:$BK$64,RIGHT(AY51,2))</f>
        <v>2.132721564475609</v>
      </c>
    </row>
    <row r="52" spans="1:66" x14ac:dyDescent="0.15">
      <c r="A52" s="8">
        <v>39629</v>
      </c>
      <c r="B52" s="6">
        <v>2.4619996382899467</v>
      </c>
      <c r="C52" s="9">
        <f t="shared" si="57"/>
        <v>0.57837861110839395</v>
      </c>
      <c r="D52" s="9">
        <f t="shared" si="58"/>
        <v>0.60500058155503833</v>
      </c>
      <c r="E52" s="9">
        <f t="shared" si="59"/>
        <v>0.71804001266645812</v>
      </c>
      <c r="F52" s="9">
        <f t="shared" si="64"/>
        <v>0.47160203586077865</v>
      </c>
      <c r="G52" s="9">
        <f t="shared" si="65"/>
        <v>0.57339093397058538</v>
      </c>
      <c r="H52" s="9">
        <f t="shared" si="62"/>
        <v>0.53612509250775053</v>
      </c>
      <c r="I52" s="9">
        <f t="shared" si="53"/>
        <v>0.81866645842108821</v>
      </c>
      <c r="J52" s="9">
        <f t="shared" si="60"/>
        <v>0.82072311816621979</v>
      </c>
      <c r="K52" s="9">
        <f t="shared" si="66"/>
        <v>1.0534112503253215</v>
      </c>
      <c r="L52" s="9">
        <f t="shared" si="67"/>
        <v>0.5910041990783832</v>
      </c>
      <c r="M52" s="9">
        <f t="shared" si="54"/>
        <v>0.71795558471827303</v>
      </c>
      <c r="N52" s="9">
        <f t="shared" si="68"/>
        <v>1.0599344596282132</v>
      </c>
      <c r="O52" s="9">
        <f t="shared" si="69"/>
        <v>1.0478515338058223</v>
      </c>
      <c r="P52" s="9">
        <f t="shared" si="63"/>
        <v>0.59426264498750925</v>
      </c>
      <c r="Q52" s="9">
        <f t="shared" si="61"/>
        <v>0.97189465519644302</v>
      </c>
      <c r="R52" s="5"/>
      <c r="S52" s="9">
        <f t="shared" si="55"/>
        <v>1.8836210271815528</v>
      </c>
      <c r="T52" s="9">
        <f t="shared" si="24"/>
        <v>1.8569990567349084</v>
      </c>
      <c r="U52" s="9">
        <f t="shared" si="25"/>
        <v>1.7439596256234886</v>
      </c>
      <c r="V52" s="9">
        <f t="shared" si="26"/>
        <v>1.9903976024291681</v>
      </c>
      <c r="W52" s="9">
        <f t="shared" si="27"/>
        <v>1.8886087043193613</v>
      </c>
      <c r="X52" s="9">
        <f t="shared" si="28"/>
        <v>1.9258745457821962</v>
      </c>
      <c r="Y52" s="9">
        <f t="shared" si="29"/>
        <v>1.6433331798688586</v>
      </c>
      <c r="Z52" s="9">
        <f t="shared" si="30"/>
        <v>1.6412765201237269</v>
      </c>
      <c r="AA52" s="9">
        <f t="shared" si="31"/>
        <v>1.4085883879646253</v>
      </c>
      <c r="AB52" s="9">
        <f t="shared" si="32"/>
        <v>1.8709954392115635</v>
      </c>
      <c r="AC52" s="9">
        <f t="shared" si="33"/>
        <v>1.7440440535716737</v>
      </c>
      <c r="AD52" s="9">
        <f t="shared" si="34"/>
        <v>1.4020651786617335</v>
      </c>
      <c r="AE52" s="9">
        <f t="shared" si="35"/>
        <v>1.4141481044841244</v>
      </c>
      <c r="AF52" s="9">
        <f t="shared" si="36"/>
        <v>1.8677369933024375</v>
      </c>
      <c r="AG52" s="9">
        <f t="shared" si="37"/>
        <v>1.4901049830935036</v>
      </c>
      <c r="AH52" s="5"/>
      <c r="AI52" s="9">
        <f t="shared" si="56"/>
        <v>3.5480281740404882</v>
      </c>
      <c r="AJ52" s="9">
        <f t="shared" si="39"/>
        <v>3.4484454967143394</v>
      </c>
      <c r="AK52" s="9">
        <f t="shared" si="40"/>
        <v>3.0413951758048183</v>
      </c>
      <c r="AL52" s="9">
        <f t="shared" si="41"/>
        <v>3.9616826157557807</v>
      </c>
      <c r="AM52" s="9">
        <f t="shared" si="42"/>
        <v>3.566842838030857</v>
      </c>
      <c r="AN52" s="9">
        <f t="shared" si="43"/>
        <v>3.7089927660917805</v>
      </c>
      <c r="AO52" s="9">
        <f t="shared" si="44"/>
        <v>2.7005439400578943</v>
      </c>
      <c r="AP52" s="9">
        <f t="shared" si="45"/>
        <v>2.6937886155094506</v>
      </c>
      <c r="AQ52" s="9">
        <f t="shared" si="46"/>
        <v>1.9841212467087816</v>
      </c>
      <c r="AR52" s="9">
        <f t="shared" si="47"/>
        <v>3.5006239335504716</v>
      </c>
      <c r="AS52" s="9">
        <f t="shared" si="48"/>
        <v>3.0416896607987152</v>
      </c>
      <c r="AT52" s="9">
        <f t="shared" si="49"/>
        <v>1.9657867652157588</v>
      </c>
      <c r="AU52" s="9">
        <f t="shared" si="50"/>
        <v>1.999814861416042</v>
      </c>
      <c r="AV52" s="9">
        <f t="shared" si="51"/>
        <v>3.4884414761504292</v>
      </c>
      <c r="AW52" s="9">
        <f t="shared" si="52"/>
        <v>2.2204128606400908</v>
      </c>
      <c r="AY52" s="10" t="s">
        <v>120</v>
      </c>
      <c r="AZ52" s="10" t="s">
        <v>162</v>
      </c>
      <c r="BA52" s="14">
        <v>-0.58186133364544756</v>
      </c>
      <c r="BB52" s="14">
        <v>0</v>
      </c>
      <c r="BC52" s="14">
        <v>0</v>
      </c>
      <c r="BD52" s="14">
        <v>0.22855902804702366</v>
      </c>
      <c r="BE52" s="14">
        <v>0</v>
      </c>
      <c r="BF52" s="14">
        <v>0</v>
      </c>
      <c r="BG52" s="14">
        <v>0.43928779205067792</v>
      </c>
      <c r="BI52" s="15">
        <v>398.95098398831379</v>
      </c>
      <c r="BJ52" s="16">
        <v>158.05421852562981</v>
      </c>
      <c r="BK52" s="14">
        <v>2.111204732012502</v>
      </c>
      <c r="BM52" s="10" t="str">
        <f t="shared" si="75"/>
        <v>ARMA(2,3)</v>
      </c>
      <c r="BN52" s="18">
        <f t="shared" si="76"/>
        <v>2.1210222923009945</v>
      </c>
    </row>
    <row r="53" spans="1:66" x14ac:dyDescent="0.15">
      <c r="A53" s="8">
        <v>39721</v>
      </c>
      <c r="B53" s="6">
        <v>1.0667405882893277</v>
      </c>
      <c r="C53" s="9">
        <f t="shared" si="57"/>
        <v>0.57838027659525393</v>
      </c>
      <c r="D53" s="9">
        <f t="shared" si="58"/>
        <v>0.78213769952764078</v>
      </c>
      <c r="E53" s="9">
        <f t="shared" si="59"/>
        <v>0.68413891165423957</v>
      </c>
      <c r="F53" s="9">
        <f t="shared" si="64"/>
        <v>0.73200887043259011</v>
      </c>
      <c r="G53" s="9">
        <f t="shared" si="65"/>
        <v>0.57294284606866164</v>
      </c>
      <c r="H53" s="9">
        <f t="shared" si="62"/>
        <v>0.64207682368778118</v>
      </c>
      <c r="I53" s="9">
        <f t="shared" si="53"/>
        <v>0.74788923812535835</v>
      </c>
      <c r="J53" s="9">
        <f t="shared" si="60"/>
        <v>0.72946571493912438</v>
      </c>
      <c r="K53" s="9">
        <f t="shared" si="66"/>
        <v>0.80478887989655978</v>
      </c>
      <c r="L53" s="9">
        <f t="shared" si="67"/>
        <v>0.59140540167460443</v>
      </c>
      <c r="M53" s="9">
        <f t="shared" si="54"/>
        <v>0.89765230529330509</v>
      </c>
      <c r="N53" s="9">
        <f t="shared" si="68"/>
        <v>0.98069822992376376</v>
      </c>
      <c r="O53" s="9">
        <f t="shared" si="69"/>
        <v>1.3051199786689569</v>
      </c>
      <c r="P53" s="9">
        <f t="shared" si="63"/>
        <v>0.89717165267430399</v>
      </c>
      <c r="Q53" s="9">
        <f t="shared" si="61"/>
        <v>0.84597074721394128</v>
      </c>
      <c r="R53" s="5"/>
      <c r="S53" s="9">
        <f t="shared" si="55"/>
        <v>0.48836031169407379</v>
      </c>
      <c r="T53" s="9">
        <f t="shared" si="24"/>
        <v>0.28460288876168693</v>
      </c>
      <c r="U53" s="9">
        <f t="shared" si="25"/>
        <v>0.38260167663508815</v>
      </c>
      <c r="V53" s="9">
        <f t="shared" si="26"/>
        <v>0.33473171785673761</v>
      </c>
      <c r="W53" s="9">
        <f t="shared" si="27"/>
        <v>0.49379774222066608</v>
      </c>
      <c r="X53" s="9">
        <f t="shared" si="28"/>
        <v>0.42466376460154653</v>
      </c>
      <c r="Y53" s="9">
        <f t="shared" si="29"/>
        <v>0.31885135016396937</v>
      </c>
      <c r="Z53" s="9">
        <f t="shared" si="30"/>
        <v>0.33727487335020334</v>
      </c>
      <c r="AA53" s="9">
        <f t="shared" si="31"/>
        <v>0.26195170839276793</v>
      </c>
      <c r="AB53" s="9">
        <f t="shared" si="32"/>
        <v>0.47533518661472329</v>
      </c>
      <c r="AC53" s="9">
        <f t="shared" si="33"/>
        <v>0.16908828299602263</v>
      </c>
      <c r="AD53" s="9">
        <f t="shared" si="34"/>
        <v>8.6042358365563953E-2</v>
      </c>
      <c r="AE53" s="9">
        <f t="shared" si="35"/>
        <v>-0.23837939037962919</v>
      </c>
      <c r="AF53" s="9">
        <f t="shared" si="36"/>
        <v>0.16956893561502373</v>
      </c>
      <c r="AG53" s="9">
        <f t="shared" si="37"/>
        <v>0.22076984107538644</v>
      </c>
      <c r="AH53" s="5"/>
      <c r="AI53" s="9">
        <f t="shared" si="56"/>
        <v>0.23849579403793292</v>
      </c>
      <c r="AJ53" s="9">
        <f t="shared" si="39"/>
        <v>8.0998804291497153E-2</v>
      </c>
      <c r="AK53" s="9">
        <f t="shared" si="40"/>
        <v>0.14638404296398055</v>
      </c>
      <c r="AL53" s="9">
        <f t="shared" si="41"/>
        <v>0.11204532293932259</v>
      </c>
      <c r="AM53" s="9">
        <f t="shared" si="42"/>
        <v>0.2438362102222274</v>
      </c>
      <c r="AN53" s="9">
        <f t="shared" si="43"/>
        <v>0.18033931296555772</v>
      </c>
      <c r="AO53" s="9">
        <f t="shared" si="44"/>
        <v>0.10166618350138622</v>
      </c>
      <c r="AP53" s="9">
        <f t="shared" si="45"/>
        <v>0.1137543401933957</v>
      </c>
      <c r="AQ53" s="9">
        <f t="shared" si="46"/>
        <v>6.8618697529889722E-2</v>
      </c>
      <c r="AR53" s="9">
        <f t="shared" si="47"/>
        <v>0.22594353963405381</v>
      </c>
      <c r="AS53" s="9">
        <f t="shared" si="48"/>
        <v>2.8590847446543038E-2</v>
      </c>
      <c r="AT53" s="9">
        <f t="shared" si="49"/>
        <v>7.4032874331081333E-3</v>
      </c>
      <c r="AU53" s="9">
        <f t="shared" si="50"/>
        <v>5.6824733757763646E-2</v>
      </c>
      <c r="AV53" s="9">
        <f t="shared" si="51"/>
        <v>2.8753623925612062E-2</v>
      </c>
      <c r="AW53" s="9">
        <f t="shared" si="52"/>
        <v>4.8739322728451384E-2</v>
      </c>
      <c r="AY53" s="10" t="s">
        <v>121</v>
      </c>
      <c r="AZ53" s="10" t="s">
        <v>129</v>
      </c>
      <c r="BA53" s="14">
        <v>-1.0400354053866561</v>
      </c>
      <c r="BB53" s="14">
        <v>-0.40166502800035891</v>
      </c>
      <c r="BC53" s="14">
        <v>0</v>
      </c>
      <c r="BD53" s="14">
        <v>0.22623575086941128</v>
      </c>
      <c r="BE53" s="14">
        <v>4.1201161837971054E-2</v>
      </c>
      <c r="BF53" s="14">
        <v>0</v>
      </c>
      <c r="BG53" s="14">
        <v>0.79139803768042472</v>
      </c>
      <c r="BI53" s="15">
        <v>386.029414879466</v>
      </c>
      <c r="BJ53" s="16">
        <v>163.71043880304015</v>
      </c>
      <c r="BK53" s="14">
        <v>2.1132463679412301</v>
      </c>
      <c r="BM53" s="10" t="str">
        <f t="shared" si="75"/>
        <v>ARMA(1,0)</v>
      </c>
      <c r="BN53" s="18">
        <f t="shared" si="76"/>
        <v>2.1169821146654106</v>
      </c>
    </row>
    <row r="54" spans="1:66" x14ac:dyDescent="0.15">
      <c r="A54" s="8">
        <v>39813</v>
      </c>
      <c r="B54" s="6">
        <v>-2.157150195277957</v>
      </c>
      <c r="C54" s="9">
        <f t="shared" si="57"/>
        <v>0.57837903321541762</v>
      </c>
      <c r="D54" s="9">
        <f t="shared" si="58"/>
        <v>0.6173491634173468</v>
      </c>
      <c r="E54" s="9">
        <f t="shared" si="59"/>
        <v>0.53945141990573797</v>
      </c>
      <c r="F54" s="9">
        <f t="shared" si="64"/>
        <v>0.54048628588871206</v>
      </c>
      <c r="G54" s="9">
        <f t="shared" si="65"/>
        <v>0.57451181021517761</v>
      </c>
      <c r="H54" s="9">
        <f t="shared" si="62"/>
        <v>0.51942958666703953</v>
      </c>
      <c r="I54" s="9">
        <f t="shared" si="53"/>
        <v>0.99413417031156126</v>
      </c>
      <c r="J54" s="9">
        <f t="shared" si="60"/>
        <v>0.9843330207325347</v>
      </c>
      <c r="K54" s="9">
        <f t="shared" si="66"/>
        <v>0.79846977507430927</v>
      </c>
      <c r="L54" s="9">
        <f t="shared" si="67"/>
        <v>0.59186320294126205</v>
      </c>
      <c r="M54" s="9">
        <f t="shared" si="54"/>
        <v>0.95803141891450427</v>
      </c>
      <c r="N54" s="9">
        <f t="shared" si="68"/>
        <v>0.86914663397164216</v>
      </c>
      <c r="O54" s="9">
        <f t="shared" si="69"/>
        <v>0.15172497832792881</v>
      </c>
      <c r="P54" s="9">
        <f t="shared" si="63"/>
        <v>0.67022709641419298</v>
      </c>
      <c r="Q54" s="9">
        <f t="shared" si="61"/>
        <v>0.99563064645114696</v>
      </c>
      <c r="R54" s="5"/>
      <c r="S54" s="9">
        <f t="shared" si="55"/>
        <v>-2.7355292284933745</v>
      </c>
      <c r="T54" s="9">
        <f t="shared" si="24"/>
        <v>-2.7744993586953037</v>
      </c>
      <c r="U54" s="9">
        <f t="shared" si="25"/>
        <v>-2.6966016151836949</v>
      </c>
      <c r="V54" s="9">
        <f t="shared" si="26"/>
        <v>-2.6976364811666693</v>
      </c>
      <c r="W54" s="9">
        <f t="shared" si="27"/>
        <v>-2.7316620054931349</v>
      </c>
      <c r="X54" s="9">
        <f t="shared" si="28"/>
        <v>-2.6765797819449966</v>
      </c>
      <c r="Y54" s="9">
        <f t="shared" si="29"/>
        <v>-3.1512843655895182</v>
      </c>
      <c r="Z54" s="9">
        <f t="shared" si="30"/>
        <v>-3.1414832160104917</v>
      </c>
      <c r="AA54" s="9">
        <f t="shared" si="31"/>
        <v>-2.9556199703522665</v>
      </c>
      <c r="AB54" s="9">
        <f t="shared" si="32"/>
        <v>-2.7490133982192191</v>
      </c>
      <c r="AC54" s="9">
        <f t="shared" si="33"/>
        <v>-3.1151816141924611</v>
      </c>
      <c r="AD54" s="9">
        <f t="shared" si="34"/>
        <v>-3.0262968292495991</v>
      </c>
      <c r="AE54" s="9">
        <f t="shared" si="35"/>
        <v>-2.3088751736058857</v>
      </c>
      <c r="AF54" s="9">
        <f t="shared" si="36"/>
        <v>-2.8273772916921498</v>
      </c>
      <c r="AG54" s="9">
        <f t="shared" si="37"/>
        <v>-3.1527808417291041</v>
      </c>
      <c r="AH54" s="5"/>
      <c r="AI54" s="9">
        <f t="shared" si="56"/>
        <v>7.4831201599415573</v>
      </c>
      <c r="AJ54" s="9">
        <f t="shared" si="39"/>
        <v>7.6978466914006516</v>
      </c>
      <c r="AK54" s="9">
        <f t="shared" si="40"/>
        <v>7.2716602710113118</v>
      </c>
      <c r="AL54" s="9">
        <f t="shared" si="41"/>
        <v>7.2772425845212902</v>
      </c>
      <c r="AM54" s="9">
        <f t="shared" si="42"/>
        <v>7.4619773122547759</v>
      </c>
      <c r="AN54" s="9">
        <f t="shared" si="43"/>
        <v>7.1640793291167251</v>
      </c>
      <c r="AO54" s="9">
        <f t="shared" si="44"/>
        <v>9.9305931528089317</v>
      </c>
      <c r="AP54" s="9">
        <f t="shared" si="45"/>
        <v>9.8689167964756219</v>
      </c>
      <c r="AQ54" s="9">
        <f t="shared" si="46"/>
        <v>8.7356894091451327</v>
      </c>
      <c r="AR54" s="9">
        <f t="shared" si="47"/>
        <v>7.5570746635887787</v>
      </c>
      <c r="AS54" s="9">
        <f t="shared" si="48"/>
        <v>9.7043564894027483</v>
      </c>
      <c r="AT54" s="9">
        <f t="shared" si="49"/>
        <v>9.1584724987261765</v>
      </c>
      <c r="AU54" s="9">
        <f t="shared" si="50"/>
        <v>5.3309045672936088</v>
      </c>
      <c r="AV54" s="9">
        <f t="shared" si="51"/>
        <v>7.9940623495764358</v>
      </c>
      <c r="AW54" s="9">
        <f t="shared" si="52"/>
        <v>9.9400270359740777</v>
      </c>
      <c r="AY54" s="10" t="s">
        <v>122</v>
      </c>
      <c r="AZ54" s="10" t="s">
        <v>148</v>
      </c>
      <c r="BA54" s="14">
        <v>-1.0228042157669588</v>
      </c>
      <c r="BB54" s="14">
        <v>-0.36607368197395346</v>
      </c>
      <c r="BC54" s="14">
        <v>0</v>
      </c>
      <c r="BD54" s="14">
        <v>0</v>
      </c>
      <c r="BE54" s="14">
        <v>0</v>
      </c>
      <c r="BF54" s="14">
        <v>0</v>
      </c>
      <c r="BG54" s="14">
        <v>0.76238461014012948</v>
      </c>
      <c r="BI54" s="15">
        <v>424.22489251237209</v>
      </c>
      <c r="BJ54" s="16">
        <v>165.30238732164986</v>
      </c>
      <c r="BK54" s="14">
        <v>2.132721564475609</v>
      </c>
      <c r="BM54" s="10" t="str">
        <f t="shared" si="75"/>
        <v>ARMA(3,0)</v>
      </c>
      <c r="BN54" s="18">
        <f t="shared" si="76"/>
        <v>2.1169601785858654</v>
      </c>
    </row>
    <row r="55" spans="1:66" x14ac:dyDescent="0.15">
      <c r="A55" s="8">
        <v>39903</v>
      </c>
      <c r="B55" s="6">
        <v>0.79398472359597516</v>
      </c>
      <c r="C55" s="9">
        <f t="shared" si="57"/>
        <v>0.57837996146856363</v>
      </c>
      <c r="D55" s="9">
        <f t="shared" si="58"/>
        <v>0.29675248973050711</v>
      </c>
      <c r="E55" s="9">
        <f t="shared" si="59"/>
        <v>0.26553492282605973</v>
      </c>
      <c r="F55" s="9">
        <f t="shared" si="64"/>
        <v>0.10281722225732703</v>
      </c>
      <c r="G55" s="9">
        <f t="shared" si="65"/>
        <v>0.5728273186479711</v>
      </c>
      <c r="H55" s="9">
        <f t="shared" si="62"/>
        <v>0.53352856166854945</v>
      </c>
      <c r="I55" s="9">
        <f t="shared" si="53"/>
        <v>0.46442753228912603</v>
      </c>
      <c r="J55" s="9">
        <f t="shared" si="60"/>
        <v>0.45949495631615755</v>
      </c>
      <c r="K55" s="9">
        <f t="shared" si="66"/>
        <v>0.39269688650834345</v>
      </c>
      <c r="L55" s="9">
        <f t="shared" si="67"/>
        <v>0.59107384848271205</v>
      </c>
      <c r="M55" s="9">
        <f t="shared" si="54"/>
        <v>0.48328946345972257</v>
      </c>
      <c r="N55" s="9">
        <f t="shared" si="68"/>
        <v>0.35921407466392657</v>
      </c>
      <c r="O55" s="9">
        <f t="shared" si="69"/>
        <v>0.28117795746000335</v>
      </c>
      <c r="P55" s="9">
        <f t="shared" si="63"/>
        <v>-0.10618080304450772</v>
      </c>
      <c r="Q55" s="9">
        <f t="shared" si="61"/>
        <v>0.17903698838315285</v>
      </c>
      <c r="R55" s="5"/>
      <c r="S55" s="9">
        <f t="shared" si="55"/>
        <v>0.21560476212741153</v>
      </c>
      <c r="T55" s="9">
        <f t="shared" si="24"/>
        <v>0.49723223386546805</v>
      </c>
      <c r="U55" s="9">
        <f t="shared" si="25"/>
        <v>0.52844980076991543</v>
      </c>
      <c r="V55" s="9">
        <f t="shared" si="26"/>
        <v>0.69116750133864813</v>
      </c>
      <c r="W55" s="9">
        <f t="shared" si="27"/>
        <v>0.22115740494800407</v>
      </c>
      <c r="X55" s="9">
        <f t="shared" si="28"/>
        <v>0.26045616192742571</v>
      </c>
      <c r="Y55" s="9">
        <f t="shared" si="29"/>
        <v>0.32955719130684913</v>
      </c>
      <c r="Z55" s="9">
        <f t="shared" si="30"/>
        <v>0.33448976727981761</v>
      </c>
      <c r="AA55" s="9">
        <f t="shared" si="31"/>
        <v>0.40128783708763172</v>
      </c>
      <c r="AB55" s="9">
        <f t="shared" si="32"/>
        <v>0.20291087511326311</v>
      </c>
      <c r="AC55" s="9">
        <f t="shared" si="33"/>
        <v>0.31069526013625259</v>
      </c>
      <c r="AD55" s="9">
        <f t="shared" si="34"/>
        <v>0.43477064893204859</v>
      </c>
      <c r="AE55" s="9">
        <f t="shared" si="35"/>
        <v>0.51280676613597187</v>
      </c>
      <c r="AF55" s="9">
        <f t="shared" si="36"/>
        <v>0.90016552664048288</v>
      </c>
      <c r="AG55" s="9">
        <f t="shared" si="37"/>
        <v>0.61494773521282231</v>
      </c>
      <c r="AH55" s="5"/>
      <c r="AI55" s="9">
        <f t="shared" si="56"/>
        <v>4.6485413452017711E-2</v>
      </c>
      <c r="AJ55" s="9">
        <f t="shared" si="39"/>
        <v>0.24723989439484351</v>
      </c>
      <c r="AK55" s="9">
        <f t="shared" si="40"/>
        <v>0.27925919193376331</v>
      </c>
      <c r="AL55" s="9">
        <f t="shared" si="41"/>
        <v>0.47771251490671018</v>
      </c>
      <c r="AM55" s="9">
        <f t="shared" si="42"/>
        <v>4.8910597763335451E-2</v>
      </c>
      <c r="AN55" s="9">
        <f t="shared" si="43"/>
        <v>6.7837412285965404E-2</v>
      </c>
      <c r="AO55" s="9">
        <f t="shared" si="44"/>
        <v>0.10860794234205916</v>
      </c>
      <c r="AP55" s="9">
        <f t="shared" si="45"/>
        <v>0.11188340441490655</v>
      </c>
      <c r="AQ55" s="9">
        <f t="shared" si="46"/>
        <v>0.16103192819446965</v>
      </c>
      <c r="AR55" s="9">
        <f t="shared" si="47"/>
        <v>4.1172823239230258E-2</v>
      </c>
      <c r="AS55" s="9">
        <f t="shared" si="48"/>
        <v>9.6531544671133673E-2</v>
      </c>
      <c r="AT55" s="9">
        <f t="shared" si="49"/>
        <v>0.18902551717279464</v>
      </c>
      <c r="AU55" s="9">
        <f t="shared" si="50"/>
        <v>0.26297077939483332</v>
      </c>
      <c r="AV55" s="9">
        <f t="shared" si="51"/>
        <v>0.81029797535193793</v>
      </c>
      <c r="AW55" s="9">
        <f t="shared" si="52"/>
        <v>0.37816071704337945</v>
      </c>
      <c r="AY55" s="10" t="s">
        <v>123</v>
      </c>
      <c r="AZ55" s="10" t="s">
        <v>130</v>
      </c>
      <c r="BA55" s="14">
        <v>-1.0156571693382936</v>
      </c>
      <c r="BB55" s="14">
        <v>-0.37261111878606423</v>
      </c>
      <c r="BC55" s="14">
        <v>0</v>
      </c>
      <c r="BD55" s="14">
        <v>0.19112801228832288</v>
      </c>
      <c r="BE55" s="14">
        <v>0</v>
      </c>
      <c r="BF55" s="14">
        <v>0</v>
      </c>
      <c r="BG55" s="14">
        <v>0.75524957922808256</v>
      </c>
      <c r="BI55" s="15">
        <v>387.0519225192599</v>
      </c>
      <c r="BJ55" s="16">
        <v>159.2518971990209</v>
      </c>
      <c r="BK55" s="14">
        <v>2.1038691399260148</v>
      </c>
      <c r="BM55" s="10" t="str">
        <f t="shared" si="75"/>
        <v>ARMA(0,1)</v>
      </c>
      <c r="BN55" s="18">
        <f t="shared" si="76"/>
        <v>2.1155341556675982</v>
      </c>
    </row>
    <row r="56" spans="1:66" x14ac:dyDescent="0.15">
      <c r="A56" s="8">
        <v>39994</v>
      </c>
      <c r="B56" s="6">
        <v>1.0121076879682445</v>
      </c>
      <c r="C56" s="9">
        <f t="shared" si="57"/>
        <v>0.57837926847525789</v>
      </c>
      <c r="D56" s="9">
        <f t="shared" si="58"/>
        <v>0.63963291049548088</v>
      </c>
      <c r="E56" s="9">
        <f t="shared" si="59"/>
        <v>0.88616172449307107</v>
      </c>
      <c r="F56" s="9">
        <f t="shared" si="64"/>
        <v>0.86975781654578566</v>
      </c>
      <c r="G56" s="9">
        <f t="shared" si="65"/>
        <v>0.57384024972805237</v>
      </c>
      <c r="H56" s="9">
        <f t="shared" si="62"/>
        <v>0.6676235786779614</v>
      </c>
      <c r="I56" s="9">
        <f t="shared" si="53"/>
        <v>-0.14534647030693637</v>
      </c>
      <c r="J56" s="9">
        <f t="shared" si="60"/>
        <v>-0.13709074890316553</v>
      </c>
      <c r="K56" s="9">
        <f t="shared" si="66"/>
        <v>1.0076514346605068</v>
      </c>
      <c r="L56" s="9">
        <f t="shared" si="67"/>
        <v>0.59162395109060917</v>
      </c>
      <c r="M56" s="9">
        <f t="shared" si="54"/>
        <v>3.7848885601986626E-2</v>
      </c>
      <c r="N56" s="9">
        <f t="shared" si="68"/>
        <v>0.98063659825441796</v>
      </c>
      <c r="O56" s="9">
        <f t="shared" si="69"/>
        <v>0.67936983959426112</v>
      </c>
      <c r="P56" s="9">
        <f t="shared" si="63"/>
        <v>0.6917217136355569</v>
      </c>
      <c r="Q56" s="9">
        <f t="shared" si="61"/>
        <v>-4.9532167464138355E-2</v>
      </c>
      <c r="R56" s="5"/>
      <c r="S56" s="9">
        <f t="shared" si="55"/>
        <v>0.43372841949298657</v>
      </c>
      <c r="T56" s="9">
        <f t="shared" si="24"/>
        <v>0.37247477747276359</v>
      </c>
      <c r="U56" s="9">
        <f t="shared" si="25"/>
        <v>0.12594596347517339</v>
      </c>
      <c r="V56" s="9">
        <f t="shared" si="26"/>
        <v>0.14234987142245881</v>
      </c>
      <c r="W56" s="9">
        <f t="shared" si="27"/>
        <v>0.4382674382401921</v>
      </c>
      <c r="X56" s="9">
        <f t="shared" si="28"/>
        <v>0.34448410929028306</v>
      </c>
      <c r="Y56" s="9">
        <f t="shared" si="29"/>
        <v>1.1574541582751809</v>
      </c>
      <c r="Z56" s="9">
        <f t="shared" si="30"/>
        <v>1.1491984368714099</v>
      </c>
      <c r="AA56" s="9">
        <f t="shared" si="31"/>
        <v>4.4562533077376898E-3</v>
      </c>
      <c r="AB56" s="9">
        <f t="shared" si="32"/>
        <v>0.42048373687763529</v>
      </c>
      <c r="AC56" s="9">
        <f t="shared" si="33"/>
        <v>0.97425880236625784</v>
      </c>
      <c r="AD56" s="9">
        <f t="shared" si="34"/>
        <v>3.1471089713826506E-2</v>
      </c>
      <c r="AE56" s="9">
        <f t="shared" si="35"/>
        <v>0.33273784837398335</v>
      </c>
      <c r="AF56" s="9">
        <f t="shared" si="36"/>
        <v>0.32038597433268756</v>
      </c>
      <c r="AG56" s="9">
        <f t="shared" si="37"/>
        <v>1.0616398554323827</v>
      </c>
      <c r="AH56" s="5"/>
      <c r="AI56" s="9">
        <f t="shared" si="56"/>
        <v>0.18812034187588414</v>
      </c>
      <c r="AJ56" s="9">
        <f t="shared" si="39"/>
        <v>0.13873745985338476</v>
      </c>
      <c r="AK56" s="9">
        <f t="shared" si="40"/>
        <v>1.5862385715689712E-2</v>
      </c>
      <c r="AL56" s="9">
        <f t="shared" si="41"/>
        <v>2.0263485893990553E-2</v>
      </c>
      <c r="AM56" s="9">
        <f t="shared" si="42"/>
        <v>0.19207834742162058</v>
      </c>
      <c r="AN56" s="9">
        <f t="shared" si="43"/>
        <v>0.11866930155351968</v>
      </c>
      <c r="AO56" s="9">
        <f t="shared" si="44"/>
        <v>1.3397001285085077</v>
      </c>
      <c r="AP56" s="9">
        <f t="shared" si="45"/>
        <v>1.3206570473076917</v>
      </c>
      <c r="AQ56" s="9">
        <f t="shared" si="46"/>
        <v>1.9858193542723103E-5</v>
      </c>
      <c r="AR56" s="9">
        <f t="shared" si="47"/>
        <v>0.17680657297858043</v>
      </c>
      <c r="AS56" s="9">
        <f t="shared" si="48"/>
        <v>0.94918021398813501</v>
      </c>
      <c r="AT56" s="9">
        <f t="shared" si="49"/>
        <v>9.9042948777571644E-4</v>
      </c>
      <c r="AU56" s="9">
        <f t="shared" si="50"/>
        <v>0.11071447574054794</v>
      </c>
      <c r="AV56" s="9">
        <f t="shared" si="51"/>
        <v>0.10264717254910553</v>
      </c>
      <c r="AW56" s="9">
        <f t="shared" si="52"/>
        <v>1.1270791826424904</v>
      </c>
      <c r="AY56" s="10" t="s">
        <v>126</v>
      </c>
      <c r="AZ56" s="10" t="s">
        <v>152</v>
      </c>
      <c r="BA56" s="14">
        <v>0.9</v>
      </c>
      <c r="BB56" s="14">
        <v>0</v>
      </c>
      <c r="BC56" s="14">
        <v>0</v>
      </c>
      <c r="BD56" s="14">
        <v>7.9476322385172049E-2</v>
      </c>
      <c r="BE56" s="14">
        <v>-0.10922480937588293</v>
      </c>
      <c r="BF56" s="14">
        <v>0</v>
      </c>
      <c r="BG56" s="14">
        <v>0.25840069973732455</v>
      </c>
      <c r="BI56" s="15">
        <v>483.7533046614505</v>
      </c>
      <c r="BJ56" s="16">
        <v>185.56781173904884</v>
      </c>
      <c r="BK56" s="14">
        <v>2.1148753305881822</v>
      </c>
      <c r="BM56" s="10" t="str">
        <f t="shared" si="75"/>
        <v>ARMA(0,2)</v>
      </c>
      <c r="BN56" s="18">
        <f t="shared" si="76"/>
        <v>2.1148753305881822</v>
      </c>
    </row>
    <row r="57" spans="1:66" x14ac:dyDescent="0.15">
      <c r="A57" s="8">
        <v>40086</v>
      </c>
      <c r="B57" s="6">
        <v>1.8023196436558031</v>
      </c>
      <c r="C57" s="9">
        <f t="shared" si="57"/>
        <v>0.57837978583382954</v>
      </c>
      <c r="D57" s="9">
        <f t="shared" si="58"/>
        <v>0.62655821658148014</v>
      </c>
      <c r="E57" s="9">
        <f t="shared" si="59"/>
        <v>0.34868987173894883</v>
      </c>
      <c r="F57" s="9">
        <f t="shared" si="64"/>
        <v>0.52678559807020164</v>
      </c>
      <c r="G57" s="9">
        <f t="shared" si="65"/>
        <v>0.57377307977494585</v>
      </c>
      <c r="H57" s="9">
        <f t="shared" si="62"/>
        <v>0.48683506642923335</v>
      </c>
      <c r="I57" s="9">
        <f t="shared" si="53"/>
        <v>0.73361984221222953</v>
      </c>
      <c r="J57" s="9">
        <f t="shared" si="60"/>
        <v>0.76317934372489937</v>
      </c>
      <c r="K57" s="9">
        <f t="shared" si="66"/>
        <v>0.33661253191994933</v>
      </c>
      <c r="L57" s="9">
        <f t="shared" si="67"/>
        <v>0.59157235029393096</v>
      </c>
      <c r="M57" s="9">
        <f t="shared" si="54"/>
        <v>0.36130611667818013</v>
      </c>
      <c r="N57" s="9">
        <f t="shared" si="68"/>
        <v>0.38586836154356458</v>
      </c>
      <c r="O57" s="9">
        <f t="shared" si="69"/>
        <v>0.58927386448615537</v>
      </c>
      <c r="P57" s="9">
        <f t="shared" si="63"/>
        <v>0.73936420149124382</v>
      </c>
      <c r="Q57" s="9">
        <f t="shared" si="61"/>
        <v>0.39117454664722395</v>
      </c>
      <c r="R57" s="5"/>
      <c r="S57" s="9">
        <f t="shared" si="55"/>
        <v>1.2239398578219736</v>
      </c>
      <c r="T57" s="9">
        <f t="shared" si="24"/>
        <v>1.1757614270743231</v>
      </c>
      <c r="U57" s="9">
        <f t="shared" si="25"/>
        <v>1.4536297719168543</v>
      </c>
      <c r="V57" s="9">
        <f t="shared" si="26"/>
        <v>1.2755340455856015</v>
      </c>
      <c r="W57" s="9">
        <f t="shared" si="27"/>
        <v>1.2285465638808573</v>
      </c>
      <c r="X57" s="9">
        <f t="shared" si="28"/>
        <v>1.3154845772265698</v>
      </c>
      <c r="Y57" s="9">
        <f t="shared" si="29"/>
        <v>1.0686998014435736</v>
      </c>
      <c r="Z57" s="9">
        <f t="shared" si="30"/>
        <v>1.0391402999309038</v>
      </c>
      <c r="AA57" s="9">
        <f t="shared" si="31"/>
        <v>1.4657071117358538</v>
      </c>
      <c r="AB57" s="9">
        <f t="shared" si="32"/>
        <v>1.2107472933618721</v>
      </c>
      <c r="AC57" s="9">
        <f t="shared" si="33"/>
        <v>1.441013526977623</v>
      </c>
      <c r="AD57" s="9">
        <f t="shared" si="34"/>
        <v>1.4164512821122386</v>
      </c>
      <c r="AE57" s="9">
        <f t="shared" si="35"/>
        <v>1.2130457791696476</v>
      </c>
      <c r="AF57" s="9">
        <f t="shared" si="36"/>
        <v>1.0629554421645593</v>
      </c>
      <c r="AG57" s="9">
        <f t="shared" si="37"/>
        <v>1.4111450970085793</v>
      </c>
      <c r="AH57" s="5"/>
      <c r="AI57" s="9">
        <f t="shared" si="56"/>
        <v>1.4980287755652728</v>
      </c>
      <c r="AJ57" s="9">
        <f t="shared" si="39"/>
        <v>1.3824149333958486</v>
      </c>
      <c r="AK57" s="9">
        <f t="shared" si="40"/>
        <v>2.113039513803046</v>
      </c>
      <c r="AL57" s="9">
        <f t="shared" si="41"/>
        <v>1.6269871014479713</v>
      </c>
      <c r="AM57" s="9">
        <f t="shared" si="42"/>
        <v>1.5093266596234614</v>
      </c>
      <c r="AN57" s="9">
        <f t="shared" si="43"/>
        <v>1.730499672920967</v>
      </c>
      <c r="AO57" s="9">
        <f t="shared" si="44"/>
        <v>1.1421192656055337</v>
      </c>
      <c r="AP57" s="9">
        <f t="shared" si="45"/>
        <v>1.0798125629404889</v>
      </c>
      <c r="AQ57" s="9">
        <f t="shared" si="46"/>
        <v>2.1482973373930587</v>
      </c>
      <c r="AR57" s="9">
        <f t="shared" si="47"/>
        <v>1.4659090083830992</v>
      </c>
      <c r="AS57" s="9">
        <f t="shared" si="48"/>
        <v>2.0765199849324887</v>
      </c>
      <c r="AT57" s="9">
        <f t="shared" si="49"/>
        <v>2.0063342345974045</v>
      </c>
      <c r="AU57" s="9">
        <f t="shared" si="50"/>
        <v>1.4714800623612976</v>
      </c>
      <c r="AV57" s="9">
        <f t="shared" si="51"/>
        <v>1.1298742720272537</v>
      </c>
      <c r="AW57" s="9">
        <f t="shared" si="52"/>
        <v>1.9913304848113527</v>
      </c>
      <c r="AY57" s="10" t="s">
        <v>127</v>
      </c>
      <c r="AZ57" s="10" t="s">
        <v>131</v>
      </c>
      <c r="BA57" s="14">
        <v>0.36058675516203459</v>
      </c>
      <c r="BB57" s="14">
        <v>0</v>
      </c>
      <c r="BC57" s="14">
        <v>0</v>
      </c>
      <c r="BD57" s="14">
        <v>1.954488091147585E-2</v>
      </c>
      <c r="BE57" s="14">
        <v>-0.13358663840279764</v>
      </c>
      <c r="BF57" s="14">
        <v>0</v>
      </c>
      <c r="BG57" s="14">
        <v>0.29520923566553714</v>
      </c>
      <c r="BI57" s="15">
        <v>535.64079983168006</v>
      </c>
      <c r="BJ57" s="16">
        <v>197.590679659503</v>
      </c>
      <c r="BK57" s="14">
        <v>2.2359991495081477</v>
      </c>
      <c r="BM57" s="10" t="str">
        <f t="shared" si="75"/>
        <v>ARMA(2,2)</v>
      </c>
      <c r="BN57" s="18">
        <f t="shared" si="76"/>
        <v>2.1132463679412301</v>
      </c>
    </row>
    <row r="58" spans="1:66" x14ac:dyDescent="0.15">
      <c r="A58" s="8">
        <v>40178</v>
      </c>
      <c r="B58" s="6">
        <v>1.4328985753912837</v>
      </c>
      <c r="C58" s="9">
        <f t="shared" si="57"/>
        <v>0.57837939959648865</v>
      </c>
      <c r="D58" s="9">
        <f t="shared" si="58"/>
        <v>0.71074338172049756</v>
      </c>
      <c r="E58" s="9">
        <f t="shared" si="59"/>
        <v>0.93733562353011513</v>
      </c>
      <c r="F58" s="9">
        <f t="shared" si="64"/>
        <v>0.41962942871478215</v>
      </c>
      <c r="G58" s="9">
        <f t="shared" si="65"/>
        <v>0.5731184439698922</v>
      </c>
      <c r="H58" s="9">
        <f t="shared" si="62"/>
        <v>0.64100691495605178</v>
      </c>
      <c r="I58" s="9">
        <f t="shared" si="53"/>
        <v>0.92499825841839756</v>
      </c>
      <c r="J58" s="9">
        <f t="shared" si="60"/>
        <v>0.90710535812541693</v>
      </c>
      <c r="K58" s="9">
        <f t="shared" si="66"/>
        <v>1.1542287167375611</v>
      </c>
      <c r="L58" s="9">
        <f t="shared" si="67"/>
        <v>0.59124136936009442</v>
      </c>
      <c r="M58" s="9">
        <f t="shared" si="54"/>
        <v>0.96145069217710821</v>
      </c>
      <c r="N58" s="9">
        <f t="shared" si="68"/>
        <v>1.14871498370934</v>
      </c>
      <c r="O58" s="9">
        <f t="shared" si="69"/>
        <v>0.97598402581232457</v>
      </c>
      <c r="P58" s="9">
        <f t="shared" si="63"/>
        <v>0.66196203643890428</v>
      </c>
      <c r="Q58" s="9">
        <f t="shared" si="61"/>
        <v>1.4331751264772858</v>
      </c>
      <c r="R58" s="5"/>
      <c r="S58" s="9">
        <f t="shared" si="55"/>
        <v>0.85451917579479508</v>
      </c>
      <c r="T58" s="9">
        <f t="shared" si="24"/>
        <v>0.72215519367078618</v>
      </c>
      <c r="U58" s="9">
        <f t="shared" si="25"/>
        <v>0.49556295186116861</v>
      </c>
      <c r="V58" s="9">
        <f t="shared" si="26"/>
        <v>1.0132691466765016</v>
      </c>
      <c r="W58" s="9">
        <f t="shared" si="27"/>
        <v>0.85978013142139154</v>
      </c>
      <c r="X58" s="9">
        <f t="shared" si="28"/>
        <v>0.79189166043523196</v>
      </c>
      <c r="Y58" s="9">
        <f t="shared" si="29"/>
        <v>0.50790031697288618</v>
      </c>
      <c r="Z58" s="9">
        <f t="shared" si="30"/>
        <v>0.52579321726586681</v>
      </c>
      <c r="AA58" s="9">
        <f t="shared" si="31"/>
        <v>0.27866985865372262</v>
      </c>
      <c r="AB58" s="9">
        <f t="shared" si="32"/>
        <v>0.84165720603118932</v>
      </c>
      <c r="AC58" s="9">
        <f t="shared" si="33"/>
        <v>0.47144788321417552</v>
      </c>
      <c r="AD58" s="9">
        <f t="shared" si="34"/>
        <v>0.28418359168194374</v>
      </c>
      <c r="AE58" s="9">
        <f t="shared" si="35"/>
        <v>0.45691454957895916</v>
      </c>
      <c r="AF58" s="9">
        <f t="shared" si="36"/>
        <v>0.77093653895237946</v>
      </c>
      <c r="AG58" s="9">
        <f t="shared" si="37"/>
        <v>-2.7655108600210809E-4</v>
      </c>
      <c r="AH58" s="5"/>
      <c r="AI58" s="9">
        <f t="shared" si="56"/>
        <v>0.73020302180101593</v>
      </c>
      <c r="AJ58" s="9">
        <f t="shared" si="39"/>
        <v>0.52150812374569067</v>
      </c>
      <c r="AK58" s="9">
        <f t="shared" si="40"/>
        <v>0.24558263925735491</v>
      </c>
      <c r="AL58" s="9">
        <f t="shared" si="41"/>
        <v>1.0267143636065257</v>
      </c>
      <c r="AM58" s="9">
        <f t="shared" si="42"/>
        <v>0.73922187438698528</v>
      </c>
      <c r="AN58" s="9">
        <f t="shared" si="43"/>
        <v>0.62709240186686876</v>
      </c>
      <c r="AO58" s="9">
        <f t="shared" si="44"/>
        <v>0.25796273198115827</v>
      </c>
      <c r="AP58" s="9">
        <f t="shared" si="45"/>
        <v>0.27645850732279104</v>
      </c>
      <c r="AQ58" s="9">
        <f t="shared" si="46"/>
        <v>7.765689012208575E-2</v>
      </c>
      <c r="AR58" s="9">
        <f t="shared" si="47"/>
        <v>0.70838685246422783</v>
      </c>
      <c r="AS58" s="9">
        <f t="shared" si="48"/>
        <v>0.22226310658712689</v>
      </c>
      <c r="AT58" s="9">
        <f t="shared" si="49"/>
        <v>8.0760313781249718E-2</v>
      </c>
      <c r="AU58" s="9">
        <f t="shared" si="50"/>
        <v>0.20877090561694314</v>
      </c>
      <c r="AV58" s="9">
        <f t="shared" si="51"/>
        <v>0.59434314709187364</v>
      </c>
      <c r="AW58" s="9">
        <f t="shared" si="52"/>
        <v>7.6480503168945385E-8</v>
      </c>
      <c r="AY58" s="10" t="s">
        <v>128</v>
      </c>
      <c r="AZ58" s="10" t="s">
        <v>132</v>
      </c>
      <c r="BA58" s="14">
        <v>-0.50925290398716849</v>
      </c>
      <c r="BB58" s="14">
        <v>0.1857088513545618</v>
      </c>
      <c r="BC58" s="14">
        <v>0.16783484691959319</v>
      </c>
      <c r="BD58" s="14">
        <v>0.17228400475781891</v>
      </c>
      <c r="BE58" s="14">
        <v>0</v>
      </c>
      <c r="BF58" s="14">
        <v>0</v>
      </c>
      <c r="BG58" s="14">
        <v>0.22468327485716491</v>
      </c>
      <c r="BI58" s="15">
        <v>396.57354360818306</v>
      </c>
      <c r="BJ58" s="16">
        <v>166.89029512722536</v>
      </c>
      <c r="BK58" s="14">
        <v>2.0710772469365675</v>
      </c>
      <c r="BM58" s="10" t="str">
        <f t="shared" si="75"/>
        <v>ARMA(1,1)</v>
      </c>
      <c r="BN58" s="18">
        <f t="shared" si="76"/>
        <v>2.111204732012502</v>
      </c>
    </row>
    <row r="59" spans="1:66" x14ac:dyDescent="0.15">
      <c r="A59" s="8">
        <v>40268</v>
      </c>
      <c r="B59" s="6">
        <v>1.8290448346222732</v>
      </c>
      <c r="C59" s="9">
        <f t="shared" si="57"/>
        <v>0.57837968794443861</v>
      </c>
      <c r="D59" s="9">
        <f t="shared" si="58"/>
        <v>0.66320503947852749</v>
      </c>
      <c r="E59" s="9">
        <f t="shared" si="59"/>
        <v>0.35505176059148924</v>
      </c>
      <c r="F59" s="9">
        <f t="shared" si="64"/>
        <v>0.88062372648749754</v>
      </c>
      <c r="G59" s="9">
        <f t="shared" si="65"/>
        <v>0.57400713428909955</v>
      </c>
      <c r="H59" s="9">
        <f t="shared" si="62"/>
        <v>0.56478179901946657</v>
      </c>
      <c r="I59" s="9">
        <f t="shared" si="53"/>
        <v>0.86918768075203623</v>
      </c>
      <c r="J59" s="9">
        <f t="shared" si="60"/>
        <v>0.84413146967120878</v>
      </c>
      <c r="K59" s="9">
        <f t="shared" si="66"/>
        <v>0.37813517473977809</v>
      </c>
      <c r="L59" s="9">
        <f t="shared" si="67"/>
        <v>0.59164384202026277</v>
      </c>
      <c r="M59" s="9">
        <f t="shared" si="54"/>
        <v>1.025868092621546</v>
      </c>
      <c r="N59" s="9">
        <f t="shared" si="68"/>
        <v>0.4963355002759503</v>
      </c>
      <c r="O59" s="9">
        <f t="shared" si="69"/>
        <v>0.87303282203525345</v>
      </c>
      <c r="P59" s="9">
        <f t="shared" si="63"/>
        <v>0.79360079885378998</v>
      </c>
      <c r="Q59" s="9">
        <f t="shared" si="61"/>
        <v>0.66602283455614986</v>
      </c>
      <c r="R59" s="5"/>
      <c r="S59" s="9">
        <f t="shared" si="55"/>
        <v>1.2506651466778345</v>
      </c>
      <c r="T59" s="9">
        <f t="shared" si="24"/>
        <v>1.1658397951437456</v>
      </c>
      <c r="U59" s="9">
        <f t="shared" si="25"/>
        <v>1.4739930740307838</v>
      </c>
      <c r="V59" s="9">
        <f t="shared" si="26"/>
        <v>0.94842110813477565</v>
      </c>
      <c r="W59" s="9">
        <f t="shared" si="27"/>
        <v>1.2550377003331736</v>
      </c>
      <c r="X59" s="9">
        <f t="shared" si="28"/>
        <v>1.2642630356028066</v>
      </c>
      <c r="Y59" s="9">
        <f t="shared" si="29"/>
        <v>0.95985715387023696</v>
      </c>
      <c r="Z59" s="9">
        <f t="shared" si="30"/>
        <v>0.98491336495106441</v>
      </c>
      <c r="AA59" s="9">
        <f t="shared" si="31"/>
        <v>1.4509096598824951</v>
      </c>
      <c r="AB59" s="9">
        <f t="shared" si="32"/>
        <v>1.2374009926020104</v>
      </c>
      <c r="AC59" s="9">
        <f t="shared" si="33"/>
        <v>0.8031767420007272</v>
      </c>
      <c r="AD59" s="9">
        <f t="shared" si="34"/>
        <v>1.332709334346323</v>
      </c>
      <c r="AE59" s="9">
        <f t="shared" si="35"/>
        <v>0.95601201258701973</v>
      </c>
      <c r="AF59" s="9">
        <f t="shared" si="36"/>
        <v>1.0354440357684833</v>
      </c>
      <c r="AG59" s="9">
        <f t="shared" si="37"/>
        <v>1.1630220000661233</v>
      </c>
      <c r="AH59" s="5"/>
      <c r="AI59" s="9">
        <f t="shared" si="56"/>
        <v>1.5641633091146891</v>
      </c>
      <c r="AJ59" s="9">
        <f t="shared" si="39"/>
        <v>1.3591824279408107</v>
      </c>
      <c r="AK59" s="9">
        <f t="shared" si="40"/>
        <v>2.1726555822907199</v>
      </c>
      <c r="AL59" s="9">
        <f t="shared" si="41"/>
        <v>0.89950259835559576</v>
      </c>
      <c r="AM59" s="9">
        <f t="shared" si="42"/>
        <v>1.5751196292575809</v>
      </c>
      <c r="AN59" s="9">
        <f t="shared" si="43"/>
        <v>1.5983610231916234</v>
      </c>
      <c r="AO59" s="9">
        <f t="shared" si="44"/>
        <v>0.92132575583587173</v>
      </c>
      <c r="AP59" s="9">
        <f t="shared" si="45"/>
        <v>0.97005433645922856</v>
      </c>
      <c r="AQ59" s="9">
        <f t="shared" si="46"/>
        <v>2.1051388411403376</v>
      </c>
      <c r="AR59" s="9">
        <f t="shared" si="47"/>
        <v>1.5311612164924406</v>
      </c>
      <c r="AS59" s="9">
        <f t="shared" si="48"/>
        <v>0.64509287889090272</v>
      </c>
      <c r="AT59" s="9">
        <f t="shared" si="49"/>
        <v>1.7761141698538194</v>
      </c>
      <c r="AU59" s="9">
        <f t="shared" si="50"/>
        <v>0.91395896821068401</v>
      </c>
      <c r="AV59" s="9">
        <f t="shared" si="51"/>
        <v>1.0721443512085242</v>
      </c>
      <c r="AW59" s="9">
        <f t="shared" si="52"/>
        <v>1.3526201726378058</v>
      </c>
      <c r="AY59" s="10" t="s">
        <v>149</v>
      </c>
      <c r="AZ59" s="10" t="s">
        <v>153</v>
      </c>
      <c r="BA59" s="14">
        <v>-0.60341656858284909</v>
      </c>
      <c r="BB59" s="14">
        <v>0.24458532946079295</v>
      </c>
      <c r="BC59" s="14">
        <v>0.2988211895423557</v>
      </c>
      <c r="BD59" s="14">
        <v>0</v>
      </c>
      <c r="BE59" s="14">
        <v>0</v>
      </c>
      <c r="BF59" s="14">
        <v>0</v>
      </c>
      <c r="BG59" s="14">
        <v>0.30487631718712577</v>
      </c>
      <c r="BI59" s="15">
        <v>422.06016736855503</v>
      </c>
      <c r="BJ59" s="16">
        <v>169.46940271884171</v>
      </c>
      <c r="BK59" s="14">
        <v>2.1169601785858654</v>
      </c>
      <c r="BM59" s="10" t="str">
        <f t="shared" si="75"/>
        <v>ARMA(1,3)</v>
      </c>
      <c r="BN59" s="18">
        <f t="shared" si="76"/>
        <v>2.1087422925066668</v>
      </c>
    </row>
    <row r="60" spans="1:66" x14ac:dyDescent="0.15">
      <c r="A60" s="8">
        <v>40359</v>
      </c>
      <c r="B60" s="6">
        <v>0.82825551293455035</v>
      </c>
      <c r="C60" s="9">
        <f t="shared" si="57"/>
        <v>0.57837947267643774</v>
      </c>
      <c r="D60" s="9">
        <f t="shared" si="58"/>
        <v>0.70970358574861314</v>
      </c>
      <c r="E60" s="9">
        <f t="shared" si="59"/>
        <v>0.93490726776914168</v>
      </c>
      <c r="F60" s="9">
        <f t="shared" si="64"/>
        <v>0.38423479956923556</v>
      </c>
      <c r="G60" s="9">
        <f t="shared" si="65"/>
        <v>0.57334614414230534</v>
      </c>
      <c r="H60" s="9">
        <f t="shared" si="62"/>
        <v>0.55938060528222278</v>
      </c>
      <c r="I60" s="9">
        <f t="shared" si="53"/>
        <v>0.76380090913228138</v>
      </c>
      <c r="J60" s="9">
        <f t="shared" si="60"/>
        <v>0.75225888563014109</v>
      </c>
      <c r="K60" s="9">
        <f t="shared" si="66"/>
        <v>1.2136944461493979</v>
      </c>
      <c r="L60" s="9">
        <f t="shared" si="67"/>
        <v>0.59143217813117666</v>
      </c>
      <c r="M60" s="9">
        <f t="shared" si="54"/>
        <v>0.93442939099068634</v>
      </c>
      <c r="N60" s="9">
        <f t="shared" si="68"/>
        <v>1.2359483488407565</v>
      </c>
      <c r="O60" s="9">
        <f t="shared" si="69"/>
        <v>0.81981513869302669</v>
      </c>
      <c r="P60" s="9">
        <f t="shared" si="63"/>
        <v>0.76515496527495397</v>
      </c>
      <c r="Q60" s="9">
        <f t="shared" si="61"/>
        <v>1.0841132625337322</v>
      </c>
      <c r="R60" s="5"/>
      <c r="S60" s="9">
        <f t="shared" si="55"/>
        <v>0.24987604025811261</v>
      </c>
      <c r="T60" s="9">
        <f t="shared" si="24"/>
        <v>0.11855192718593721</v>
      </c>
      <c r="U60" s="9">
        <f t="shared" si="25"/>
        <v>-0.10665175483459133</v>
      </c>
      <c r="V60" s="9">
        <f t="shared" si="26"/>
        <v>0.44402071336531479</v>
      </c>
      <c r="W60" s="9">
        <f t="shared" si="27"/>
        <v>0.25490936879224502</v>
      </c>
      <c r="X60" s="9">
        <f t="shared" si="28"/>
        <v>0.26887490765232758</v>
      </c>
      <c r="Y60" s="9">
        <f t="shared" si="29"/>
        <v>6.4454603802268973E-2</v>
      </c>
      <c r="Z60" s="9">
        <f t="shared" si="30"/>
        <v>7.5996627304409259E-2</v>
      </c>
      <c r="AA60" s="9">
        <f t="shared" si="31"/>
        <v>-0.38543893321484757</v>
      </c>
      <c r="AB60" s="9">
        <f t="shared" si="32"/>
        <v>0.2368233348033737</v>
      </c>
      <c r="AC60" s="9">
        <f t="shared" si="33"/>
        <v>-0.10617387805613598</v>
      </c>
      <c r="AD60" s="9">
        <f t="shared" si="34"/>
        <v>-0.4076928359062062</v>
      </c>
      <c r="AE60" s="9">
        <f t="shared" si="35"/>
        <v>8.4403742415236627E-3</v>
      </c>
      <c r="AF60" s="9">
        <f t="shared" si="36"/>
        <v>6.3100547659596384E-2</v>
      </c>
      <c r="AG60" s="9">
        <f t="shared" si="37"/>
        <v>-0.25585774959918184</v>
      </c>
      <c r="AH60" s="5"/>
      <c r="AI60" s="9">
        <f t="shared" si="56"/>
        <v>6.2438035495073915E-2</v>
      </c>
      <c r="AJ60" s="9">
        <f t="shared" si="39"/>
        <v>1.4054559439499759E-2</v>
      </c>
      <c r="AK60" s="9">
        <f t="shared" si="40"/>
        <v>1.1374596809297775E-2</v>
      </c>
      <c r="AL60" s="9">
        <f t="shared" si="41"/>
        <v>0.19715439389744305</v>
      </c>
      <c r="AM60" s="9">
        <f t="shared" si="42"/>
        <v>6.4978786298060781E-2</v>
      </c>
      <c r="AN60" s="9">
        <f t="shared" si="43"/>
        <v>7.2293715965047689E-2</v>
      </c>
      <c r="AO60" s="9">
        <f t="shared" si="44"/>
        <v>4.1543959513074659E-3</v>
      </c>
      <c r="AP60" s="9">
        <f t="shared" si="45"/>
        <v>5.7754873616452833E-3</v>
      </c>
      <c r="AQ60" s="9">
        <f t="shared" si="46"/>
        <v>0.14856317123779972</v>
      </c>
      <c r="AR60" s="9">
        <f t="shared" si="47"/>
        <v>5.6085291907390832E-2</v>
      </c>
      <c r="AS60" s="9">
        <f t="shared" si="48"/>
        <v>1.1272892381479235E-2</v>
      </c>
      <c r="AT60" s="9">
        <f t="shared" si="49"/>
        <v>0.16621344844924477</v>
      </c>
      <c r="AU60" s="9">
        <f t="shared" si="50"/>
        <v>7.1239917336976143E-5</v>
      </c>
      <c r="AV60" s="9">
        <f t="shared" si="51"/>
        <v>3.9816791149409943E-3</v>
      </c>
      <c r="AW60" s="9">
        <f t="shared" si="52"/>
        <v>6.5463188029957639E-2</v>
      </c>
      <c r="AY60" s="10" t="s">
        <v>150</v>
      </c>
      <c r="AZ60" s="10" t="s">
        <v>154</v>
      </c>
      <c r="BA60" s="14">
        <v>0</v>
      </c>
      <c r="BB60" s="14">
        <v>0</v>
      </c>
      <c r="BC60" s="14">
        <v>0</v>
      </c>
      <c r="BD60" s="14">
        <v>8.9047033916084595E-2</v>
      </c>
      <c r="BE60" s="14">
        <v>-0.11084774090075482</v>
      </c>
      <c r="BF60" s="14">
        <v>4.9933877179182594E-2</v>
      </c>
      <c r="BG60" s="14">
        <v>0.25551045166171038</v>
      </c>
      <c r="BI60" s="15">
        <v>482.53270306488275</v>
      </c>
      <c r="BJ60" s="16">
        <v>185.26969903980475</v>
      </c>
      <c r="BK60" s="14">
        <v>2.101458810777336</v>
      </c>
      <c r="BM60" s="10" t="str">
        <f t="shared" si="75"/>
        <v>ARMA(3,3)</v>
      </c>
      <c r="BN60" s="18">
        <f t="shared" si="76"/>
        <v>2.1086508193461873</v>
      </c>
    </row>
    <row r="61" spans="1:66" x14ac:dyDescent="0.15">
      <c r="A61" s="8">
        <v>40451</v>
      </c>
      <c r="B61" s="6">
        <v>1.515005835935046</v>
      </c>
      <c r="C61" s="9">
        <f t="shared" si="57"/>
        <v>0.57837963338613663</v>
      </c>
      <c r="D61" s="9">
        <f t="shared" si="58"/>
        <v>0.59994687292903737</v>
      </c>
      <c r="E61" s="9">
        <f t="shared" si="59"/>
        <v>0.28118858125729007</v>
      </c>
      <c r="F61" s="9">
        <f t="shared" si="64"/>
        <v>0.56224975916270081</v>
      </c>
      <c r="G61" s="9">
        <f t="shared" si="65"/>
        <v>0.5735439401831075</v>
      </c>
      <c r="H61" s="9">
        <f t="shared" si="62"/>
        <v>0.60128022218371213</v>
      </c>
      <c r="I61" s="9">
        <f t="shared" si="53"/>
        <v>0.81586262226498851</v>
      </c>
      <c r="J61" s="9">
        <f t="shared" si="60"/>
        <v>0.81232537197374399</v>
      </c>
      <c r="K61" s="9">
        <f t="shared" si="66"/>
        <v>0.34768867381326607</v>
      </c>
      <c r="L61" s="9">
        <f t="shared" si="67"/>
        <v>0.59138237155393325</v>
      </c>
      <c r="M61" s="9">
        <f t="shared" si="54"/>
        <v>0.7784933951507077</v>
      </c>
      <c r="N61" s="9">
        <f t="shared" si="68"/>
        <v>0.47440664181357362</v>
      </c>
      <c r="O61" s="9">
        <f t="shared" si="69"/>
        <v>0.90507054731392456</v>
      </c>
      <c r="P61" s="9">
        <f t="shared" si="63"/>
        <v>0.53580811116674165</v>
      </c>
      <c r="Q61" s="9">
        <f t="shared" si="61"/>
        <v>0.47121619276624166</v>
      </c>
      <c r="R61" s="5"/>
      <c r="S61" s="9">
        <f t="shared" si="55"/>
        <v>0.93662620254890938</v>
      </c>
      <c r="T61" s="9">
        <f t="shared" si="24"/>
        <v>0.91505896300600864</v>
      </c>
      <c r="U61" s="9">
        <f t="shared" si="25"/>
        <v>1.2338172546777559</v>
      </c>
      <c r="V61" s="9">
        <f t="shared" si="26"/>
        <v>0.9527560767723452</v>
      </c>
      <c r="W61" s="9">
        <f t="shared" si="27"/>
        <v>0.9414618957519385</v>
      </c>
      <c r="X61" s="9">
        <f t="shared" si="28"/>
        <v>0.91372561375133388</v>
      </c>
      <c r="Y61" s="9">
        <f t="shared" si="29"/>
        <v>0.6991432136700575</v>
      </c>
      <c r="Z61" s="9">
        <f t="shared" si="30"/>
        <v>0.70268046396130202</v>
      </c>
      <c r="AA61" s="9">
        <f t="shared" si="31"/>
        <v>1.1673171621217799</v>
      </c>
      <c r="AB61" s="9">
        <f t="shared" si="32"/>
        <v>0.92362346438111276</v>
      </c>
      <c r="AC61" s="9">
        <f t="shared" si="33"/>
        <v>0.73651244078433831</v>
      </c>
      <c r="AD61" s="9">
        <f t="shared" si="34"/>
        <v>1.0405991941214725</v>
      </c>
      <c r="AE61" s="9">
        <f t="shared" si="35"/>
        <v>0.60993528862112145</v>
      </c>
      <c r="AF61" s="9">
        <f t="shared" si="36"/>
        <v>0.97919772476830436</v>
      </c>
      <c r="AG61" s="9">
        <f t="shared" si="37"/>
        <v>1.0437896431688043</v>
      </c>
      <c r="AH61" s="5"/>
      <c r="AI61" s="9">
        <f t="shared" si="56"/>
        <v>0.87726864330119059</v>
      </c>
      <c r="AJ61" s="9">
        <f t="shared" si="39"/>
        <v>0.83733290577763186</v>
      </c>
      <c r="AK61" s="9">
        <f t="shared" si="40"/>
        <v>1.5223050179405544</v>
      </c>
      <c r="AL61" s="9">
        <f t="shared" si="41"/>
        <v>0.90774414182663088</v>
      </c>
      <c r="AM61" s="9">
        <f t="shared" si="42"/>
        <v>0.88635050115283387</v>
      </c>
      <c r="AN61" s="9">
        <f t="shared" si="43"/>
        <v>0.83489449722525177</v>
      </c>
      <c r="AO61" s="9">
        <f t="shared" si="44"/>
        <v>0.48880123322089569</v>
      </c>
      <c r="AP61" s="9">
        <f t="shared" si="45"/>
        <v>0.49375983443287064</v>
      </c>
      <c r="AQ61" s="9">
        <f t="shared" si="46"/>
        <v>1.362629356984046</v>
      </c>
      <c r="AR61" s="9">
        <f t="shared" si="47"/>
        <v>0.85308030395536871</v>
      </c>
      <c r="AS61" s="9">
        <f t="shared" si="48"/>
        <v>0.54245057543010344</v>
      </c>
      <c r="AT61" s="9">
        <f t="shared" si="49"/>
        <v>1.082846682806258</v>
      </c>
      <c r="AU61" s="9">
        <f t="shared" si="50"/>
        <v>0.37202105630533072</v>
      </c>
      <c r="AV61" s="9">
        <f t="shared" si="51"/>
        <v>0.9588281841914239</v>
      </c>
      <c r="AW61" s="9">
        <f t="shared" si="52"/>
        <v>1.0894968191864598</v>
      </c>
      <c r="AY61" s="10" t="s">
        <v>151</v>
      </c>
      <c r="AZ61" s="10" t="s">
        <v>133</v>
      </c>
      <c r="BA61" s="14">
        <v>-0.43471813076145588</v>
      </c>
      <c r="BB61" s="14">
        <v>0.14492757367051384</v>
      </c>
      <c r="BC61" s="14">
        <v>5.6607833098475974E-2</v>
      </c>
      <c r="BD61" s="14">
        <v>0.13991128299402711</v>
      </c>
      <c r="BE61" s="14">
        <v>-0.10702076764527482</v>
      </c>
      <c r="BF61" s="14">
        <v>0</v>
      </c>
      <c r="BG61" s="14">
        <v>0.25027301044080102</v>
      </c>
      <c r="BI61" s="15">
        <v>401.95635898510221</v>
      </c>
      <c r="BJ61" s="16">
        <v>173.25185777236283</v>
      </c>
      <c r="BK61" s="14">
        <v>2.0622068914728526</v>
      </c>
      <c r="BM61" s="10" t="str">
        <f t="shared" si="75"/>
        <v>ARMA(2,1)</v>
      </c>
      <c r="BN61" s="18">
        <f t="shared" si="76"/>
        <v>2.1038691399260148</v>
      </c>
    </row>
    <row r="62" spans="1:66" x14ac:dyDescent="0.15">
      <c r="A62" s="8">
        <v>40543</v>
      </c>
      <c r="B62" s="6">
        <v>1.0380870897764405</v>
      </c>
      <c r="C62" s="9">
        <f t="shared" si="57"/>
        <v>0.57837951340728599</v>
      </c>
      <c r="D62" s="9">
        <f t="shared" si="58"/>
        <v>0.68342152843110704</v>
      </c>
      <c r="E62" s="9">
        <f t="shared" si="59"/>
        <v>0.96262897197452857</v>
      </c>
      <c r="F62" s="9">
        <f t="shared" si="64"/>
        <v>0.74188439764932146</v>
      </c>
      <c r="G62" s="9">
        <f t="shared" si="65"/>
        <v>0.57377366575072286</v>
      </c>
      <c r="H62" s="9">
        <f t="shared" si="62"/>
        <v>0.56507273207661757</v>
      </c>
      <c r="I62" s="9">
        <f t="shared" si="53"/>
        <v>0.64221678455712228</v>
      </c>
      <c r="J62" s="9">
        <f t="shared" si="60"/>
        <v>0.63060410705156167</v>
      </c>
      <c r="K62" s="9">
        <f t="shared" si="66"/>
        <v>1.2481004159877824</v>
      </c>
      <c r="L62" s="9">
        <f t="shared" si="67"/>
        <v>0.59158677040907359</v>
      </c>
      <c r="M62" s="9">
        <f t="shared" si="54"/>
        <v>0.73809431484841714</v>
      </c>
      <c r="N62" s="9">
        <f t="shared" si="68"/>
        <v>1.2618845484935211</v>
      </c>
      <c r="O62" s="9">
        <f t="shared" si="69"/>
        <v>0.67464169035938326</v>
      </c>
      <c r="P62" s="9">
        <f t="shared" si="63"/>
        <v>0.79740203039176927</v>
      </c>
      <c r="Q62" s="9">
        <f t="shared" si="61"/>
        <v>1.0473352797474462</v>
      </c>
      <c r="R62" s="5"/>
      <c r="S62" s="9">
        <f t="shared" si="55"/>
        <v>0.45970757636915449</v>
      </c>
      <c r="T62" s="9">
        <f t="shared" si="24"/>
        <v>0.35466556134533345</v>
      </c>
      <c r="U62" s="9">
        <f t="shared" si="25"/>
        <v>7.5458117801911917E-2</v>
      </c>
      <c r="V62" s="9">
        <f t="shared" si="26"/>
        <v>0.29620269212711903</v>
      </c>
      <c r="W62" s="9">
        <f t="shared" si="27"/>
        <v>0.46431342402571762</v>
      </c>
      <c r="X62" s="9">
        <f t="shared" si="28"/>
        <v>0.47301435769982292</v>
      </c>
      <c r="Y62" s="9">
        <f t="shared" si="29"/>
        <v>0.39587030521931821</v>
      </c>
      <c r="Z62" s="9">
        <f t="shared" si="30"/>
        <v>0.40748298272487882</v>
      </c>
      <c r="AA62" s="9">
        <f t="shared" si="31"/>
        <v>-0.21001332621134194</v>
      </c>
      <c r="AB62" s="9">
        <f t="shared" si="32"/>
        <v>0.44650031936736689</v>
      </c>
      <c r="AC62" s="9">
        <f t="shared" si="33"/>
        <v>0.29999277492802334</v>
      </c>
      <c r="AD62" s="9">
        <f t="shared" si="34"/>
        <v>-0.22379745871708057</v>
      </c>
      <c r="AE62" s="9">
        <f t="shared" si="35"/>
        <v>0.36344539941705722</v>
      </c>
      <c r="AF62" s="9">
        <f t="shared" si="36"/>
        <v>0.24068505938467122</v>
      </c>
      <c r="AG62" s="9">
        <f t="shared" si="37"/>
        <v>-9.248189971005738E-3</v>
      </c>
      <c r="AH62" s="5"/>
      <c r="AI62" s="9">
        <f t="shared" si="56"/>
        <v>0.21133105577120201</v>
      </c>
      <c r="AJ62" s="9">
        <f t="shared" si="39"/>
        <v>0.12578766040440048</v>
      </c>
      <c r="AK62" s="9">
        <f t="shared" si="40"/>
        <v>5.6939275422072163E-3</v>
      </c>
      <c r="AL62" s="9">
        <f t="shared" si="41"/>
        <v>8.7736034823352863E-2</v>
      </c>
      <c r="AM62" s="9">
        <f t="shared" si="42"/>
        <v>0.21558695573048586</v>
      </c>
      <c r="AN62" s="9">
        <f t="shared" si="43"/>
        <v>0.22374258259017601</v>
      </c>
      <c r="AO62" s="9">
        <f t="shared" si="44"/>
        <v>0.15671329855443616</v>
      </c>
      <c r="AP62" s="9">
        <f t="shared" si="45"/>
        <v>0.16604238121036388</v>
      </c>
      <c r="AQ62" s="9">
        <f t="shared" si="46"/>
        <v>4.4105597186351528E-2</v>
      </c>
      <c r="AR62" s="9">
        <f t="shared" si="47"/>
        <v>0.19936253519516065</v>
      </c>
      <c r="AS62" s="9">
        <f t="shared" si="48"/>
        <v>8.9995665009015666E-2</v>
      </c>
      <c r="AT62" s="9">
        <f t="shared" si="49"/>
        <v>5.008530252822338E-2</v>
      </c>
      <c r="AU62" s="9">
        <f t="shared" si="50"/>
        <v>0.13209255835742426</v>
      </c>
      <c r="AV62" s="9">
        <f t="shared" si="51"/>
        <v>5.7929297811002714E-2</v>
      </c>
      <c r="AW62" s="9">
        <f t="shared" si="52"/>
        <v>8.5529017739811113E-5</v>
      </c>
      <c r="AY62" s="10" t="s">
        <v>155</v>
      </c>
      <c r="AZ62" s="10" t="s">
        <v>136</v>
      </c>
      <c r="BA62" s="14">
        <v>-0.78511118411471392</v>
      </c>
      <c r="BB62" s="14">
        <v>-2.6600515871752255E-2</v>
      </c>
      <c r="BC62" s="14">
        <v>0.16177457030513356</v>
      </c>
      <c r="BD62" s="14">
        <v>0.24123994589788722</v>
      </c>
      <c r="BE62" s="14">
        <v>2.9329243562383766E-2</v>
      </c>
      <c r="BF62" s="14">
        <v>-2.7460549894319538E-3</v>
      </c>
      <c r="BG62" s="14">
        <v>0.50995686263844631</v>
      </c>
      <c r="BI62" s="15">
        <v>384.28555248061684</v>
      </c>
      <c r="BJ62" s="16">
        <v>172.71754317769768</v>
      </c>
      <c r="BK62" s="14">
        <v>2.1086508193461873</v>
      </c>
      <c r="BM62" s="48" t="str">
        <f t="shared" si="75"/>
        <v>ARMA(0,3)</v>
      </c>
      <c r="BN62" s="18">
        <f t="shared" si="76"/>
        <v>2.101458810777336</v>
      </c>
    </row>
    <row r="63" spans="1:66" x14ac:dyDescent="0.15">
      <c r="A63" s="8">
        <v>40633</v>
      </c>
      <c r="B63" s="6">
        <v>1.2184055711393471</v>
      </c>
      <c r="C63" s="9">
        <f t="shared" si="57"/>
        <v>0.57837960297826196</v>
      </c>
      <c r="D63" s="9">
        <f t="shared" si="58"/>
        <v>0.62469179467414759</v>
      </c>
      <c r="E63" s="9">
        <f t="shared" si="59"/>
        <v>0.28235545778614579</v>
      </c>
      <c r="F63" s="9">
        <f t="shared" si="64"/>
        <v>0.36533681891615999</v>
      </c>
      <c r="G63" s="9">
        <f t="shared" si="65"/>
        <v>0.57333439078184067</v>
      </c>
      <c r="H63" s="9">
        <f t="shared" si="62"/>
        <v>0.57146902619130779</v>
      </c>
      <c r="I63" s="9">
        <f t="shared" si="53"/>
        <v>0.77437544239090772</v>
      </c>
      <c r="J63" s="9">
        <f t="shared" si="60"/>
        <v>0.77057990305304813</v>
      </c>
      <c r="K63" s="9">
        <f t="shared" si="66"/>
        <v>0.36809569293871325</v>
      </c>
      <c r="L63" s="9">
        <f t="shared" si="67"/>
        <v>0.5913958350747186</v>
      </c>
      <c r="M63" s="9">
        <f t="shared" si="54"/>
        <v>0.73924082950663594</v>
      </c>
      <c r="N63" s="9">
        <f t="shared" si="68"/>
        <v>0.50636059647698062</v>
      </c>
      <c r="O63" s="9">
        <f t="shared" si="69"/>
        <v>0.95928751587400585</v>
      </c>
      <c r="P63" s="9">
        <f t="shared" si="63"/>
        <v>0.59227332041388736</v>
      </c>
      <c r="Q63" s="9">
        <f t="shared" si="61"/>
        <v>0.42399884677233607</v>
      </c>
      <c r="R63" s="5"/>
      <c r="S63" s="9">
        <f t="shared" si="55"/>
        <v>0.64002596816108515</v>
      </c>
      <c r="T63" s="9">
        <f t="shared" si="24"/>
        <v>0.59371377646519952</v>
      </c>
      <c r="U63" s="9">
        <f t="shared" si="25"/>
        <v>0.93605011335320132</v>
      </c>
      <c r="V63" s="9">
        <f t="shared" si="26"/>
        <v>0.85306875222318712</v>
      </c>
      <c r="W63" s="9">
        <f t="shared" si="27"/>
        <v>0.64507118035750644</v>
      </c>
      <c r="X63" s="9">
        <f t="shared" si="28"/>
        <v>0.64693654494803932</v>
      </c>
      <c r="Y63" s="9">
        <f t="shared" si="29"/>
        <v>0.44403012874843939</v>
      </c>
      <c r="Z63" s="9">
        <f t="shared" si="30"/>
        <v>0.44782566808629898</v>
      </c>
      <c r="AA63" s="9">
        <f t="shared" si="31"/>
        <v>0.85030987820063386</v>
      </c>
      <c r="AB63" s="9">
        <f t="shared" si="32"/>
        <v>0.62700973606462851</v>
      </c>
      <c r="AC63" s="9">
        <f t="shared" si="33"/>
        <v>0.47916474163271117</v>
      </c>
      <c r="AD63" s="9">
        <f t="shared" si="34"/>
        <v>0.71204497466236649</v>
      </c>
      <c r="AE63" s="9">
        <f t="shared" si="35"/>
        <v>0.25911805526534126</v>
      </c>
      <c r="AF63" s="9">
        <f t="shared" si="36"/>
        <v>0.62613225072545975</v>
      </c>
      <c r="AG63" s="9">
        <f t="shared" si="37"/>
        <v>0.79440672436701099</v>
      </c>
      <c r="AH63" s="5"/>
      <c r="AI63" s="9">
        <f t="shared" si="56"/>
        <v>0.40963323992053435</v>
      </c>
      <c r="AJ63" s="9">
        <f t="shared" si="39"/>
        <v>0.35249604836456888</v>
      </c>
      <c r="AK63" s="9">
        <f t="shared" si="40"/>
        <v>0.87618981470854107</v>
      </c>
      <c r="AL63" s="9">
        <f t="shared" si="41"/>
        <v>0.72772629601962546</v>
      </c>
      <c r="AM63" s="9">
        <f t="shared" si="42"/>
        <v>0.4161168277278266</v>
      </c>
      <c r="AN63" s="9">
        <f t="shared" si="43"/>
        <v>0.41852689318930647</v>
      </c>
      <c r="AO63" s="9">
        <f t="shared" si="44"/>
        <v>0.19716275523635565</v>
      </c>
      <c r="AP63" s="9">
        <f t="shared" si="45"/>
        <v>0.20054782899694001</v>
      </c>
      <c r="AQ63" s="9">
        <f t="shared" si="46"/>
        <v>0.72302688896557676</v>
      </c>
      <c r="AR63" s="9">
        <f t="shared" si="47"/>
        <v>0.39314120911983508</v>
      </c>
      <c r="AS63" s="9">
        <f t="shared" si="48"/>
        <v>0.22959884962394284</v>
      </c>
      <c r="AT63" s="9">
        <f t="shared" si="49"/>
        <v>0.50700804594193016</v>
      </c>
      <c r="AU63" s="9">
        <f t="shared" si="50"/>
        <v>6.7142166564492442E-2</v>
      </c>
      <c r="AV63" s="9">
        <f t="shared" si="51"/>
        <v>0.39204159539853001</v>
      </c>
      <c r="AW63" s="9">
        <f t="shared" si="52"/>
        <v>0.63108204371952414</v>
      </c>
      <c r="AY63" s="10" t="s">
        <v>156</v>
      </c>
      <c r="AZ63" s="10" t="s">
        <v>134</v>
      </c>
      <c r="BA63" s="14">
        <v>-1.0506975792940276</v>
      </c>
      <c r="BB63" s="14">
        <v>-0.40028773420256408</v>
      </c>
      <c r="BC63" s="14">
        <v>0</v>
      </c>
      <c r="BD63" s="14">
        <v>0.24714120672834067</v>
      </c>
      <c r="BE63" s="14">
        <v>0.10997850242746936</v>
      </c>
      <c r="BF63" s="14">
        <v>5.0740788807602848E-2</v>
      </c>
      <c r="BG63" s="14">
        <v>0.80678716480384782</v>
      </c>
      <c r="BI63" s="15">
        <v>385.23222404732525</v>
      </c>
      <c r="BJ63" s="16">
        <v>168.23718921129486</v>
      </c>
      <c r="BK63" s="14">
        <v>2.1210222923009945</v>
      </c>
      <c r="BM63" s="48" t="str">
        <f t="shared" si="75"/>
        <v>ARMA(3,1)</v>
      </c>
      <c r="BN63" s="18">
        <f t="shared" si="76"/>
        <v>2.0710772469365675</v>
      </c>
    </row>
    <row r="64" spans="1:66" x14ac:dyDescent="0.15">
      <c r="A64" s="8">
        <v>40724</v>
      </c>
      <c r="B64" s="6">
        <v>0.53579344293956943</v>
      </c>
      <c r="C64" s="9">
        <f t="shared" si="57"/>
        <v>0.5783795361084787</v>
      </c>
      <c r="D64" s="9">
        <f t="shared" si="58"/>
        <v>0.64974426314979716</v>
      </c>
      <c r="E64" s="9">
        <f t="shared" si="59"/>
        <v>0.92424989224333687</v>
      </c>
      <c r="F64" s="9">
        <f t="shared" si="64"/>
        <v>0.67844353202726038</v>
      </c>
      <c r="G64" s="9">
        <f t="shared" si="65"/>
        <v>0.57372975499010592</v>
      </c>
      <c r="H64" s="9">
        <f t="shared" si="62"/>
        <v>0.59353447249424063</v>
      </c>
      <c r="I64" s="9">
        <f t="shared" si="53"/>
        <v>0.70523858556225194</v>
      </c>
      <c r="J64" s="9">
        <f t="shared" si="60"/>
        <v>0.69628383136650673</v>
      </c>
      <c r="K64" s="9">
        <f t="shared" si="66"/>
        <v>1.1961354889238947</v>
      </c>
      <c r="L64" s="9">
        <f t="shared" si="67"/>
        <v>0.59146282718208565</v>
      </c>
      <c r="M64" s="9">
        <f t="shared" si="54"/>
        <v>0.77926125659276546</v>
      </c>
      <c r="N64" s="9">
        <f t="shared" si="68"/>
        <v>1.2006252910968693</v>
      </c>
      <c r="O64" s="9">
        <f t="shared" si="69"/>
        <v>0.64517467094464498</v>
      </c>
      <c r="P64" s="9">
        <f t="shared" si="63"/>
        <v>0.6714195843743207</v>
      </c>
      <c r="Q64" s="9">
        <f t="shared" si="61"/>
        <v>1.0824325931002354</v>
      </c>
      <c r="R64" s="5"/>
      <c r="S64" s="9">
        <f t="shared" si="55"/>
        <v>-4.2586093168909267E-2</v>
      </c>
      <c r="T64" s="9">
        <f t="shared" si="24"/>
        <v>-0.11395082021022773</v>
      </c>
      <c r="U64" s="9">
        <f t="shared" si="25"/>
        <v>-0.38845644930376744</v>
      </c>
      <c r="V64" s="9">
        <f t="shared" si="26"/>
        <v>-0.14265008908769095</v>
      </c>
      <c r="W64" s="9">
        <f t="shared" si="27"/>
        <v>-3.7936312050536491E-2</v>
      </c>
      <c r="X64" s="9">
        <f t="shared" si="28"/>
        <v>-5.7741029554671197E-2</v>
      </c>
      <c r="Y64" s="9">
        <f t="shared" si="29"/>
        <v>-0.16944514262268251</v>
      </c>
      <c r="Z64" s="9">
        <f t="shared" si="30"/>
        <v>-0.1604903884269373</v>
      </c>
      <c r="AA64" s="9">
        <f t="shared" si="31"/>
        <v>-0.66034204598432522</v>
      </c>
      <c r="AB64" s="9">
        <f t="shared" si="32"/>
        <v>-5.5669384242516218E-2</v>
      </c>
      <c r="AC64" s="9">
        <f t="shared" si="33"/>
        <v>-0.24346781365319603</v>
      </c>
      <c r="AD64" s="9">
        <f t="shared" si="34"/>
        <v>-0.6648318481572999</v>
      </c>
      <c r="AE64" s="9">
        <f t="shared" si="35"/>
        <v>-0.10938122800507555</v>
      </c>
      <c r="AF64" s="9">
        <f t="shared" si="36"/>
        <v>-0.13562614143475127</v>
      </c>
      <c r="AG64" s="9">
        <f t="shared" si="37"/>
        <v>-0.546639150160666</v>
      </c>
      <c r="AH64" s="5"/>
      <c r="AI64" s="9">
        <f t="shared" si="56"/>
        <v>1.8135753313910205E-3</v>
      </c>
      <c r="AJ64" s="9">
        <f t="shared" si="39"/>
        <v>1.2984789426583645E-2</v>
      </c>
      <c r="AK64" s="9">
        <f t="shared" si="40"/>
        <v>0.15089841300569043</v>
      </c>
      <c r="AL64" s="9">
        <f t="shared" si="41"/>
        <v>2.0349047916726162E-2</v>
      </c>
      <c r="AM64" s="9">
        <f t="shared" si="42"/>
        <v>1.4391637719956803E-3</v>
      </c>
      <c r="AN64" s="9">
        <f t="shared" si="43"/>
        <v>3.3340264940334126E-3</v>
      </c>
      <c r="AO64" s="9">
        <f t="shared" si="44"/>
        <v>2.8711656358421218E-2</v>
      </c>
      <c r="AP64" s="9">
        <f t="shared" si="45"/>
        <v>2.575716477742921E-2</v>
      </c>
      <c r="AQ64" s="9">
        <f t="shared" si="46"/>
        <v>0.43605161769476469</v>
      </c>
      <c r="AR64" s="9">
        <f t="shared" si="47"/>
        <v>3.0990803419409128E-3</v>
      </c>
      <c r="AS64" s="9">
        <f t="shared" si="48"/>
        <v>5.9276576285067384E-2</v>
      </c>
      <c r="AT64" s="9">
        <f t="shared" si="49"/>
        <v>0.44200138632425107</v>
      </c>
      <c r="AU64" s="9">
        <f t="shared" si="50"/>
        <v>1.1964253039898324E-2</v>
      </c>
      <c r="AV64" s="9">
        <f t="shared" si="51"/>
        <v>1.8394450240479154E-2</v>
      </c>
      <c r="AW64" s="9">
        <f t="shared" si="52"/>
        <v>0.29881436048837517</v>
      </c>
      <c r="AY64" s="10" t="s">
        <v>157</v>
      </c>
      <c r="AZ64" s="10" t="s">
        <v>135</v>
      </c>
      <c r="BA64" s="14">
        <v>-0.57950029827295813</v>
      </c>
      <c r="BB64" s="14">
        <v>0</v>
      </c>
      <c r="BC64" s="14">
        <v>0</v>
      </c>
      <c r="BD64" s="14">
        <v>0.21630738446031406</v>
      </c>
      <c r="BE64" s="14">
        <v>-2.0566610995740451E-2</v>
      </c>
      <c r="BF64" s="14">
        <v>-5.756085206538991E-3</v>
      </c>
      <c r="BG64" s="14">
        <v>0.43928841434159011</v>
      </c>
      <c r="BI64" s="15">
        <v>398.84882382644247</v>
      </c>
      <c r="BJ64" s="16">
        <v>167.5653674133913</v>
      </c>
      <c r="BK64" s="14">
        <v>2.1087422925066668</v>
      </c>
      <c r="BM64" s="48" t="str">
        <f t="shared" si="75"/>
        <v>ARMA(3,2)</v>
      </c>
      <c r="BN64" s="18">
        <f t="shared" si="76"/>
        <v>2.0622068914728526</v>
      </c>
    </row>
    <row r="65" spans="1:66" x14ac:dyDescent="0.15">
      <c r="A65" s="8">
        <v>40816</v>
      </c>
      <c r="B65" s="6">
        <v>-6.7757879052332548E-3</v>
      </c>
      <c r="C65" s="9">
        <f t="shared" si="57"/>
        <v>0.57837958603054185</v>
      </c>
      <c r="D65" s="9">
        <f t="shared" si="58"/>
        <v>0.57558037537236817</v>
      </c>
      <c r="E65" s="9">
        <f t="shared" si="59"/>
        <v>0.25409297813338583</v>
      </c>
      <c r="F65" s="9">
        <f t="shared" si="64"/>
        <v>0.53676213715018983</v>
      </c>
      <c r="G65" s="9">
        <f t="shared" si="65"/>
        <v>0.57354395465944052</v>
      </c>
      <c r="H65" s="9">
        <f t="shared" si="62"/>
        <v>0.54560171868149965</v>
      </c>
      <c r="I65" s="9">
        <f t="shared" si="53"/>
        <v>0.67872587425725139</v>
      </c>
      <c r="J65" s="9">
        <f t="shared" si="60"/>
        <v>0.67379759788901583</v>
      </c>
      <c r="K65" s="9">
        <f t="shared" si="66"/>
        <v>0.35197116379845184</v>
      </c>
      <c r="L65" s="9">
        <f t="shared" si="67"/>
        <v>0.59152342170719829</v>
      </c>
      <c r="M65" s="9">
        <f t="shared" si="54"/>
        <v>0.68033225750192172</v>
      </c>
      <c r="N65" s="9">
        <f t="shared" si="68"/>
        <v>0.46130075476781501</v>
      </c>
      <c r="O65" s="9">
        <f t="shared" si="69"/>
        <v>0.61834869488525279</v>
      </c>
      <c r="P65" s="9">
        <f t="shared" si="63"/>
        <v>0.55806994918544728</v>
      </c>
      <c r="Q65" s="9">
        <f t="shared" si="61"/>
        <v>0.2980721769514173</v>
      </c>
      <c r="R65" s="5"/>
      <c r="S65" s="9">
        <f t="shared" si="55"/>
        <v>-0.5851553739357751</v>
      </c>
      <c r="T65" s="9">
        <f t="shared" si="24"/>
        <v>-0.58235616327760142</v>
      </c>
      <c r="U65" s="9">
        <f t="shared" si="25"/>
        <v>-0.26086876603861908</v>
      </c>
      <c r="V65" s="9">
        <f t="shared" si="26"/>
        <v>-0.54353792505542309</v>
      </c>
      <c r="W65" s="9">
        <f t="shared" si="27"/>
        <v>-0.58031974256467378</v>
      </c>
      <c r="X65" s="9">
        <f t="shared" si="28"/>
        <v>-0.5523775065867329</v>
      </c>
      <c r="Y65" s="9">
        <f t="shared" si="29"/>
        <v>-0.68550166216248465</v>
      </c>
      <c r="Z65" s="9">
        <f t="shared" si="30"/>
        <v>-0.68057338579424909</v>
      </c>
      <c r="AA65" s="9">
        <f t="shared" si="31"/>
        <v>-0.35874695170368509</v>
      </c>
      <c r="AB65" s="9">
        <f t="shared" si="32"/>
        <v>-0.59829920961243155</v>
      </c>
      <c r="AC65" s="9">
        <f t="shared" si="33"/>
        <v>-0.68710804540715498</v>
      </c>
      <c r="AD65" s="9">
        <f t="shared" si="34"/>
        <v>-0.46807654267304827</v>
      </c>
      <c r="AE65" s="9">
        <f t="shared" si="35"/>
        <v>-0.62512448279048605</v>
      </c>
      <c r="AF65" s="9">
        <f t="shared" si="36"/>
        <v>-0.56484573709068053</v>
      </c>
      <c r="AG65" s="9">
        <f t="shared" si="37"/>
        <v>-0.30484796485665056</v>
      </c>
      <c r="AH65" s="5"/>
      <c r="AI65" s="9">
        <f t="shared" si="56"/>
        <v>0.3424068116459168</v>
      </c>
      <c r="AJ65" s="9">
        <f t="shared" si="39"/>
        <v>0.33913870090740839</v>
      </c>
      <c r="AK65" s="9">
        <f t="shared" si="40"/>
        <v>6.8052513094511782E-2</v>
      </c>
      <c r="AL65" s="9">
        <f t="shared" si="41"/>
        <v>0.29543347597355474</v>
      </c>
      <c r="AM65" s="9">
        <f t="shared" si="42"/>
        <v>0.33677100361032924</v>
      </c>
      <c r="AN65" s="9">
        <f t="shared" si="43"/>
        <v>0.30512090978297612</v>
      </c>
      <c r="AO65" s="9">
        <f t="shared" si="44"/>
        <v>0.46991252882752926</v>
      </c>
      <c r="AP65" s="9">
        <f t="shared" si="45"/>
        <v>0.46318013345144782</v>
      </c>
      <c r="AQ65" s="9">
        <f t="shared" si="46"/>
        <v>0.12869937535668616</v>
      </c>
      <c r="AR65" s="9">
        <f t="shared" si="47"/>
        <v>0.35796194422286032</v>
      </c>
      <c r="AS65" s="9">
        <f t="shared" si="48"/>
        <v>0.47211746606324095</v>
      </c>
      <c r="AT65" s="9">
        <f t="shared" si="49"/>
        <v>0.21909564980075397</v>
      </c>
      <c r="AU65" s="9">
        <f t="shared" si="50"/>
        <v>0.39078061898407268</v>
      </c>
      <c r="AV65" s="9">
        <f t="shared" si="51"/>
        <v>0.31905070670951419</v>
      </c>
      <c r="AW65" s="9">
        <f t="shared" si="52"/>
        <v>9.2932281677241657E-2</v>
      </c>
    </row>
    <row r="66" spans="1:66" x14ac:dyDescent="0.15">
      <c r="A66" s="8">
        <v>40908</v>
      </c>
      <c r="B66" s="6">
        <v>0.52923010260081949</v>
      </c>
      <c r="C66" s="9">
        <f t="shared" si="57"/>
        <v>0.57837954876090725</v>
      </c>
      <c r="D66" s="9">
        <f t="shared" si="58"/>
        <v>0.52649107309442789</v>
      </c>
      <c r="E66" s="9">
        <f t="shared" si="59"/>
        <v>0.79582837230692682</v>
      </c>
      <c r="F66" s="9">
        <f t="shared" si="64"/>
        <v>0.33638806895421075</v>
      </c>
      <c r="G66" s="9">
        <f t="shared" si="65"/>
        <v>0.57349310331157244</v>
      </c>
      <c r="H66" s="9">
        <f t="shared" si="62"/>
        <v>0.58048862403256263</v>
      </c>
      <c r="I66" s="9">
        <f t="shared" si="53"/>
        <v>0.50090743109072533</v>
      </c>
      <c r="J66" s="9">
        <f t="shared" si="60"/>
        <v>0.50019674129215641</v>
      </c>
      <c r="K66" s="9">
        <f t="shared" si="66"/>
        <v>0.97533848446477134</v>
      </c>
      <c r="L66" s="9">
        <f t="shared" si="67"/>
        <v>0.59140914529653443</v>
      </c>
      <c r="M66" s="9">
        <f t="shared" si="54"/>
        <v>0.51546956753192119</v>
      </c>
      <c r="N66" s="9">
        <f t="shared" si="68"/>
        <v>0.92193937291530259</v>
      </c>
      <c r="O66" s="9">
        <f t="shared" si="69"/>
        <v>0.5020929136031721</v>
      </c>
      <c r="P66" s="9">
        <f t="shared" si="63"/>
        <v>0.39270858491404137</v>
      </c>
      <c r="Q66" s="9">
        <f t="shared" si="61"/>
        <v>0.7300404382444089</v>
      </c>
      <c r="R66" s="5"/>
      <c r="S66" s="9">
        <f t="shared" si="55"/>
        <v>-4.9149446160087762E-2</v>
      </c>
      <c r="T66" s="9">
        <f t="shared" si="24"/>
        <v>2.7390295063915993E-3</v>
      </c>
      <c r="U66" s="9">
        <f t="shared" si="25"/>
        <v>-0.26659826970610734</v>
      </c>
      <c r="V66" s="9">
        <f t="shared" si="26"/>
        <v>0.19284203364660873</v>
      </c>
      <c r="W66" s="9">
        <f t="shared" si="27"/>
        <v>-4.4263000710752953E-2</v>
      </c>
      <c r="X66" s="9">
        <f t="shared" si="28"/>
        <v>-5.1258521431743143E-2</v>
      </c>
      <c r="Y66" s="9">
        <f t="shared" si="29"/>
        <v>2.8322671510094155E-2</v>
      </c>
      <c r="Z66" s="9">
        <f t="shared" si="30"/>
        <v>2.9033361308663075E-2</v>
      </c>
      <c r="AA66" s="9">
        <f t="shared" si="31"/>
        <v>-0.44610838186395185</v>
      </c>
      <c r="AB66" s="9">
        <f t="shared" si="32"/>
        <v>-6.2179042695714948E-2</v>
      </c>
      <c r="AC66" s="9">
        <f t="shared" si="33"/>
        <v>1.3760535068898294E-2</v>
      </c>
      <c r="AD66" s="9">
        <f t="shared" si="34"/>
        <v>-0.39270927031448311</v>
      </c>
      <c r="AE66" s="9">
        <f t="shared" si="35"/>
        <v>2.7137188997647388E-2</v>
      </c>
      <c r="AF66" s="9">
        <f t="shared" si="36"/>
        <v>0.13652151768677812</v>
      </c>
      <c r="AG66" s="9">
        <f t="shared" si="37"/>
        <v>-0.20081033564358941</v>
      </c>
      <c r="AH66" s="5"/>
      <c r="AI66" s="9">
        <f t="shared" si="56"/>
        <v>2.4156680578433657E-3</v>
      </c>
      <c r="AJ66" s="9">
        <f t="shared" si="39"/>
        <v>7.502282636883808E-6</v>
      </c>
      <c r="AK66" s="9">
        <f t="shared" si="40"/>
        <v>7.1074637410290353E-2</v>
      </c>
      <c r="AL66" s="9">
        <f t="shared" si="41"/>
        <v>3.7188049940959776E-2</v>
      </c>
      <c r="AM66" s="9">
        <f t="shared" si="42"/>
        <v>1.9592132319201164E-3</v>
      </c>
      <c r="AN66" s="9">
        <f t="shared" si="43"/>
        <v>2.6274360193684712E-3</v>
      </c>
      <c r="AO66" s="9">
        <f t="shared" si="44"/>
        <v>8.0217372146869912E-4</v>
      </c>
      <c r="AP66" s="9">
        <f t="shared" si="45"/>
        <v>8.4293606887937407E-4</v>
      </c>
      <c r="AQ66" s="9">
        <f t="shared" si="46"/>
        <v>0.19901268836927349</v>
      </c>
      <c r="AR66" s="9">
        <f t="shared" si="47"/>
        <v>3.8662333505555422E-3</v>
      </c>
      <c r="AS66" s="9">
        <f t="shared" si="48"/>
        <v>1.8935232538237978E-4</v>
      </c>
      <c r="AT66" s="9">
        <f t="shared" si="49"/>
        <v>0.15422057099093375</v>
      </c>
      <c r="AU66" s="9">
        <f t="shared" si="50"/>
        <v>7.3642702669403446E-4</v>
      </c>
      <c r="AV66" s="9">
        <f t="shared" si="51"/>
        <v>1.863812479150127E-2</v>
      </c>
      <c r="AW66" s="9">
        <f t="shared" si="52"/>
        <v>4.0324790901291034E-2</v>
      </c>
    </row>
    <row r="67" spans="1:66" x14ac:dyDescent="0.15">
      <c r="A67" s="8">
        <v>40999</v>
      </c>
      <c r="B67" s="6">
        <v>-0.11889543464554952</v>
      </c>
      <c r="C67" s="9">
        <f t="shared" si="57"/>
        <v>0.57837957658479067</v>
      </c>
      <c r="D67" s="9">
        <f t="shared" si="58"/>
        <v>0.58780957683278501</v>
      </c>
      <c r="E67" s="9">
        <f t="shared" si="59"/>
        <v>0.37016074080285133</v>
      </c>
      <c r="F67" s="9">
        <f t="shared" si="64"/>
        <v>0.72756017868840606</v>
      </c>
      <c r="G67" s="9">
        <f t="shared" si="65"/>
        <v>0.57369420019072925</v>
      </c>
      <c r="H67" s="9">
        <f t="shared" si="62"/>
        <v>0.58149799396078539</v>
      </c>
      <c r="I67" s="9">
        <f t="shared" si="53"/>
        <v>0.42236606211441996</v>
      </c>
      <c r="J67" s="9">
        <f t="shared" si="60"/>
        <v>0.426642339804292</v>
      </c>
      <c r="K67" s="9">
        <f t="shared" si="66"/>
        <v>0.45393899298905649</v>
      </c>
      <c r="L67" s="9">
        <f t="shared" si="67"/>
        <v>0.59149279312266079</v>
      </c>
      <c r="M67" s="9">
        <f t="shared" si="54"/>
        <v>0.41866485422457822</v>
      </c>
      <c r="N67" s="9">
        <f t="shared" si="68"/>
        <v>0.50857636272718854</v>
      </c>
      <c r="O67" s="9">
        <f t="shared" si="69"/>
        <v>0.49991461438243512</v>
      </c>
      <c r="P67" s="9">
        <f t="shared" si="63"/>
        <v>0.58981527263371258</v>
      </c>
      <c r="Q67" s="9">
        <f t="shared" si="61"/>
        <v>9.4514405451187888E-2</v>
      </c>
      <c r="R67" s="5"/>
      <c r="S67" s="9">
        <f t="shared" si="55"/>
        <v>-0.69727501123034019</v>
      </c>
      <c r="T67" s="9">
        <f t="shared" si="24"/>
        <v>-0.70670501147833453</v>
      </c>
      <c r="U67" s="9">
        <f t="shared" si="25"/>
        <v>-0.48905617544840085</v>
      </c>
      <c r="V67" s="9">
        <f t="shared" si="26"/>
        <v>-0.84645561333395558</v>
      </c>
      <c r="W67" s="9">
        <f t="shared" si="27"/>
        <v>-0.69258963483627878</v>
      </c>
      <c r="X67" s="9">
        <f t="shared" si="28"/>
        <v>-0.70039342860633491</v>
      </c>
      <c r="Y67" s="9">
        <f t="shared" si="29"/>
        <v>-0.54126149675996948</v>
      </c>
      <c r="Z67" s="9">
        <f t="shared" si="30"/>
        <v>-0.54553777444984153</v>
      </c>
      <c r="AA67" s="9">
        <f t="shared" si="31"/>
        <v>-0.57283442763460601</v>
      </c>
      <c r="AB67" s="9">
        <f t="shared" si="32"/>
        <v>-0.71038822776821031</v>
      </c>
      <c r="AC67" s="9">
        <f t="shared" si="33"/>
        <v>-0.53756028887012774</v>
      </c>
      <c r="AD67" s="9">
        <f t="shared" si="34"/>
        <v>-0.62747179737273806</v>
      </c>
      <c r="AE67" s="9">
        <f t="shared" si="35"/>
        <v>-0.61881004902798464</v>
      </c>
      <c r="AF67" s="9">
        <f t="shared" si="36"/>
        <v>-0.70871070727926211</v>
      </c>
      <c r="AG67" s="9">
        <f t="shared" si="37"/>
        <v>-0.21340984009673741</v>
      </c>
      <c r="AH67" s="5"/>
      <c r="AI67" s="9">
        <f t="shared" si="56"/>
        <v>0.48619244128627104</v>
      </c>
      <c r="AJ67" s="9">
        <f t="shared" si="39"/>
        <v>0.49943197324859295</v>
      </c>
      <c r="AK67" s="9">
        <f t="shared" si="40"/>
        <v>0.23917594274421705</v>
      </c>
      <c r="AL67" s="9">
        <f t="shared" si="41"/>
        <v>0.71648710534456295</v>
      </c>
      <c r="AM67" s="9">
        <f t="shared" si="42"/>
        <v>0.47968040228264996</v>
      </c>
      <c r="AN67" s="9">
        <f t="shared" si="43"/>
        <v>0.49055095483493716</v>
      </c>
      <c r="AO67" s="9">
        <f t="shared" si="44"/>
        <v>0.29296400787484245</v>
      </c>
      <c r="AP67" s="9">
        <f t="shared" si="45"/>
        <v>0.29761146335168615</v>
      </c>
      <c r="AQ67" s="9">
        <f t="shared" si="46"/>
        <v>0.32813928148346666</v>
      </c>
      <c r="AR67" s="9">
        <f t="shared" si="47"/>
        <v>0.5046514341516587</v>
      </c>
      <c r="AS67" s="9">
        <f t="shared" si="48"/>
        <v>0.28897106417013518</v>
      </c>
      <c r="AT67" s="9">
        <f t="shared" si="49"/>
        <v>0.39372085649817445</v>
      </c>
      <c r="AU67" s="9">
        <f t="shared" si="50"/>
        <v>0.38292587677801676</v>
      </c>
      <c r="AV67" s="9">
        <f t="shared" si="51"/>
        <v>0.50227086661227194</v>
      </c>
      <c r="AW67" s="9">
        <f t="shared" si="52"/>
        <v>4.554375985011503E-2</v>
      </c>
      <c r="AY67" s="12" t="s">
        <v>173</v>
      </c>
      <c r="BM67" s="2" t="s">
        <v>169</v>
      </c>
    </row>
    <row r="68" spans="1:66" ht="10.25" customHeight="1" x14ac:dyDescent="0.15">
      <c r="A68" s="8">
        <v>41090</v>
      </c>
      <c r="B68" s="6">
        <v>2.0318696329990393</v>
      </c>
      <c r="C68" s="9">
        <f t="shared" si="57"/>
        <v>0.57837955581269296</v>
      </c>
      <c r="D68" s="9">
        <f t="shared" si="58"/>
        <v>0.5134592016873557</v>
      </c>
      <c r="E68" s="9">
        <f t="shared" si="59"/>
        <v>0.67607323478063441</v>
      </c>
      <c r="F68" s="9">
        <f t="shared" si="64"/>
        <v>0.36850988874984314</v>
      </c>
      <c r="G68" s="9">
        <f t="shared" si="65"/>
        <v>0.57347348321648983</v>
      </c>
      <c r="H68" s="9">
        <f t="shared" si="62"/>
        <v>0.54084664756791589</v>
      </c>
      <c r="I68" s="9">
        <f t="shared" si="53"/>
        <v>0.55686223085462827</v>
      </c>
      <c r="J68" s="9">
        <f t="shared" si="60"/>
        <v>0.56479276930814171</v>
      </c>
      <c r="K68" s="9">
        <f t="shared" si="66"/>
        <v>0.71542854087391872</v>
      </c>
      <c r="L68" s="9">
        <f t="shared" si="67"/>
        <v>0.59148088941232402</v>
      </c>
      <c r="M68" s="9">
        <f t="shared" si="54"/>
        <v>0.43743924617625873</v>
      </c>
      <c r="N68" s="9">
        <f t="shared" si="68"/>
        <v>0.65089120702156755</v>
      </c>
      <c r="O68" s="9">
        <f t="shared" si="69"/>
        <v>0.4819928224506686</v>
      </c>
      <c r="P68" s="9">
        <f t="shared" si="63"/>
        <v>0.41945535872117168</v>
      </c>
      <c r="Q68" s="9">
        <f t="shared" si="61"/>
        <v>0.6712335381637895</v>
      </c>
      <c r="R68" s="5"/>
      <c r="S68" s="9">
        <f t="shared" si="55"/>
        <v>1.4534900771863464</v>
      </c>
      <c r="T68" s="9">
        <f t="shared" si="24"/>
        <v>1.5184104313116835</v>
      </c>
      <c r="U68" s="9">
        <f t="shared" si="25"/>
        <v>1.3557963982184049</v>
      </c>
      <c r="V68" s="9">
        <f t="shared" si="26"/>
        <v>1.6633597442491963</v>
      </c>
      <c r="W68" s="9">
        <f t="shared" si="27"/>
        <v>1.4583961497825495</v>
      </c>
      <c r="X68" s="9">
        <f t="shared" si="28"/>
        <v>1.4910229854311234</v>
      </c>
      <c r="Y68" s="9">
        <f t="shared" si="29"/>
        <v>1.4750074021444111</v>
      </c>
      <c r="Z68" s="9">
        <f t="shared" si="30"/>
        <v>1.4670768636908975</v>
      </c>
      <c r="AA68" s="9">
        <f t="shared" si="31"/>
        <v>1.3164410921251206</v>
      </c>
      <c r="AB68" s="9">
        <f t="shared" si="32"/>
        <v>1.4403887435867153</v>
      </c>
      <c r="AC68" s="9">
        <f t="shared" si="33"/>
        <v>1.5944303868227805</v>
      </c>
      <c r="AD68" s="9">
        <f t="shared" si="34"/>
        <v>1.3809784259774718</v>
      </c>
      <c r="AE68" s="9">
        <f t="shared" si="35"/>
        <v>1.5498768105483707</v>
      </c>
      <c r="AF68" s="9">
        <f t="shared" si="36"/>
        <v>1.6124142742778678</v>
      </c>
      <c r="AG68" s="9">
        <f t="shared" si="37"/>
        <v>1.3606360948352498</v>
      </c>
      <c r="AH68" s="5"/>
      <c r="AI68" s="9">
        <f t="shared" si="56"/>
        <v>2.1126334044791713</v>
      </c>
      <c r="AJ68" s="9">
        <f t="shared" si="39"/>
        <v>2.3055702379161329</v>
      </c>
      <c r="AK68" s="9">
        <f t="shared" si="40"/>
        <v>1.8381838734219995</v>
      </c>
      <c r="AL68" s="9">
        <f t="shared" si="41"/>
        <v>2.7667656387887516</v>
      </c>
      <c r="AM68" s="9">
        <f t="shared" si="42"/>
        <v>2.1269193297005646</v>
      </c>
      <c r="AN68" s="9">
        <f t="shared" si="43"/>
        <v>2.2231495430839403</v>
      </c>
      <c r="AO68" s="9">
        <f t="shared" si="44"/>
        <v>2.1756468363808046</v>
      </c>
      <c r="AP68" s="9">
        <f t="shared" si="45"/>
        <v>2.1523145239771204</v>
      </c>
      <c r="AQ68" s="9">
        <f t="shared" si="46"/>
        <v>1.7330171490355804</v>
      </c>
      <c r="AR68" s="9">
        <f t="shared" si="47"/>
        <v>2.0747197326513165</v>
      </c>
      <c r="AS68" s="9">
        <f t="shared" si="48"/>
        <v>2.5422082584238415</v>
      </c>
      <c r="AT68" s="9">
        <f t="shared" si="49"/>
        <v>1.9071014130152155</v>
      </c>
      <c r="AU68" s="9">
        <f t="shared" si="50"/>
        <v>2.4021181278755899</v>
      </c>
      <c r="AV68" s="9">
        <f t="shared" si="51"/>
        <v>2.5998797918950229</v>
      </c>
      <c r="AW68" s="9">
        <f t="shared" si="52"/>
        <v>1.8513305825685189</v>
      </c>
      <c r="AY68" s="10" t="s">
        <v>158</v>
      </c>
      <c r="AZ68" s="10" t="s">
        <v>139</v>
      </c>
      <c r="BA68" s="11" t="s">
        <v>163</v>
      </c>
      <c r="BB68" s="11" t="s">
        <v>164</v>
      </c>
      <c r="BC68" s="11" t="s">
        <v>165</v>
      </c>
      <c r="BD68" s="11" t="s">
        <v>166</v>
      </c>
      <c r="BE68" s="11" t="s">
        <v>167</v>
      </c>
      <c r="BF68" s="11" t="s">
        <v>168</v>
      </c>
      <c r="BG68" s="13" t="s">
        <v>159</v>
      </c>
      <c r="BI68" s="13" t="s">
        <v>124</v>
      </c>
      <c r="BJ68" s="13" t="s">
        <v>160</v>
      </c>
      <c r="BK68" s="13" t="s">
        <v>161</v>
      </c>
      <c r="BM68" s="10" t="s">
        <v>139</v>
      </c>
      <c r="BN68" s="13" t="s">
        <v>170</v>
      </c>
    </row>
    <row r="69" spans="1:66" x14ac:dyDescent="0.15">
      <c r="A69" s="8">
        <v>41182</v>
      </c>
      <c r="B69" s="6">
        <v>1.0266309043929445</v>
      </c>
      <c r="C69" s="9">
        <f t="shared" si="57"/>
        <v>0.5783795713202351</v>
      </c>
      <c r="D69" s="9">
        <f t="shared" si="58"/>
        <v>0.74665330630439297</v>
      </c>
      <c r="E69" s="9">
        <f t="shared" si="59"/>
        <v>0.6682213882553818</v>
      </c>
      <c r="F69" s="9">
        <f t="shared" si="64"/>
        <v>0.67313983442655423</v>
      </c>
      <c r="G69" s="9">
        <f t="shared" si="65"/>
        <v>0.57360948468555129</v>
      </c>
      <c r="H69" s="9">
        <f t="shared" si="62"/>
        <v>0.63863529936940377</v>
      </c>
      <c r="I69" s="9">
        <f t="shared" si="53"/>
        <v>0.5461940223845384</v>
      </c>
      <c r="J69" s="9">
        <f t="shared" si="60"/>
        <v>0.53971502534317484</v>
      </c>
      <c r="K69" s="9">
        <f t="shared" si="66"/>
        <v>0.83202362028476262</v>
      </c>
      <c r="L69" s="9">
        <f t="shared" si="67"/>
        <v>0.59143504845850847</v>
      </c>
      <c r="M69" s="9">
        <f t="shared" si="54"/>
        <v>0.65266750560856579</v>
      </c>
      <c r="N69" s="9">
        <f t="shared" si="68"/>
        <v>0.8886957446357191</v>
      </c>
      <c r="O69" s="9">
        <f t="shared" si="69"/>
        <v>0.99759461862984056</v>
      </c>
      <c r="P69" s="9">
        <f t="shared" si="63"/>
        <v>0.84096619560008601</v>
      </c>
      <c r="Q69" s="9">
        <f t="shared" si="61"/>
        <v>0.54863724307273487</v>
      </c>
      <c r="R69" s="5"/>
      <c r="S69" s="9">
        <f t="shared" si="55"/>
        <v>0.44825133307270937</v>
      </c>
      <c r="T69" s="9">
        <f t="shared" si="24"/>
        <v>0.27997759808855149</v>
      </c>
      <c r="U69" s="9">
        <f t="shared" si="25"/>
        <v>0.35840951613756267</v>
      </c>
      <c r="V69" s="9">
        <f t="shared" si="26"/>
        <v>0.35349106996639024</v>
      </c>
      <c r="W69" s="9">
        <f t="shared" si="27"/>
        <v>0.45302141970739318</v>
      </c>
      <c r="X69" s="9">
        <f t="shared" si="28"/>
        <v>0.38799560502354069</v>
      </c>
      <c r="Y69" s="9">
        <f t="shared" si="29"/>
        <v>0.48043688200840606</v>
      </c>
      <c r="Z69" s="9">
        <f t="shared" si="30"/>
        <v>0.48691587904976963</v>
      </c>
      <c r="AA69" s="9">
        <f t="shared" si="31"/>
        <v>0.19460728410818184</v>
      </c>
      <c r="AB69" s="9">
        <f t="shared" si="32"/>
        <v>0.43519585593443599</v>
      </c>
      <c r="AC69" s="9">
        <f t="shared" si="33"/>
        <v>0.37396339878437868</v>
      </c>
      <c r="AD69" s="9">
        <f t="shared" si="34"/>
        <v>0.13793515975722537</v>
      </c>
      <c r="AE69" s="9">
        <f t="shared" si="35"/>
        <v>2.9036285763103908E-2</v>
      </c>
      <c r="AF69" s="9">
        <f t="shared" si="36"/>
        <v>0.18566470879285846</v>
      </c>
      <c r="AG69" s="9">
        <f t="shared" si="37"/>
        <v>0.4779936613202096</v>
      </c>
      <c r="AH69" s="5"/>
      <c r="AI69" s="9">
        <f t="shared" si="56"/>
        <v>0.20092925760146102</v>
      </c>
      <c r="AJ69" s="9">
        <f t="shared" si="39"/>
        <v>7.8387455431434466E-2</v>
      </c>
      <c r="AK69" s="9">
        <f t="shared" si="40"/>
        <v>0.1284573812579618</v>
      </c>
      <c r="AL69" s="9">
        <f t="shared" si="41"/>
        <v>0.1249559365459834</v>
      </c>
      <c r="AM69" s="9">
        <f t="shared" si="42"/>
        <v>0.2052284067137021</v>
      </c>
      <c r="AN69" s="9">
        <f t="shared" si="43"/>
        <v>0.1505405895175834</v>
      </c>
      <c r="AO69" s="9">
        <f t="shared" si="44"/>
        <v>0.23081959759395909</v>
      </c>
      <c r="AP69" s="9">
        <f t="shared" si="45"/>
        <v>0.23708707327080988</v>
      </c>
      <c r="AQ69" s="9">
        <f t="shared" si="46"/>
        <v>3.7871995027962603E-2</v>
      </c>
      <c r="AR69" s="9">
        <f t="shared" si="47"/>
        <v>0.18939543302250636</v>
      </c>
      <c r="AS69" s="9">
        <f t="shared" si="48"/>
        <v>0.13984862363036424</v>
      </c>
      <c r="AT69" s="9">
        <f t="shared" si="49"/>
        <v>1.9026108297251286E-2</v>
      </c>
      <c r="AU69" s="9">
        <f t="shared" si="50"/>
        <v>8.4310589091663075E-4</v>
      </c>
      <c r="AV69" s="9">
        <f t="shared" si="51"/>
        <v>3.4471384091136932E-2</v>
      </c>
      <c r="AW69" s="9">
        <f t="shared" si="52"/>
        <v>0.22847794026229923</v>
      </c>
      <c r="AY69" s="10" t="s">
        <v>118</v>
      </c>
      <c r="AZ69" s="10" t="s">
        <v>146</v>
      </c>
      <c r="BA69" s="14">
        <v>-0.74655637715652323</v>
      </c>
      <c r="BB69" s="14">
        <v>0</v>
      </c>
      <c r="BC69" s="14">
        <v>0</v>
      </c>
      <c r="BD69" s="14">
        <v>0</v>
      </c>
      <c r="BE69" s="14">
        <v>0</v>
      </c>
      <c r="BF69" s="14">
        <v>0</v>
      </c>
      <c r="BG69" s="14">
        <v>1.0101725171291582</v>
      </c>
      <c r="BI69" s="15">
        <v>75.021388692806994</v>
      </c>
      <c r="BJ69" s="16">
        <v>-43.902172294887535</v>
      </c>
      <c r="BK69" s="14">
        <v>1.4646026304671045</v>
      </c>
      <c r="BM69" s="10" t="str">
        <f>INDEX($AZ$69:$BK$83,MATCH(BN69,$BK$69:$BK$83,0),1)</f>
        <v>ARMA(1,1)</v>
      </c>
      <c r="BN69" s="18">
        <f t="shared" ref="BN69:BN83" si="77">LARGE($BK$69:$BK$83,RIGHT(AY69,2))</f>
        <v>1.496964076060709</v>
      </c>
    </row>
    <row r="70" spans="1:66" x14ac:dyDescent="0.15">
      <c r="A70" s="8">
        <v>41274</v>
      </c>
      <c r="B70" s="6">
        <v>0.50734437223682871</v>
      </c>
      <c r="C70" s="9">
        <f t="shared" si="57"/>
        <v>0.57837955974298061</v>
      </c>
      <c r="D70" s="9">
        <f t="shared" si="58"/>
        <v>0.61686442878453918</v>
      </c>
      <c r="E70" s="9">
        <f t="shared" si="59"/>
        <v>0.5488936532144737</v>
      </c>
      <c r="F70" s="9">
        <f t="shared" si="64"/>
        <v>0.66348692324990566</v>
      </c>
      <c r="G70" s="9">
        <f t="shared" si="65"/>
        <v>0.57359647909871581</v>
      </c>
      <c r="H70" s="9">
        <f t="shared" si="62"/>
        <v>0.51960496841950476</v>
      </c>
      <c r="I70" s="9">
        <f t="shared" si="53"/>
        <v>0.9641066216877513</v>
      </c>
      <c r="J70" s="9">
        <f t="shared" si="60"/>
        <v>0.96080581869380111</v>
      </c>
      <c r="K70" s="9">
        <f t="shared" si="66"/>
        <v>0.51723158041841855</v>
      </c>
      <c r="L70" s="9">
        <f t="shared" si="67"/>
        <v>0.59149414670259715</v>
      </c>
      <c r="M70" s="9">
        <f t="shared" si="54"/>
        <v>0.8582767953530861</v>
      </c>
      <c r="N70" s="9">
        <f t="shared" si="68"/>
        <v>0.5584548422461918</v>
      </c>
      <c r="O70" s="9">
        <f t="shared" si="69"/>
        <v>0.72320388546697889</v>
      </c>
      <c r="P70" s="9">
        <f t="shared" si="63"/>
        <v>0.67547725338023934</v>
      </c>
      <c r="Q70" s="9">
        <f t="shared" si="61"/>
        <v>0.99539246112724444</v>
      </c>
      <c r="R70" s="5"/>
      <c r="S70" s="9">
        <f t="shared" si="55"/>
        <v>-7.1035187506151898E-2</v>
      </c>
      <c r="T70" s="9">
        <f t="shared" ref="T70:T94" si="78">$B70-D70</f>
        <v>-0.10952005654771046</v>
      </c>
      <c r="U70" s="9">
        <f t="shared" ref="U70:U94" si="79">$B70-E70</f>
        <v>-4.1549280977644987E-2</v>
      </c>
      <c r="V70" s="9">
        <f t="shared" ref="V70:V94" si="80">$B70-F70</f>
        <v>-0.15614255101307695</v>
      </c>
      <c r="W70" s="9">
        <f t="shared" ref="W70:W94" si="81">$B70-G70</f>
        <v>-6.6252106861887095E-2</v>
      </c>
      <c r="X70" s="9">
        <f t="shared" ref="X70:X94" si="82">$B70-H70</f>
        <v>-1.2260596182676053E-2</v>
      </c>
      <c r="Y70" s="9">
        <f t="shared" ref="Y70:Y94" si="83">$B70-I70</f>
        <v>-0.45676224945092259</v>
      </c>
      <c r="Z70" s="9">
        <f t="shared" ref="Z70:Z94" si="84">$B70-J70</f>
        <v>-0.45346144645697239</v>
      </c>
      <c r="AA70" s="9">
        <f t="shared" ref="AA70:AA94" si="85">$B70-K70</f>
        <v>-9.8872081815898349E-3</v>
      </c>
      <c r="AB70" s="9">
        <f t="shared" ref="AB70:AB94" si="86">$B70-L70</f>
        <v>-8.4149774465768434E-2</v>
      </c>
      <c r="AC70" s="9">
        <f t="shared" ref="AC70:AC94" si="87">$B70-M70</f>
        <v>-0.35093242311625739</v>
      </c>
      <c r="AD70" s="9">
        <f t="shared" ref="AD70:AD94" si="88">$B70-N70</f>
        <v>-5.1110470009363085E-2</v>
      </c>
      <c r="AE70" s="9">
        <f t="shared" ref="AE70:AE94" si="89">$B70-O70</f>
        <v>-0.21585951323015018</v>
      </c>
      <c r="AF70" s="9">
        <f t="shared" ref="AF70:AF94" si="90">$B70-P70</f>
        <v>-0.16813288114341063</v>
      </c>
      <c r="AG70" s="9">
        <f t="shared" ref="AG70:AG94" si="91">$B70-Q70</f>
        <v>-0.48804808889041573</v>
      </c>
      <c r="AH70" s="5"/>
      <c r="AI70" s="9">
        <f t="shared" si="56"/>
        <v>5.0459978640341584E-3</v>
      </c>
      <c r="AJ70" s="9">
        <f t="shared" ref="AJ70:AJ94" si="92">T70^2</f>
        <v>1.1994642786213698E-2</v>
      </c>
      <c r="AK70" s="9">
        <f t="shared" ref="AK70:AK94" si="93">U70^2</f>
        <v>1.7263427497592916E-3</v>
      </c>
      <c r="AL70" s="9">
        <f t="shared" ref="AL70:AL94" si="94">V70^2</f>
        <v>2.4380496236871337E-2</v>
      </c>
      <c r="AM70" s="9">
        <f t="shared" ref="AM70:AM94" si="95">W70^2</f>
        <v>4.3893416636389074E-3</v>
      </c>
      <c r="AN70" s="9">
        <f t="shared" ref="AN70:AN94" si="96">X70^2</f>
        <v>1.5032221875465061E-4</v>
      </c>
      <c r="AO70" s="9">
        <f t="shared" ref="AO70:AO94" si="97">Y70^2</f>
        <v>0.20863175252346683</v>
      </c>
      <c r="AP70" s="9">
        <f t="shared" ref="AP70:AP94" si="98">Z70^2</f>
        <v>0.20562728342284964</v>
      </c>
      <c r="AQ70" s="9">
        <f t="shared" ref="AQ70:AQ94" si="99">AA70^2</f>
        <v>9.7756885626096971E-5</v>
      </c>
      <c r="AR70" s="9">
        <f t="shared" ref="AR70:AR94" si="100">AB70^2</f>
        <v>7.0811845426396935E-3</v>
      </c>
      <c r="AS70" s="9">
        <f t="shared" ref="AS70:AS94" si="101">AC70^2</f>
        <v>0.12315356559424791</v>
      </c>
      <c r="AT70" s="9">
        <f t="shared" ref="AT70:AT94" si="102">AD70^2</f>
        <v>2.6122801445780035E-3</v>
      </c>
      <c r="AU70" s="9">
        <f t="shared" ref="AU70:AU94" si="103">AE70^2</f>
        <v>4.6595329451957379E-2</v>
      </c>
      <c r="AV70" s="9">
        <f t="shared" ref="AV70:AV94" si="104">AF70^2</f>
        <v>2.8268665721584246E-2</v>
      </c>
      <c r="AW70" s="9">
        <f t="shared" ref="AW70:AW94" si="105">AG70^2</f>
        <v>0.23819093706958713</v>
      </c>
      <c r="AY70" s="10" t="s">
        <v>119</v>
      </c>
      <c r="AZ70" s="10" t="s">
        <v>147</v>
      </c>
      <c r="BA70" s="14">
        <v>0</v>
      </c>
      <c r="BB70" s="14">
        <v>0</v>
      </c>
      <c r="BC70" s="14">
        <v>0</v>
      </c>
      <c r="BD70" s="14">
        <v>0.10480090162182364</v>
      </c>
      <c r="BE70" s="14">
        <v>0</v>
      </c>
      <c r="BF70" s="14">
        <v>0</v>
      </c>
      <c r="BG70" s="14">
        <v>0.58752252407094641</v>
      </c>
      <c r="BI70" s="15">
        <v>77.6419590790359</v>
      </c>
      <c r="BJ70" s="16">
        <v>-39.850673518932098</v>
      </c>
      <c r="BK70" s="14">
        <v>1.4752177079692479</v>
      </c>
      <c r="BM70" s="10" t="str">
        <f t="shared" ref="BM70:BM83" si="106">INDEX($AZ$69:$BK$83,MATCH(BN70,$BK$69:$BK$83,0),1)</f>
        <v>ARMA(3,2)</v>
      </c>
      <c r="BN70" s="18">
        <f t="shared" si="77"/>
        <v>1.4799882730512339</v>
      </c>
    </row>
    <row r="71" spans="1:66" x14ac:dyDescent="0.15">
      <c r="A71" s="8">
        <v>41364</v>
      </c>
      <c r="B71" s="6">
        <v>0.35416719976057998</v>
      </c>
      <c r="C71" s="9">
        <f t="shared" si="57"/>
        <v>0.57837956838605376</v>
      </c>
      <c r="D71" s="9">
        <f t="shared" si="58"/>
        <v>0.5760447233990732</v>
      </c>
      <c r="E71" s="9">
        <f t="shared" si="59"/>
        <v>0.59217535804503973</v>
      </c>
      <c r="F71" s="9">
        <f t="shared" si="64"/>
        <v>0.27363418177591803</v>
      </c>
      <c r="G71" s="9">
        <f t="shared" si="65"/>
        <v>0.57351369754468107</v>
      </c>
      <c r="H71" s="9">
        <f t="shared" si="62"/>
        <v>0.5921544155523133</v>
      </c>
      <c r="I71" s="9">
        <f t="shared" ref="I71:I122" si="107">Y70*$BD$16+$BE$16*Y69+$BG$16</f>
        <v>0.66960263851142354</v>
      </c>
      <c r="J71" s="9">
        <f t="shared" si="60"/>
        <v>0.65334594796044321</v>
      </c>
      <c r="K71" s="9">
        <f t="shared" si="66"/>
        <v>0.85887445232758142</v>
      </c>
      <c r="L71" s="9">
        <f t="shared" si="67"/>
        <v>0.5914611197502786</v>
      </c>
      <c r="M71" s="9">
        <f t="shared" ref="M71:M122" si="108">AC70*$BD$20+$BE$20*AC69+$BF$20*AC68+$BG$20</f>
        <v>0.80784259019230342</v>
      </c>
      <c r="N71" s="9">
        <f t="shared" si="68"/>
        <v>0.84728785662657957</v>
      </c>
      <c r="O71" s="9">
        <f t="shared" si="69"/>
        <v>0.33149778833180016</v>
      </c>
      <c r="P71" s="9">
        <f t="shared" si="63"/>
        <v>0.44888440783399119</v>
      </c>
      <c r="Q71" s="9">
        <f t="shared" si="61"/>
        <v>0.69131381487106824</v>
      </c>
      <c r="R71" s="5"/>
      <c r="S71" s="9">
        <f t="shared" ref="S71:S94" si="109">$B71-C71</f>
        <v>-0.22421236862547378</v>
      </c>
      <c r="T71" s="9">
        <f t="shared" si="78"/>
        <v>-0.22187752363849322</v>
      </c>
      <c r="U71" s="9">
        <f t="shared" si="79"/>
        <v>-0.23800815828445976</v>
      </c>
      <c r="V71" s="9">
        <f t="shared" si="80"/>
        <v>8.0533017984661948E-2</v>
      </c>
      <c r="W71" s="9">
        <f t="shared" si="81"/>
        <v>-0.21934649778410109</v>
      </c>
      <c r="X71" s="9">
        <f t="shared" si="82"/>
        <v>-0.23798721579173332</v>
      </c>
      <c r="Y71" s="9">
        <f t="shared" si="83"/>
        <v>-0.31543543875084357</v>
      </c>
      <c r="Z71" s="9">
        <f t="shared" si="84"/>
        <v>-0.29917874819986323</v>
      </c>
      <c r="AA71" s="9">
        <f t="shared" si="85"/>
        <v>-0.50470725256700144</v>
      </c>
      <c r="AB71" s="9">
        <f t="shared" si="86"/>
        <v>-0.23729391998969862</v>
      </c>
      <c r="AC71" s="9">
        <f t="shared" si="87"/>
        <v>-0.45367539043172345</v>
      </c>
      <c r="AD71" s="9">
        <f t="shared" si="88"/>
        <v>-0.4931206568659996</v>
      </c>
      <c r="AE71" s="9">
        <f t="shared" si="89"/>
        <v>2.2669411428779818E-2</v>
      </c>
      <c r="AF71" s="9">
        <f t="shared" si="90"/>
        <v>-9.4717208073411219E-2</v>
      </c>
      <c r="AG71" s="9">
        <f t="shared" si="91"/>
        <v>-0.33714661511048827</v>
      </c>
      <c r="AH71" s="5"/>
      <c r="AI71" s="9">
        <f t="shared" ref="AI71:AI94" si="110">S71^2</f>
        <v>5.0271186244645341E-2</v>
      </c>
      <c r="AJ71" s="9">
        <f t="shared" si="92"/>
        <v>4.9229635495950122E-2</v>
      </c>
      <c r="AK71" s="9">
        <f t="shared" si="93"/>
        <v>5.6647883409960451E-2</v>
      </c>
      <c r="AL71" s="9">
        <f t="shared" si="94"/>
        <v>6.4855669857178848E-3</v>
      </c>
      <c r="AM71" s="9">
        <f t="shared" si="95"/>
        <v>4.8112886090150665E-2</v>
      </c>
      <c r="AN71" s="9">
        <f t="shared" si="96"/>
        <v>5.6637914880301038E-2</v>
      </c>
      <c r="AO71" s="9">
        <f t="shared" si="97"/>
        <v>9.9499516019937187E-2</v>
      </c>
      <c r="AP71" s="9">
        <f t="shared" si="98"/>
        <v>8.9507923374437165E-2</v>
      </c>
      <c r="AQ71" s="9">
        <f t="shared" si="99"/>
        <v>0.25472941079373096</v>
      </c>
      <c r="AR71" s="9">
        <f t="shared" si="100"/>
        <v>5.6308404464077491E-2</v>
      </c>
      <c r="AS71" s="9">
        <f t="shared" si="101"/>
        <v>0.20582135988337671</v>
      </c>
      <c r="AT71" s="9">
        <f t="shared" si="102"/>
        <v>0.24316798222795491</v>
      </c>
      <c r="AU71" s="9">
        <f t="shared" si="103"/>
        <v>5.1390221452729307E-4</v>
      </c>
      <c r="AV71" s="9">
        <f t="shared" si="104"/>
        <v>8.9713495052218747E-3</v>
      </c>
      <c r="AW71" s="9">
        <f t="shared" si="105"/>
        <v>0.11366784008045971</v>
      </c>
      <c r="AY71" s="10" t="s">
        <v>120</v>
      </c>
      <c r="AZ71" s="10" t="s">
        <v>162</v>
      </c>
      <c r="BA71" s="14">
        <v>-0.78441758641930792</v>
      </c>
      <c r="BB71" s="14">
        <v>0</v>
      </c>
      <c r="BC71" s="14">
        <v>0</v>
      </c>
      <c r="BD71" s="14">
        <v>0.12581563262530485</v>
      </c>
      <c r="BE71" s="14">
        <v>0</v>
      </c>
      <c r="BF71" s="14">
        <v>0</v>
      </c>
      <c r="BG71" s="14">
        <v>1.0279647417717428</v>
      </c>
      <c r="BI71" s="15">
        <v>72.680892173577433</v>
      </c>
      <c r="BJ71" s="16">
        <v>-42.871466592991325</v>
      </c>
      <c r="BK71" s="14">
        <v>1.496964076060709</v>
      </c>
      <c r="BM71" s="10" t="str">
        <f t="shared" si="106"/>
        <v>ARMA(3,1)</v>
      </c>
      <c r="BN71" s="18">
        <f t="shared" si="77"/>
        <v>1.4793291671955471</v>
      </c>
    </row>
    <row r="72" spans="1:66" x14ac:dyDescent="0.15">
      <c r="A72" s="8">
        <v>41455</v>
      </c>
      <c r="B72" s="6">
        <v>1.188376944127012</v>
      </c>
      <c r="C72" s="9">
        <f t="shared" ref="C72:C122" si="111">C71*$BA$10+$BG$10</f>
        <v>0.57837956193351237</v>
      </c>
      <c r="D72" s="9">
        <f t="shared" ref="D72:D122" si="112">$T71*$BD$11+$BG$11</f>
        <v>0.56426955954401481</v>
      </c>
      <c r="E72" s="9">
        <f t="shared" ref="E72:E122" si="113">$E71*$BA$12+U71*$BD$12+$BG$12</f>
        <v>0.53350682967252028</v>
      </c>
      <c r="F72" s="9">
        <f t="shared" si="64"/>
        <v>0.7265400404991138</v>
      </c>
      <c r="G72" s="9">
        <f t="shared" si="65"/>
        <v>0.57362937579419593</v>
      </c>
      <c r="H72" s="9">
        <f t="shared" si="62"/>
        <v>0.58167011482800102</v>
      </c>
      <c r="I72" s="9">
        <f t="shared" si="107"/>
        <v>0.45548600133558803</v>
      </c>
      <c r="J72" s="9">
        <f t="shared" ref="J72:J122" si="114">$BA$17*J71+$BD$17*Z71+$BE$17*Z70+$BG$17</f>
        <v>0.45401085981986267</v>
      </c>
      <c r="K72" s="9">
        <f t="shared" si="66"/>
        <v>0.43560806244139771</v>
      </c>
      <c r="L72" s="9">
        <f t="shared" si="67"/>
        <v>0.5914559593174693</v>
      </c>
      <c r="M72" s="9">
        <f t="shared" si="108"/>
        <v>0.50761947259870643</v>
      </c>
      <c r="N72" s="9">
        <f t="shared" si="68"/>
        <v>0.47197247266215092</v>
      </c>
      <c r="O72" s="9">
        <f t="shared" si="69"/>
        <v>0.96924074441647889</v>
      </c>
      <c r="P72" s="9">
        <f t="shared" si="63"/>
        <v>0.55042738497425459</v>
      </c>
      <c r="Q72" s="9">
        <f t="shared" ref="Q72:Q122" si="115">Q71*$BA$24+$BG$24+$BD$24*AG71+$BE$24*AG70+$BF$24*AG69</f>
        <v>0.35498132280795763</v>
      </c>
      <c r="R72" s="5"/>
      <c r="S72" s="9">
        <f t="shared" si="109"/>
        <v>0.60999738219349964</v>
      </c>
      <c r="T72" s="9">
        <f t="shared" si="78"/>
        <v>0.62410738458299719</v>
      </c>
      <c r="U72" s="9">
        <f t="shared" si="79"/>
        <v>0.65487011445449173</v>
      </c>
      <c r="V72" s="9">
        <f t="shared" si="80"/>
        <v>0.4618369036278982</v>
      </c>
      <c r="W72" s="9">
        <f t="shared" si="81"/>
        <v>0.61474756833281607</v>
      </c>
      <c r="X72" s="9">
        <f t="shared" si="82"/>
        <v>0.60670682929901099</v>
      </c>
      <c r="Y72" s="9">
        <f t="shared" si="83"/>
        <v>0.73289094279142397</v>
      </c>
      <c r="Z72" s="9">
        <f t="shared" si="84"/>
        <v>0.73436608430714934</v>
      </c>
      <c r="AA72" s="9">
        <f t="shared" si="85"/>
        <v>0.75276888168561429</v>
      </c>
      <c r="AB72" s="9">
        <f t="shared" si="86"/>
        <v>0.5969209848095427</v>
      </c>
      <c r="AC72" s="9">
        <f t="shared" si="87"/>
        <v>0.68075747152830557</v>
      </c>
      <c r="AD72" s="9">
        <f t="shared" si="88"/>
        <v>0.71640447146486108</v>
      </c>
      <c r="AE72" s="9">
        <f t="shared" si="89"/>
        <v>0.21913619971053311</v>
      </c>
      <c r="AF72" s="9">
        <f t="shared" si="90"/>
        <v>0.63794955915275742</v>
      </c>
      <c r="AG72" s="9">
        <f t="shared" si="91"/>
        <v>0.83339562131905431</v>
      </c>
      <c r="AH72" s="5"/>
      <c r="AI72" s="9">
        <f t="shared" si="110"/>
        <v>0.37209680628292247</v>
      </c>
      <c r="AJ72" s="9">
        <f t="shared" si="92"/>
        <v>0.38951002749102914</v>
      </c>
      <c r="AK72" s="9">
        <f t="shared" si="93"/>
        <v>0.42885486680563911</v>
      </c>
      <c r="AL72" s="9">
        <f t="shared" si="94"/>
        <v>0.21329332555260452</v>
      </c>
      <c r="AM72" s="9">
        <f t="shared" si="95"/>
        <v>0.37791457277111035</v>
      </c>
      <c r="AN72" s="9">
        <f t="shared" si="96"/>
        <v>0.36809317671805925</v>
      </c>
      <c r="AO72" s="9">
        <f t="shared" si="97"/>
        <v>0.53712913402570228</v>
      </c>
      <c r="AP72" s="9">
        <f t="shared" si="98"/>
        <v>0.53929354578061517</v>
      </c>
      <c r="AQ72" s="9">
        <f t="shared" si="99"/>
        <v>0.56666098923421038</v>
      </c>
      <c r="AR72" s="9">
        <f t="shared" si="100"/>
        <v>0.35631466210599433</v>
      </c>
      <c r="AS72" s="9">
        <f t="shared" si="101"/>
        <v>0.46343073504161175</v>
      </c>
      <c r="AT72" s="9">
        <f t="shared" si="102"/>
        <v>0.51323536673484693</v>
      </c>
      <c r="AU72" s="9">
        <f t="shared" si="103"/>
        <v>4.8020674023574648E-2</v>
      </c>
      <c r="AV72" s="9">
        <f t="shared" si="104"/>
        <v>0.40697964002319753</v>
      </c>
      <c r="AW72" s="9">
        <f t="shared" si="105"/>
        <v>0.69454826163377259</v>
      </c>
      <c r="AY72" s="10" t="s">
        <v>121</v>
      </c>
      <c r="AZ72" s="10" t="s">
        <v>129</v>
      </c>
      <c r="BA72" s="14">
        <v>-1.1911010273119664</v>
      </c>
      <c r="BB72" s="14">
        <v>-0.76778304160700872</v>
      </c>
      <c r="BC72" s="14">
        <v>0</v>
      </c>
      <c r="BD72" s="14">
        <v>0.10643465940098959</v>
      </c>
      <c r="BE72" s="14">
        <v>8.643457851265117E-2</v>
      </c>
      <c r="BF72" s="14">
        <v>0</v>
      </c>
      <c r="BG72" s="14">
        <v>1.5668046147643417</v>
      </c>
      <c r="BI72" s="15">
        <v>66.689215809795741</v>
      </c>
      <c r="BJ72" s="16">
        <v>-43.48225813978631</v>
      </c>
      <c r="BK72" s="14">
        <v>1.4547872492118825</v>
      </c>
      <c r="BM72" s="10" t="str">
        <f t="shared" si="106"/>
        <v>ARMA(0,1)</v>
      </c>
      <c r="BN72" s="18">
        <f t="shared" si="77"/>
        <v>1.4752177079692479</v>
      </c>
    </row>
    <row r="73" spans="1:66" x14ac:dyDescent="0.15">
      <c r="A73" s="8">
        <v>41547</v>
      </c>
      <c r="B73" s="6">
        <v>0.49420217950524314</v>
      </c>
      <c r="C73" s="9">
        <f t="shared" si="111"/>
        <v>0.57837956675069835</v>
      </c>
      <c r="D73" s="9">
        <f t="shared" si="112"/>
        <v>0.65292954068408271</v>
      </c>
      <c r="E73" s="9">
        <f t="shared" si="113"/>
        <v>0.69186549983930534</v>
      </c>
      <c r="F73" s="9">
        <f t="shared" si="64"/>
        <v>0.54744663277330885</v>
      </c>
      <c r="G73" s="9">
        <f t="shared" si="65"/>
        <v>0.57354155913736871</v>
      </c>
      <c r="H73" s="9">
        <f t="shared" ref="H73:H122" si="116">H72*$BA$15+$BB$15*H71+$BD$15*X72+$BG$15</f>
        <v>0.55968581119417893</v>
      </c>
      <c r="I73" s="9">
        <f t="shared" si="107"/>
        <v>0.55396874979945399</v>
      </c>
      <c r="J73" s="9">
        <f t="shared" si="114"/>
        <v>0.56053840023969992</v>
      </c>
      <c r="K73" s="9">
        <f t="shared" si="66"/>
        <v>0.94113179355093435</v>
      </c>
      <c r="L73" s="9">
        <f t="shared" si="67"/>
        <v>0.59148496470008793</v>
      </c>
      <c r="M73" s="9">
        <f t="shared" si="108"/>
        <v>0.52336937394646854</v>
      </c>
      <c r="N73" s="9">
        <f t="shared" si="68"/>
        <v>0.92674307140789747</v>
      </c>
      <c r="O73" s="9">
        <f t="shared" si="69"/>
        <v>0.42912019804152746</v>
      </c>
      <c r="P73" s="9">
        <f t="shared" ref="P73:P122" si="117">P72*$BA$23+P71*$BB$23+$BG$23+$BD$23*AF72+$BE$23*AF71+$BF$23*AF70</f>
        <v>0.70417011596814605</v>
      </c>
      <c r="Q73" s="9">
        <f t="shared" si="115"/>
        <v>0.56119307376577354</v>
      </c>
      <c r="R73" s="5"/>
      <c r="S73" s="9">
        <f t="shared" si="109"/>
        <v>-8.4177387245455204E-2</v>
      </c>
      <c r="T73" s="9">
        <f t="shared" si="78"/>
        <v>-0.15872736117883957</v>
      </c>
      <c r="U73" s="9">
        <f t="shared" si="79"/>
        <v>-0.1976633203340622</v>
      </c>
      <c r="V73" s="9">
        <f t="shared" si="80"/>
        <v>-5.3244453268065706E-2</v>
      </c>
      <c r="W73" s="9">
        <f t="shared" si="81"/>
        <v>-7.9339379632125562E-2</v>
      </c>
      <c r="X73" s="9">
        <f t="shared" si="82"/>
        <v>-6.5483631688935784E-2</v>
      </c>
      <c r="Y73" s="9">
        <f t="shared" si="83"/>
        <v>-5.9766570294210841E-2</v>
      </c>
      <c r="Z73" s="9">
        <f t="shared" si="84"/>
        <v>-6.6336220734456774E-2</v>
      </c>
      <c r="AA73" s="9">
        <f t="shared" si="85"/>
        <v>-0.4469296140456912</v>
      </c>
      <c r="AB73" s="9">
        <f t="shared" si="86"/>
        <v>-9.728278519484479E-2</v>
      </c>
      <c r="AC73" s="9">
        <f t="shared" si="87"/>
        <v>-2.9167194441225397E-2</v>
      </c>
      <c r="AD73" s="9">
        <f t="shared" si="88"/>
        <v>-0.43254089190265432</v>
      </c>
      <c r="AE73" s="9">
        <f t="shared" si="89"/>
        <v>6.5081981463715688E-2</v>
      </c>
      <c r="AF73" s="9">
        <f t="shared" si="90"/>
        <v>-0.2099679364629029</v>
      </c>
      <c r="AG73" s="9">
        <f t="shared" si="91"/>
        <v>-6.6990894260530398E-2</v>
      </c>
      <c r="AH73" s="5"/>
      <c r="AI73" s="9">
        <f t="shared" si="110"/>
        <v>7.0858325234713247E-3</v>
      </c>
      <c r="AJ73" s="9">
        <f t="shared" si="92"/>
        <v>2.5194375186797787E-2</v>
      </c>
      <c r="AK73" s="9">
        <f t="shared" si="93"/>
        <v>3.9070788205486089E-2</v>
      </c>
      <c r="AL73" s="9">
        <f t="shared" si="94"/>
        <v>2.8349718038152326E-3</v>
      </c>
      <c r="AM73" s="9">
        <f t="shared" si="95"/>
        <v>6.2947371604105407E-3</v>
      </c>
      <c r="AN73" s="9">
        <f t="shared" si="96"/>
        <v>4.2881060191721949E-3</v>
      </c>
      <c r="AO73" s="9">
        <f t="shared" si="97"/>
        <v>3.572042924732846E-3</v>
      </c>
      <c r="AP73" s="9">
        <f t="shared" si="98"/>
        <v>4.4004941813305725E-3</v>
      </c>
      <c r="AQ73" s="9">
        <f t="shared" si="99"/>
        <v>0.19974607991103049</v>
      </c>
      <c r="AR73" s="9">
        <f t="shared" si="100"/>
        <v>9.4639402952663119E-3</v>
      </c>
      <c r="AS73" s="9">
        <f t="shared" si="101"/>
        <v>8.5072523157224975E-4</v>
      </c>
      <c r="AT73" s="9">
        <f t="shared" si="102"/>
        <v>0.1870916231679437</v>
      </c>
      <c r="AU73" s="9">
        <f t="shared" si="103"/>
        <v>4.2356643112434322E-3</v>
      </c>
      <c r="AV73" s="9">
        <f t="shared" si="104"/>
        <v>4.4086534342489631E-2</v>
      </c>
      <c r="AW73" s="9">
        <f t="shared" si="105"/>
        <v>4.4877799138255646E-3</v>
      </c>
      <c r="AY73" s="10" t="s">
        <v>122</v>
      </c>
      <c r="AZ73" s="10" t="s">
        <v>148</v>
      </c>
      <c r="BA73" s="14">
        <v>-1.2824952508611838</v>
      </c>
      <c r="BB73" s="14">
        <v>-0.73132413989489242</v>
      </c>
      <c r="BC73" s="14">
        <v>0</v>
      </c>
      <c r="BD73" s="14">
        <v>0</v>
      </c>
      <c r="BE73" s="14">
        <v>0</v>
      </c>
      <c r="BF73" s="14">
        <v>0</v>
      </c>
      <c r="BG73" s="14">
        <v>1.7286429209226937</v>
      </c>
      <c r="BI73" s="15">
        <v>67.678809492633164</v>
      </c>
      <c r="BJ73" s="16">
        <v>-51.285503074833898</v>
      </c>
      <c r="BK73" s="14">
        <v>1.4631490301138799</v>
      </c>
      <c r="BM73" s="10" t="str">
        <f t="shared" si="106"/>
        <v>ARMA(2,3)</v>
      </c>
      <c r="BN73" s="18">
        <f t="shared" si="77"/>
        <v>1.4720451594163271</v>
      </c>
    </row>
    <row r="74" spans="1:66" x14ac:dyDescent="0.15">
      <c r="A74" s="8">
        <v>41639</v>
      </c>
      <c r="B74" s="6">
        <v>0.33176174140954195</v>
      </c>
      <c r="C74" s="9">
        <f t="shared" si="111"/>
        <v>0.57837956315439731</v>
      </c>
      <c r="D74" s="9">
        <f t="shared" si="112"/>
        <v>0.57088775350735121</v>
      </c>
      <c r="E74" s="9">
        <f t="shared" si="113"/>
        <v>0.46038414056635846</v>
      </c>
      <c r="F74" s="9">
        <f t="shared" ref="F74:F122" si="118">$F73*$BA$13+$F72*$BB$13+$V73*$BD$13+$BG$13+V72*$BE$13</f>
        <v>0.39116686878397455</v>
      </c>
      <c r="G74" s="9">
        <f t="shared" ref="G74:G122" si="119">$G73*$BA$14+$G72*$BB$14+$BG$14</f>
        <v>0.57356958528636515</v>
      </c>
      <c r="H74" s="9">
        <f t="shared" si="116"/>
        <v>0.58141162197954155</v>
      </c>
      <c r="I74" s="9">
        <f t="shared" si="107"/>
        <v>0.75420342278078834</v>
      </c>
      <c r="J74" s="9">
        <f t="shared" si="114"/>
        <v>0.75370769343270572</v>
      </c>
      <c r="K74" s="9">
        <f t="shared" ref="K74:K122" si="120">K73*$BA$18+K72*$BB$18+$BC$18*K71+$BD$18*AA73+$BG$18</f>
        <v>0.35787977893798995</v>
      </c>
      <c r="L74" s="9">
        <f t="shared" ref="L74:L122" si="121">L73*$BA$19+L72*$BB$19+$BC$19*L71+$BG$19</f>
        <v>0.59145652434719698</v>
      </c>
      <c r="M74" s="9">
        <f t="shared" si="108"/>
        <v>0.64960146403943719</v>
      </c>
      <c r="N74" s="9">
        <f t="shared" ref="N74:N122" si="122">N73*$BA$21+N72*$BB$21+$BC$21*N71+$BG$21+$BD$21*AD73+$BE$21*AD72</f>
        <v>0.41070627373688112</v>
      </c>
      <c r="O74" s="9">
        <f t="shared" ref="O74:O122" si="123">O73*$BA$22+O72*$BB$22+$BC$22*O71+$BG$22+$BD$22*AE73+$BE$22*AE72+$BF$22*AE71</f>
        <v>0.67699157892591888</v>
      </c>
      <c r="P74" s="9">
        <f t="shared" si="117"/>
        <v>0.48267965606796565</v>
      </c>
      <c r="Q74" s="9">
        <f t="shared" si="115"/>
        <v>0.67983876746540961</v>
      </c>
      <c r="R74" s="5"/>
      <c r="S74" s="9">
        <f t="shared" si="109"/>
        <v>-0.24661782174485536</v>
      </c>
      <c r="T74" s="9">
        <f t="shared" si="78"/>
        <v>-0.23912601209780926</v>
      </c>
      <c r="U74" s="9">
        <f t="shared" si="79"/>
        <v>-0.1286223991568165</v>
      </c>
      <c r="V74" s="9">
        <f t="shared" si="80"/>
        <v>-5.9405127374432598E-2</v>
      </c>
      <c r="W74" s="9">
        <f t="shared" si="81"/>
        <v>-0.24180784387682319</v>
      </c>
      <c r="X74" s="9">
        <f t="shared" si="82"/>
        <v>-0.24964988056999959</v>
      </c>
      <c r="Y74" s="9">
        <f t="shared" si="83"/>
        <v>-0.42244168137124638</v>
      </c>
      <c r="Z74" s="9">
        <f t="shared" si="84"/>
        <v>-0.42194595202316376</v>
      </c>
      <c r="AA74" s="9">
        <f t="shared" si="85"/>
        <v>-2.611803752844799E-2</v>
      </c>
      <c r="AB74" s="9">
        <f t="shared" si="86"/>
        <v>-0.25969478293765502</v>
      </c>
      <c r="AC74" s="9">
        <f t="shared" si="87"/>
        <v>-0.31783972262989524</v>
      </c>
      <c r="AD74" s="9">
        <f t="shared" si="88"/>
        <v>-7.8944532327339167E-2</v>
      </c>
      <c r="AE74" s="9">
        <f t="shared" si="89"/>
        <v>-0.34522983751637693</v>
      </c>
      <c r="AF74" s="9">
        <f t="shared" si="90"/>
        <v>-0.15091791465842369</v>
      </c>
      <c r="AG74" s="9">
        <f t="shared" si="91"/>
        <v>-0.34807702605586766</v>
      </c>
      <c r="AH74" s="5"/>
      <c r="AI74" s="9">
        <f t="shared" si="110"/>
        <v>6.0820350002177254E-2</v>
      </c>
      <c r="AJ74" s="9">
        <f t="shared" si="92"/>
        <v>5.7181249661801617E-2</v>
      </c>
      <c r="AK74" s="9">
        <f t="shared" si="93"/>
        <v>1.6543721564855431E-2</v>
      </c>
      <c r="AL74" s="9">
        <f t="shared" si="94"/>
        <v>3.528969158372561E-3</v>
      </c>
      <c r="AM74" s="9">
        <f t="shared" si="95"/>
        <v>5.8471033360358096E-2</v>
      </c>
      <c r="AN74" s="9">
        <f t="shared" si="96"/>
        <v>6.2325062868615062E-2</v>
      </c>
      <c r="AO74" s="9">
        <f t="shared" si="97"/>
        <v>0.17845697415976566</v>
      </c>
      <c r="AP74" s="9">
        <f t="shared" si="98"/>
        <v>0.17803838642873401</v>
      </c>
      <c r="AQ74" s="9">
        <f t="shared" si="99"/>
        <v>6.8215188433741762E-4</v>
      </c>
      <c r="AR74" s="9">
        <f t="shared" si="100"/>
        <v>6.7441380285035754E-2</v>
      </c>
      <c r="AS74" s="9">
        <f t="shared" si="101"/>
        <v>0.10102208928144873</v>
      </c>
      <c r="AT74" s="9">
        <f t="shared" si="102"/>
        <v>6.232239184382299E-3</v>
      </c>
      <c r="AU74" s="9">
        <f t="shared" si="103"/>
        <v>0.11918364071158401</v>
      </c>
      <c r="AV74" s="9">
        <f t="shared" si="104"/>
        <v>2.2776216964847256E-2</v>
      </c>
      <c r="AW74" s="9">
        <f t="shared" si="105"/>
        <v>0.12115761606789717</v>
      </c>
      <c r="AY74" s="10" t="s">
        <v>123</v>
      </c>
      <c r="AZ74" s="10" t="s">
        <v>130</v>
      </c>
      <c r="BA74" s="14">
        <v>-1.2842072019363358</v>
      </c>
      <c r="BB74" s="14">
        <v>-0.73473690768573385</v>
      </c>
      <c r="BC74" s="14">
        <v>0</v>
      </c>
      <c r="BD74" s="14">
        <v>2.1139533791197356E-2</v>
      </c>
      <c r="BE74" s="14">
        <v>0</v>
      </c>
      <c r="BF74" s="14">
        <v>0</v>
      </c>
      <c r="BG74" s="14">
        <v>1.7289229664434762</v>
      </c>
      <c r="BI74" s="15">
        <v>67.529862985565842</v>
      </c>
      <c r="BJ74" s="16">
        <v>-46.774797261214715</v>
      </c>
      <c r="BK74" s="14">
        <v>1.4664209734503968</v>
      </c>
      <c r="BM74" s="10" t="str">
        <f t="shared" si="106"/>
        <v>ARMA(3,0)</v>
      </c>
      <c r="BN74" s="18">
        <f t="shared" si="77"/>
        <v>1.4696924483083302</v>
      </c>
    </row>
    <row r="75" spans="1:66" x14ac:dyDescent="0.15">
      <c r="A75" s="8">
        <v>41729</v>
      </c>
      <c r="B75" s="6">
        <v>0.76794167974441052</v>
      </c>
      <c r="C75" s="9">
        <f t="shared" si="111"/>
        <v>0.57837956583923877</v>
      </c>
      <c r="D75" s="9">
        <f t="shared" si="112"/>
        <v>0.56246190240186489</v>
      </c>
      <c r="E75" s="9">
        <f t="shared" si="113"/>
        <v>0.65064861688325315</v>
      </c>
      <c r="F75" s="9">
        <f t="shared" si="118"/>
        <v>0.66964018830200633</v>
      </c>
      <c r="G75" s="9">
        <f t="shared" si="119"/>
        <v>0.57359786432439996</v>
      </c>
      <c r="H75" s="9">
        <f t="shared" si="116"/>
        <v>0.565770669929192</v>
      </c>
      <c r="I75" s="9">
        <f t="shared" si="107"/>
        <v>0.54326808949051453</v>
      </c>
      <c r="J75" s="9">
        <f t="shared" si="114"/>
        <v>0.53385153656200557</v>
      </c>
      <c r="K75" s="9">
        <f t="shared" si="120"/>
        <v>0.86947672260682596</v>
      </c>
      <c r="L75" s="9">
        <f t="shared" si="121"/>
        <v>0.59146751909374129</v>
      </c>
      <c r="M75" s="9">
        <f t="shared" si="108"/>
        <v>0.62186051505268169</v>
      </c>
      <c r="N75" s="9">
        <f t="shared" si="122"/>
        <v>0.81597932142991969</v>
      </c>
      <c r="O75" s="9">
        <f t="shared" si="123"/>
        <v>0.62713193996394667</v>
      </c>
      <c r="P75" s="9">
        <f t="shared" si="117"/>
        <v>0.53210243562058412</v>
      </c>
      <c r="Q75" s="9">
        <f t="shared" si="115"/>
        <v>0.60877041931811149</v>
      </c>
      <c r="R75" s="5"/>
      <c r="S75" s="9">
        <f t="shared" si="109"/>
        <v>0.18956211390517175</v>
      </c>
      <c r="T75" s="9">
        <f t="shared" si="78"/>
        <v>0.20547977734254563</v>
      </c>
      <c r="U75" s="9">
        <f t="shared" si="79"/>
        <v>0.11729306286115737</v>
      </c>
      <c r="V75" s="9">
        <f t="shared" si="80"/>
        <v>9.8301491442404187E-2</v>
      </c>
      <c r="W75" s="9">
        <f t="shared" si="81"/>
        <v>0.19434381542001056</v>
      </c>
      <c r="X75" s="9">
        <f t="shared" si="82"/>
        <v>0.20217100981521852</v>
      </c>
      <c r="Y75" s="9">
        <f t="shared" si="83"/>
        <v>0.22467359025389599</v>
      </c>
      <c r="Z75" s="9">
        <f t="shared" si="84"/>
        <v>0.23409014318240495</v>
      </c>
      <c r="AA75" s="9">
        <f t="shared" si="85"/>
        <v>-0.10153504286241544</v>
      </c>
      <c r="AB75" s="9">
        <f t="shared" si="86"/>
        <v>0.17647416065066923</v>
      </c>
      <c r="AC75" s="9">
        <f t="shared" si="87"/>
        <v>0.14608116469172883</v>
      </c>
      <c r="AD75" s="9">
        <f t="shared" si="88"/>
        <v>-4.8037641685509169E-2</v>
      </c>
      <c r="AE75" s="9">
        <f t="shared" si="89"/>
        <v>0.14080973978046385</v>
      </c>
      <c r="AF75" s="9">
        <f t="shared" si="90"/>
        <v>0.2358392441238264</v>
      </c>
      <c r="AG75" s="9">
        <f t="shared" si="91"/>
        <v>0.15917126042629903</v>
      </c>
      <c r="AH75" s="5"/>
      <c r="AI75" s="9">
        <f t="shared" si="110"/>
        <v>3.593379502819731E-2</v>
      </c>
      <c r="AJ75" s="9">
        <f t="shared" si="92"/>
        <v>4.2221938896742132E-2</v>
      </c>
      <c r="AK75" s="9">
        <f t="shared" si="93"/>
        <v>1.3757662595351414E-2</v>
      </c>
      <c r="AL75" s="9">
        <f t="shared" si="94"/>
        <v>9.6631832198010633E-3</v>
      </c>
      <c r="AM75" s="9">
        <f t="shared" si="95"/>
        <v>3.7769518592007133E-2</v>
      </c>
      <c r="AN75" s="9">
        <f t="shared" si="96"/>
        <v>4.0873117209705184E-2</v>
      </c>
      <c r="AO75" s="9">
        <f t="shared" si="97"/>
        <v>5.0478222157575546E-2</v>
      </c>
      <c r="AP75" s="9">
        <f t="shared" si="98"/>
        <v>5.479819513515885E-2</v>
      </c>
      <c r="AQ75" s="9">
        <f t="shared" si="99"/>
        <v>1.0309364929072539E-2</v>
      </c>
      <c r="AR75" s="9">
        <f t="shared" si="100"/>
        <v>3.1143129377358213E-2</v>
      </c>
      <c r="AS75" s="9">
        <f t="shared" si="101"/>
        <v>2.1339706677692E-2</v>
      </c>
      <c r="AT75" s="9">
        <f t="shared" si="102"/>
        <v>2.3076150187053683E-3</v>
      </c>
      <c r="AU75" s="9">
        <f t="shared" si="103"/>
        <v>1.9827382817041942E-2</v>
      </c>
      <c r="AV75" s="9">
        <f t="shared" si="104"/>
        <v>5.5620149068897784E-2</v>
      </c>
      <c r="AW75" s="9">
        <f t="shared" si="105"/>
        <v>2.5335490145696707E-2</v>
      </c>
      <c r="AY75" s="10" t="s">
        <v>126</v>
      </c>
      <c r="AZ75" s="10" t="s">
        <v>152</v>
      </c>
      <c r="BA75" s="14">
        <v>0.9</v>
      </c>
      <c r="BB75" s="14">
        <v>0</v>
      </c>
      <c r="BC75" s="14">
        <v>0</v>
      </c>
      <c r="BD75" s="14">
        <v>6.1885049908226172E-2</v>
      </c>
      <c r="BE75" s="14">
        <v>0.23779647934837186</v>
      </c>
      <c r="BF75" s="14">
        <v>0</v>
      </c>
      <c r="BG75" s="14">
        <v>0.58362319402417939</v>
      </c>
      <c r="BI75" s="15">
        <v>74.208465841060601</v>
      </c>
      <c r="BJ75" s="16">
        <v>-35.646415039240892</v>
      </c>
      <c r="BK75" s="14">
        <v>1.4406704073898813</v>
      </c>
      <c r="BM75" s="10" t="str">
        <f t="shared" si="106"/>
        <v>ARMA(2,1)</v>
      </c>
      <c r="BN75" s="18">
        <f t="shared" si="77"/>
        <v>1.4664209734503968</v>
      </c>
    </row>
    <row r="76" spans="1:66" x14ac:dyDescent="0.15">
      <c r="A76" s="8">
        <v>41820</v>
      </c>
      <c r="B76" s="6">
        <v>-0.91459663513323575</v>
      </c>
      <c r="C76" s="9">
        <f t="shared" si="111"/>
        <v>0.57837956383485334</v>
      </c>
      <c r="D76" s="9">
        <f t="shared" si="112"/>
        <v>0.60905699000149671</v>
      </c>
      <c r="E76" s="9">
        <f t="shared" si="113"/>
        <v>0.53234182501555649</v>
      </c>
      <c r="F76" s="9">
        <f t="shared" si="118"/>
        <v>0.47419223887177592</v>
      </c>
      <c r="G76" s="9">
        <f t="shared" si="119"/>
        <v>0.5735411003931119</v>
      </c>
      <c r="H76" s="9">
        <f t="shared" si="116"/>
        <v>0.57944542114385644</v>
      </c>
      <c r="I76" s="9">
        <f t="shared" si="107"/>
        <v>0.497071985810013</v>
      </c>
      <c r="J76" s="9">
        <f t="shared" si="114"/>
        <v>0.49836380576920558</v>
      </c>
      <c r="K76" s="9">
        <f t="shared" si="120"/>
        <v>0.43327519050160312</v>
      </c>
      <c r="L76" s="9">
        <f t="shared" si="121"/>
        <v>0.59147542100524642</v>
      </c>
      <c r="M76" s="9">
        <f t="shared" si="108"/>
        <v>0.53021004532926275</v>
      </c>
      <c r="N76" s="9">
        <f t="shared" si="122"/>
        <v>0.48237390793402657</v>
      </c>
      <c r="O76" s="9">
        <f t="shared" si="123"/>
        <v>0.40624197464533951</v>
      </c>
      <c r="P76" s="9">
        <f t="shared" si="117"/>
        <v>0.59630935081834302</v>
      </c>
      <c r="Q76" s="9">
        <f t="shared" si="115"/>
        <v>0.38110689168503686</v>
      </c>
      <c r="R76" s="5"/>
      <c r="S76" s="9">
        <f t="shared" si="109"/>
        <v>-1.4929761989680892</v>
      </c>
      <c r="T76" s="9">
        <f t="shared" si="78"/>
        <v>-1.5236536251347323</v>
      </c>
      <c r="U76" s="9">
        <f t="shared" si="79"/>
        <v>-1.4469384601487922</v>
      </c>
      <c r="V76" s="9">
        <f t="shared" si="80"/>
        <v>-1.3887888740050116</v>
      </c>
      <c r="W76" s="9">
        <f t="shared" si="81"/>
        <v>-1.4881377355263476</v>
      </c>
      <c r="X76" s="9">
        <f t="shared" si="82"/>
        <v>-1.4940420562770922</v>
      </c>
      <c r="Y76" s="9">
        <f t="shared" si="83"/>
        <v>-1.4116686209432487</v>
      </c>
      <c r="Z76" s="9">
        <f t="shared" si="84"/>
        <v>-1.4129604409024412</v>
      </c>
      <c r="AA76" s="9">
        <f t="shared" si="85"/>
        <v>-1.3478718256348388</v>
      </c>
      <c r="AB76" s="9">
        <f t="shared" si="86"/>
        <v>-1.5060720561384822</v>
      </c>
      <c r="AC76" s="9">
        <f t="shared" si="87"/>
        <v>-1.4448066804624986</v>
      </c>
      <c r="AD76" s="9">
        <f t="shared" si="88"/>
        <v>-1.3969705430672623</v>
      </c>
      <c r="AE76" s="9">
        <f t="shared" si="89"/>
        <v>-1.3208386097785754</v>
      </c>
      <c r="AF76" s="9">
        <f t="shared" si="90"/>
        <v>-1.5109059859515788</v>
      </c>
      <c r="AG76" s="9">
        <f t="shared" si="91"/>
        <v>-1.2957035268182726</v>
      </c>
      <c r="AH76" s="5"/>
      <c r="AI76" s="9">
        <f t="shared" si="110"/>
        <v>2.2289779306852036</v>
      </c>
      <c r="AJ76" s="9">
        <f t="shared" si="92"/>
        <v>2.3215203693862114</v>
      </c>
      <c r="AK76" s="9">
        <f t="shared" si="93"/>
        <v>2.0936309074577579</v>
      </c>
      <c r="AL76" s="9">
        <f t="shared" si="94"/>
        <v>1.9287345365601081</v>
      </c>
      <c r="AM76" s="9">
        <f t="shared" si="95"/>
        <v>2.2145539198974857</v>
      </c>
      <c r="AN76" s="9">
        <f t="shared" si="96"/>
        <v>2.2321616659246821</v>
      </c>
      <c r="AO76" s="9">
        <f t="shared" si="97"/>
        <v>1.9928082953558137</v>
      </c>
      <c r="AP76" s="9">
        <f t="shared" si="98"/>
        <v>1.9964572075552212</v>
      </c>
      <c r="AQ76" s="9">
        <f t="shared" si="99"/>
        <v>1.8167584583401932</v>
      </c>
      <c r="AR76" s="9">
        <f t="shared" si="100"/>
        <v>2.2682530382811952</v>
      </c>
      <c r="AS76" s="9">
        <f t="shared" si="101"/>
        <v>2.0874663439090644</v>
      </c>
      <c r="AT76" s="9">
        <f t="shared" si="102"/>
        <v>1.9515266981976418</v>
      </c>
      <c r="AU76" s="9">
        <f t="shared" si="103"/>
        <v>1.7446146330817998</v>
      </c>
      <c r="AV76" s="9">
        <f t="shared" si="104"/>
        <v>2.2828368983843124</v>
      </c>
      <c r="AW76" s="9">
        <f t="shared" si="105"/>
        <v>1.67884762940931</v>
      </c>
      <c r="AY76" s="10" t="s">
        <v>127</v>
      </c>
      <c r="AZ76" s="10" t="s">
        <v>131</v>
      </c>
      <c r="BA76" s="14">
        <v>-4.7565435581116859E-2</v>
      </c>
      <c r="BB76" s="14">
        <v>0</v>
      </c>
      <c r="BC76" s="14">
        <v>0</v>
      </c>
      <c r="BD76" s="14">
        <v>5.8499746711778156E-2</v>
      </c>
      <c r="BE76" s="14">
        <v>0.2371229543051955</v>
      </c>
      <c r="BF76" s="14">
        <v>0</v>
      </c>
      <c r="BG76" s="14">
        <v>0.61011554325838224</v>
      </c>
      <c r="BI76" s="15">
        <v>74.198245435617054</v>
      </c>
      <c r="BJ76" s="16">
        <v>-35.662667779212967</v>
      </c>
      <c r="BK76" s="14">
        <v>1.4416836232111914</v>
      </c>
      <c r="BM76" s="10" t="str">
        <f t="shared" si="106"/>
        <v>ARMA(1,0)</v>
      </c>
      <c r="BN76" s="18">
        <f t="shared" si="77"/>
        <v>1.4646026304671045</v>
      </c>
    </row>
    <row r="77" spans="1:66" x14ac:dyDescent="0.15">
      <c r="A77" s="8">
        <v>41912</v>
      </c>
      <c r="B77" s="6">
        <v>0.20399213850244013</v>
      </c>
      <c r="C77" s="9">
        <f t="shared" si="111"/>
        <v>0.57837956533124002</v>
      </c>
      <c r="D77" s="9">
        <f t="shared" si="112"/>
        <v>0.42784225039746637</v>
      </c>
      <c r="E77" s="9">
        <f t="shared" si="113"/>
        <v>0.42833897450948566</v>
      </c>
      <c r="F77" s="9">
        <f t="shared" si="118"/>
        <v>0.34853674853938543</v>
      </c>
      <c r="G77" s="9">
        <f t="shared" si="119"/>
        <v>0.57359321872224123</v>
      </c>
      <c r="H77" s="9">
        <f t="shared" si="116"/>
        <v>0.53751903846430249</v>
      </c>
      <c r="I77" s="9">
        <f t="shared" si="107"/>
        <v>0.54968859972816475</v>
      </c>
      <c r="J77" s="9">
        <f t="shared" si="114"/>
        <v>0.55926097017768972</v>
      </c>
      <c r="K77" s="9">
        <f t="shared" si="120"/>
        <v>0.52015019608382485</v>
      </c>
      <c r="L77" s="9">
        <f t="shared" si="121"/>
        <v>0.59145892541155098</v>
      </c>
      <c r="M77" s="9">
        <f t="shared" si="108"/>
        <v>0.4085111226304059</v>
      </c>
      <c r="N77" s="9">
        <f t="shared" si="122"/>
        <v>0.42410534970501873</v>
      </c>
      <c r="O77" s="9">
        <f t="shared" si="123"/>
        <v>0.37644330841251133</v>
      </c>
      <c r="P77" s="9">
        <f t="shared" si="117"/>
        <v>0.23567134000919304</v>
      </c>
      <c r="Q77" s="9">
        <f t="shared" si="115"/>
        <v>0.37350965855894769</v>
      </c>
      <c r="R77" s="5"/>
      <c r="S77" s="9">
        <f t="shared" si="109"/>
        <v>-0.37438742682879989</v>
      </c>
      <c r="T77" s="9">
        <f t="shared" si="78"/>
        <v>-0.22385011189502624</v>
      </c>
      <c r="U77" s="9">
        <f t="shared" si="79"/>
        <v>-0.22434683600704552</v>
      </c>
      <c r="V77" s="9">
        <f t="shared" si="80"/>
        <v>-0.1445446100369453</v>
      </c>
      <c r="W77" s="9">
        <f t="shared" si="81"/>
        <v>-0.36960108021980109</v>
      </c>
      <c r="X77" s="9">
        <f t="shared" si="82"/>
        <v>-0.33352689996186236</v>
      </c>
      <c r="Y77" s="9">
        <f t="shared" si="83"/>
        <v>-0.34569646122572462</v>
      </c>
      <c r="Z77" s="9">
        <f t="shared" si="84"/>
        <v>-0.35526883167524959</v>
      </c>
      <c r="AA77" s="9">
        <f t="shared" si="85"/>
        <v>-0.31615805758138471</v>
      </c>
      <c r="AB77" s="9">
        <f t="shared" si="86"/>
        <v>-0.38746678690911085</v>
      </c>
      <c r="AC77" s="9">
        <f t="shared" si="87"/>
        <v>-0.20451898412796576</v>
      </c>
      <c r="AD77" s="9">
        <f t="shared" si="88"/>
        <v>-0.2201132112025786</v>
      </c>
      <c r="AE77" s="9">
        <f t="shared" si="89"/>
        <v>-0.1724511699100712</v>
      </c>
      <c r="AF77" s="9">
        <f t="shared" si="90"/>
        <v>-3.1679201506752908E-2</v>
      </c>
      <c r="AG77" s="9">
        <f t="shared" si="91"/>
        <v>-0.16951752005650755</v>
      </c>
      <c r="AH77" s="5"/>
      <c r="AI77" s="9">
        <f t="shared" si="110"/>
        <v>0.14016594536749</v>
      </c>
      <c r="AJ77" s="9">
        <f t="shared" si="92"/>
        <v>5.0108872595415764E-2</v>
      </c>
      <c r="AK77" s="9">
        <f t="shared" si="93"/>
        <v>5.0331502826372179E-2</v>
      </c>
      <c r="AL77" s="9">
        <f t="shared" si="94"/>
        <v>2.0893144290732586E-2</v>
      </c>
      <c r="AM77" s="9">
        <f t="shared" si="95"/>
        <v>0.13660495849964385</v>
      </c>
      <c r="AN77" s="9">
        <f t="shared" si="96"/>
        <v>0.11124019299817015</v>
      </c>
      <c r="AO77" s="9">
        <f t="shared" si="97"/>
        <v>0.11950604330398892</v>
      </c>
      <c r="AP77" s="9">
        <f t="shared" si="98"/>
        <v>0.12621594275989681</v>
      </c>
      <c r="AQ77" s="9">
        <f t="shared" si="99"/>
        <v>9.9955917373634171E-2</v>
      </c>
      <c r="AR77" s="9">
        <f t="shared" si="100"/>
        <v>0.15013051095767033</v>
      </c>
      <c r="AS77" s="9">
        <f t="shared" si="101"/>
        <v>4.1828014868735115E-2</v>
      </c>
      <c r="AT77" s="9">
        <f t="shared" si="102"/>
        <v>4.8449825745910974E-2</v>
      </c>
      <c r="AU77" s="9">
        <f t="shared" si="103"/>
        <v>2.9739406003352245E-2</v>
      </c>
      <c r="AV77" s="9">
        <f t="shared" si="104"/>
        <v>1.0035718081054558E-3</v>
      </c>
      <c r="AW77" s="9">
        <f t="shared" si="105"/>
        <v>2.873618960610844E-2</v>
      </c>
      <c r="AY77" s="10" t="s">
        <v>128</v>
      </c>
      <c r="AZ77" s="10" t="s">
        <v>132</v>
      </c>
      <c r="BA77" s="14">
        <v>-0.4793918498905177</v>
      </c>
      <c r="BB77" s="14">
        <v>0.75748674735298072</v>
      </c>
      <c r="BC77" s="14">
        <v>0.52088957599598085</v>
      </c>
      <c r="BD77" s="14">
        <v>0.16524784222891717</v>
      </c>
      <c r="BE77" s="14">
        <v>0</v>
      </c>
      <c r="BF77" s="14">
        <v>0</v>
      </c>
      <c r="BG77" s="14">
        <v>0.1055587611422438</v>
      </c>
      <c r="BI77" s="15">
        <v>69.882560644179733</v>
      </c>
      <c r="BJ77" s="16">
        <v>-37.963059455548432</v>
      </c>
      <c r="BK77" s="14">
        <v>1.4793291671955471</v>
      </c>
      <c r="BM77" s="10" t="str">
        <f t="shared" si="106"/>
        <v>ARMA(2,0)</v>
      </c>
      <c r="BN77" s="18">
        <f t="shared" si="77"/>
        <v>1.4631490301138799</v>
      </c>
    </row>
    <row r="78" spans="1:66" x14ac:dyDescent="0.15">
      <c r="A78" s="8">
        <v>42004</v>
      </c>
      <c r="B78" s="6">
        <v>0.13423181055520761</v>
      </c>
      <c r="C78" s="9">
        <f t="shared" si="111"/>
        <v>0.57837956421410297</v>
      </c>
      <c r="D78" s="9">
        <f t="shared" si="112"/>
        <v>0.56406283051620154</v>
      </c>
      <c r="E78" s="9">
        <f t="shared" si="113"/>
        <v>0.66374177811797863</v>
      </c>
      <c r="F78" s="9">
        <f t="shared" si="118"/>
        <v>0.65216143875048416</v>
      </c>
      <c r="G78" s="9">
        <f t="shared" si="119"/>
        <v>0.57356789004587627</v>
      </c>
      <c r="H78" s="9">
        <f t="shared" si="116"/>
        <v>0.60584660599381279</v>
      </c>
      <c r="I78" s="9">
        <f t="shared" si="107"/>
        <v>0.22653992320125238</v>
      </c>
      <c r="J78" s="9">
        <f t="shared" si="114"/>
        <v>0.22768556087761255</v>
      </c>
      <c r="K78" s="9">
        <f t="shared" si="120"/>
        <v>0.58506013574094107</v>
      </c>
      <c r="L78" s="9">
        <f t="shared" si="121"/>
        <v>0.59147159576114317</v>
      </c>
      <c r="M78" s="9">
        <f t="shared" si="108"/>
        <v>0.29777801304907986</v>
      </c>
      <c r="N78" s="9">
        <f t="shared" si="122"/>
        <v>0.548787496800615</v>
      </c>
      <c r="O78" s="9">
        <f t="shared" si="123"/>
        <v>0.30918371970332026</v>
      </c>
      <c r="P78" s="9">
        <f t="shared" si="117"/>
        <v>0.5083303877307368</v>
      </c>
      <c r="Q78" s="9">
        <f t="shared" si="115"/>
        <v>0.25725001388678775</v>
      </c>
      <c r="R78" s="5"/>
      <c r="S78" s="9">
        <f t="shared" si="109"/>
        <v>-0.44414775365889536</v>
      </c>
      <c r="T78" s="9">
        <f t="shared" si="78"/>
        <v>-0.42983101996099393</v>
      </c>
      <c r="U78" s="9">
        <f t="shared" si="79"/>
        <v>-0.52950996756277102</v>
      </c>
      <c r="V78" s="9">
        <f t="shared" si="80"/>
        <v>-0.51792962819527655</v>
      </c>
      <c r="W78" s="9">
        <f t="shared" si="81"/>
        <v>-0.43933607949066866</v>
      </c>
      <c r="X78" s="9">
        <f t="shared" si="82"/>
        <v>-0.47161479543860518</v>
      </c>
      <c r="Y78" s="9">
        <f t="shared" si="83"/>
        <v>-9.2308112646044771E-2</v>
      </c>
      <c r="Z78" s="9">
        <f t="shared" si="84"/>
        <v>-9.3453750322404938E-2</v>
      </c>
      <c r="AA78" s="9">
        <f t="shared" si="85"/>
        <v>-0.45082832518573346</v>
      </c>
      <c r="AB78" s="9">
        <f t="shared" si="86"/>
        <v>-0.45723978520593556</v>
      </c>
      <c r="AC78" s="9">
        <f t="shared" si="87"/>
        <v>-0.16354620249387225</v>
      </c>
      <c r="AD78" s="9">
        <f t="shared" si="88"/>
        <v>-0.4145556862454074</v>
      </c>
      <c r="AE78" s="9">
        <f t="shared" si="89"/>
        <v>-0.17495190914811265</v>
      </c>
      <c r="AF78" s="9">
        <f t="shared" si="90"/>
        <v>-0.37409857717552919</v>
      </c>
      <c r="AG78" s="9">
        <f t="shared" si="91"/>
        <v>-0.12301820333158014</v>
      </c>
      <c r="AH78" s="5"/>
      <c r="AI78" s="9">
        <f t="shared" si="110"/>
        <v>0.1972672270802428</v>
      </c>
      <c r="AJ78" s="9">
        <f t="shared" si="92"/>
        <v>0.18475470572070837</v>
      </c>
      <c r="AK78" s="9">
        <f t="shared" si="93"/>
        <v>0.2803808057483268</v>
      </c>
      <c r="AL78" s="9">
        <f t="shared" si="94"/>
        <v>0.26825109976249739</v>
      </c>
      <c r="AM78" s="9">
        <f t="shared" si="95"/>
        <v>0.19301619074223114</v>
      </c>
      <c r="AN78" s="9">
        <f t="shared" si="96"/>
        <v>0.22242051527659742</v>
      </c>
      <c r="AO78" s="9">
        <f t="shared" si="97"/>
        <v>8.5207876602748905E-3</v>
      </c>
      <c r="AP78" s="9">
        <f t="shared" si="98"/>
        <v>8.7336034493224017E-3</v>
      </c>
      <c r="AQ78" s="9">
        <f t="shared" si="99"/>
        <v>0.20324617878977344</v>
      </c>
      <c r="AR78" s="9">
        <f t="shared" si="100"/>
        <v>0.20906822117517007</v>
      </c>
      <c r="AS78" s="9">
        <f t="shared" si="101"/>
        <v>2.6747360350166664E-2</v>
      </c>
      <c r="AT78" s="9">
        <f t="shared" si="102"/>
        <v>0.17185641699840065</v>
      </c>
      <c r="AU78" s="9">
        <f t="shared" si="103"/>
        <v>3.0608170514569464E-2</v>
      </c>
      <c r="AV78" s="9">
        <f t="shared" si="104"/>
        <v>0.13994974544475536</v>
      </c>
      <c r="AW78" s="9">
        <f t="shared" si="105"/>
        <v>1.5133478350929996E-2</v>
      </c>
      <c r="AY78" s="10" t="s">
        <v>149</v>
      </c>
      <c r="AZ78" s="10" t="s">
        <v>153</v>
      </c>
      <c r="BA78" s="14">
        <v>-1.609865375610712</v>
      </c>
      <c r="BB78" s="14">
        <v>-1.2626798775396217</v>
      </c>
      <c r="BC78" s="14">
        <v>-0.35541982536762523</v>
      </c>
      <c r="BD78" s="14">
        <v>0</v>
      </c>
      <c r="BE78" s="14">
        <v>0</v>
      </c>
      <c r="BF78" s="14">
        <v>0</v>
      </c>
      <c r="BG78" s="14">
        <v>2.5007042353866384</v>
      </c>
      <c r="BI78" s="15">
        <v>66.811581462409919</v>
      </c>
      <c r="BJ78" s="16">
        <v>-48.036627186410655</v>
      </c>
      <c r="BK78" s="14">
        <v>1.4696924483083302</v>
      </c>
      <c r="BM78" s="10" t="str">
        <f t="shared" si="106"/>
        <v>ARMA(1,3)</v>
      </c>
      <c r="BN78" s="18">
        <f t="shared" si="77"/>
        <v>1.4598275543111559</v>
      </c>
    </row>
    <row r="79" spans="1:66" x14ac:dyDescent="0.15">
      <c r="A79" s="8">
        <v>42094</v>
      </c>
      <c r="B79" s="6">
        <v>-0.64504226356822958</v>
      </c>
      <c r="C79" s="9">
        <f t="shared" si="111"/>
        <v>0.57837956504810883</v>
      </c>
      <c r="D79" s="9">
        <f t="shared" si="112"/>
        <v>0.54247584563400619</v>
      </c>
      <c r="E79" s="9">
        <f t="shared" si="113"/>
        <v>0.44069338662446345</v>
      </c>
      <c r="F79" s="9">
        <f t="shared" si="118"/>
        <v>0.45479453417453924</v>
      </c>
      <c r="G79" s="9">
        <f t="shared" si="119"/>
        <v>0.57356225856080179</v>
      </c>
      <c r="H79" s="9">
        <f t="shared" si="116"/>
        <v>0.54598559870946239</v>
      </c>
      <c r="I79" s="9">
        <f t="shared" si="107"/>
        <v>0.49570530046347649</v>
      </c>
      <c r="J79" s="9">
        <f t="shared" si="114"/>
        <v>0.5095761647171908</v>
      </c>
      <c r="K79" s="9">
        <f t="shared" si="120"/>
        <v>0.37028270285608711</v>
      </c>
      <c r="L79" s="9">
        <f t="shared" si="121"/>
        <v>0.59146921836225763</v>
      </c>
      <c r="M79" s="9">
        <f t="shared" si="108"/>
        <v>0.34348279984770869</v>
      </c>
      <c r="N79" s="9">
        <f t="shared" si="122"/>
        <v>0.31861352294733125</v>
      </c>
      <c r="O79" s="9">
        <f t="shared" si="123"/>
        <v>0.6373558740455999</v>
      </c>
      <c r="P79" s="9">
        <f t="shared" si="117"/>
        <v>0.51213642150782812</v>
      </c>
      <c r="Q79" s="9">
        <f t="shared" si="115"/>
        <v>0.27162760743837233</v>
      </c>
      <c r="R79" s="5"/>
      <c r="S79" s="9">
        <f t="shared" si="109"/>
        <v>-1.2234218286163383</v>
      </c>
      <c r="T79" s="9">
        <f t="shared" si="78"/>
        <v>-1.1875181092022358</v>
      </c>
      <c r="U79" s="9">
        <f t="shared" si="79"/>
        <v>-1.0857356501926931</v>
      </c>
      <c r="V79" s="9">
        <f t="shared" si="80"/>
        <v>-1.0998367977427688</v>
      </c>
      <c r="W79" s="9">
        <f t="shared" si="81"/>
        <v>-1.2186045221290314</v>
      </c>
      <c r="X79" s="9">
        <f t="shared" si="82"/>
        <v>-1.191027862277692</v>
      </c>
      <c r="Y79" s="9">
        <f t="shared" si="83"/>
        <v>-1.140747564031706</v>
      </c>
      <c r="Z79" s="9">
        <f t="shared" si="84"/>
        <v>-1.1546184282854204</v>
      </c>
      <c r="AA79" s="9">
        <f t="shared" si="85"/>
        <v>-1.0153249664243167</v>
      </c>
      <c r="AB79" s="9">
        <f t="shared" si="86"/>
        <v>-1.2365114819304872</v>
      </c>
      <c r="AC79" s="9">
        <f t="shared" si="87"/>
        <v>-0.98852506341593827</v>
      </c>
      <c r="AD79" s="9">
        <f t="shared" si="88"/>
        <v>-0.96365578651556083</v>
      </c>
      <c r="AE79" s="9">
        <f t="shared" si="89"/>
        <v>-1.2823981376138294</v>
      </c>
      <c r="AF79" s="9">
        <f t="shared" si="90"/>
        <v>-1.1571786850760577</v>
      </c>
      <c r="AG79" s="9">
        <f t="shared" si="91"/>
        <v>-0.91666987100660191</v>
      </c>
      <c r="AH79" s="5"/>
      <c r="AI79" s="9">
        <f t="shared" si="110"/>
        <v>1.496760970734945</v>
      </c>
      <c r="AJ79" s="9">
        <f t="shared" si="92"/>
        <v>1.4101992596832531</v>
      </c>
      <c r="AK79" s="9">
        <f t="shared" si="93"/>
        <v>1.17882190209935</v>
      </c>
      <c r="AL79" s="9">
        <f t="shared" si="94"/>
        <v>1.2096409816690681</v>
      </c>
      <c r="AM79" s="9">
        <f t="shared" si="95"/>
        <v>1.4849969813533248</v>
      </c>
      <c r="AN79" s="9">
        <f t="shared" si="96"/>
        <v>1.4185473687217689</v>
      </c>
      <c r="AO79" s="9">
        <f t="shared" si="97"/>
        <v>1.3013050048442711</v>
      </c>
      <c r="AP79" s="9">
        <f t="shared" si="98"/>
        <v>1.3331437149362944</v>
      </c>
      <c r="AQ79" s="9">
        <f t="shared" si="99"/>
        <v>1.0308847874445397</v>
      </c>
      <c r="AR79" s="9">
        <f t="shared" si="100"/>
        <v>1.5289606449459296</v>
      </c>
      <c r="AS79" s="9">
        <f t="shared" si="101"/>
        <v>0.97718180100148477</v>
      </c>
      <c r="AT79" s="9">
        <f t="shared" si="102"/>
        <v>0.92863247488492418</v>
      </c>
      <c r="AU79" s="9">
        <f t="shared" si="103"/>
        <v>1.644544983355418</v>
      </c>
      <c r="AV79" s="9">
        <f t="shared" si="104"/>
        <v>1.339062509194354</v>
      </c>
      <c r="AW79" s="9">
        <f t="shared" si="105"/>
        <v>0.84028365241126024</v>
      </c>
      <c r="AY79" s="10" t="s">
        <v>150</v>
      </c>
      <c r="AZ79" s="10" t="s">
        <v>154</v>
      </c>
      <c r="BA79" s="14">
        <v>0</v>
      </c>
      <c r="BB79" s="14">
        <v>0</v>
      </c>
      <c r="BC79" s="14">
        <v>0</v>
      </c>
      <c r="BD79" s="14">
        <v>0.1099059698053118</v>
      </c>
      <c r="BE79" s="14">
        <v>0.19120740014536003</v>
      </c>
      <c r="BF79" s="14">
        <v>0.12317056349870786</v>
      </c>
      <c r="BG79" s="14">
        <v>0.57852070005551559</v>
      </c>
      <c r="BI79" s="15">
        <v>73.052455013657436</v>
      </c>
      <c r="BJ79" s="16">
        <v>-37.499073286476374</v>
      </c>
      <c r="BK79" s="14">
        <v>1.4428826695822137</v>
      </c>
      <c r="BM79" s="10" t="str">
        <f t="shared" si="106"/>
        <v>ARMA(2,2)</v>
      </c>
      <c r="BN79" s="18">
        <f t="shared" si="77"/>
        <v>1.4547872492118825</v>
      </c>
    </row>
    <row r="80" spans="1:66" x14ac:dyDescent="0.15">
      <c r="A80" s="8">
        <v>42185</v>
      </c>
      <c r="B80" s="6">
        <v>-1.8829282265771297</v>
      </c>
      <c r="C80" s="9">
        <f t="shared" si="111"/>
        <v>0.57837956442547644</v>
      </c>
      <c r="D80" s="9">
        <f t="shared" si="112"/>
        <v>0.4630695555343089</v>
      </c>
      <c r="E80" s="9">
        <f t="shared" si="113"/>
        <v>0.54567458139198988</v>
      </c>
      <c r="F80" s="9">
        <f t="shared" si="118"/>
        <v>0.36255210075383165</v>
      </c>
      <c r="G80" s="9">
        <f t="shared" si="119"/>
        <v>0.57358800438612234</v>
      </c>
      <c r="H80" s="9">
        <f t="shared" si="116"/>
        <v>0.55744869286659426</v>
      </c>
      <c r="I80" s="9">
        <f t="shared" si="107"/>
        <v>0.49107742988886749</v>
      </c>
      <c r="J80" s="9">
        <f t="shared" si="114"/>
        <v>0.49617241605105683</v>
      </c>
      <c r="K80" s="9">
        <f t="shared" si="120"/>
        <v>0.47438410569546585</v>
      </c>
      <c r="L80" s="9">
        <f t="shared" si="121"/>
        <v>0.59146290991996686</v>
      </c>
      <c r="M80" s="9">
        <f t="shared" si="108"/>
        <v>0.41341393158020479</v>
      </c>
      <c r="N80" s="9">
        <f t="shared" si="122"/>
        <v>0.3706346426051928</v>
      </c>
      <c r="O80" s="9">
        <f t="shared" si="123"/>
        <v>-6.2170168638360626E-2</v>
      </c>
      <c r="P80" s="9">
        <f t="shared" si="117"/>
        <v>0.27432928870954998</v>
      </c>
      <c r="Q80" s="9">
        <f t="shared" si="115"/>
        <v>0.48380022778252313</v>
      </c>
      <c r="R80" s="5"/>
      <c r="S80" s="9">
        <f t="shared" si="109"/>
        <v>-2.4613077910026062</v>
      </c>
      <c r="T80" s="9">
        <f t="shared" si="78"/>
        <v>-2.3459977821114384</v>
      </c>
      <c r="U80" s="9">
        <f t="shared" si="79"/>
        <v>-2.4286028079691198</v>
      </c>
      <c r="V80" s="9">
        <f t="shared" si="80"/>
        <v>-2.2454803273309611</v>
      </c>
      <c r="W80" s="9">
        <f t="shared" si="81"/>
        <v>-2.4565162309632518</v>
      </c>
      <c r="X80" s="9">
        <f t="shared" si="82"/>
        <v>-2.4403769194437239</v>
      </c>
      <c r="Y80" s="9">
        <f t="shared" si="83"/>
        <v>-2.374005656465997</v>
      </c>
      <c r="Z80" s="9">
        <f t="shared" si="84"/>
        <v>-2.3791006426281864</v>
      </c>
      <c r="AA80" s="9">
        <f t="shared" si="85"/>
        <v>-2.3573123322725955</v>
      </c>
      <c r="AB80" s="9">
        <f t="shared" si="86"/>
        <v>-2.4743911364970965</v>
      </c>
      <c r="AC80" s="9">
        <f t="shared" si="87"/>
        <v>-2.2963421581573344</v>
      </c>
      <c r="AD80" s="9">
        <f t="shared" si="88"/>
        <v>-2.2535628691823226</v>
      </c>
      <c r="AE80" s="9">
        <f t="shared" si="89"/>
        <v>-1.820758057938769</v>
      </c>
      <c r="AF80" s="9">
        <f t="shared" si="90"/>
        <v>-2.1572575152866795</v>
      </c>
      <c r="AG80" s="9">
        <f t="shared" si="91"/>
        <v>-2.3667284543596527</v>
      </c>
      <c r="AH80" s="5"/>
      <c r="AI80" s="9">
        <f t="shared" si="110"/>
        <v>6.0580360420501291</v>
      </c>
      <c r="AJ80" s="9">
        <f t="shared" si="92"/>
        <v>5.5037055936717882</v>
      </c>
      <c r="AK80" s="9">
        <f t="shared" si="93"/>
        <v>5.8981115988754933</v>
      </c>
      <c r="AL80" s="9">
        <f t="shared" si="94"/>
        <v>5.0421819004303607</v>
      </c>
      <c r="AM80" s="9">
        <f t="shared" si="95"/>
        <v>6.0344719929859005</v>
      </c>
      <c r="AN80" s="9">
        <f t="shared" si="96"/>
        <v>5.9554395089536394</v>
      </c>
      <c r="AO80" s="9">
        <f t="shared" si="97"/>
        <v>5.6359028569325496</v>
      </c>
      <c r="AP80" s="9">
        <f t="shared" si="98"/>
        <v>5.66011986775385</v>
      </c>
      <c r="AQ80" s="9">
        <f t="shared" si="99"/>
        <v>5.5569214318844642</v>
      </c>
      <c r="AR80" s="9">
        <f t="shared" si="100"/>
        <v>6.1226114963753933</v>
      </c>
      <c r="AS80" s="9">
        <f t="shared" si="101"/>
        <v>5.2731873073306845</v>
      </c>
      <c r="AT80" s="9">
        <f t="shared" si="102"/>
        <v>5.0785456053572622</v>
      </c>
      <c r="AU80" s="9">
        <f t="shared" si="103"/>
        <v>3.3151599055489576</v>
      </c>
      <c r="AV80" s="9">
        <f t="shared" si="104"/>
        <v>4.6537599872608579</v>
      </c>
      <c r="AW80" s="9">
        <f t="shared" si="105"/>
        <v>5.6014035766756312</v>
      </c>
      <c r="AY80" s="10" t="s">
        <v>151</v>
      </c>
      <c r="AZ80" s="10" t="s">
        <v>133</v>
      </c>
      <c r="BA80" s="14">
        <v>-0.48085253760916696</v>
      </c>
      <c r="BB80" s="14">
        <v>0.75942259582582194</v>
      </c>
      <c r="BC80" s="14">
        <v>0.49154390352583521</v>
      </c>
      <c r="BD80" s="14">
        <v>0.20374701038098159</v>
      </c>
      <c r="BE80" s="14">
        <v>6.5962959811509903E-2</v>
      </c>
      <c r="BF80" s="14">
        <v>0</v>
      </c>
      <c r="BG80" s="14">
        <v>0.12230004476405898</v>
      </c>
      <c r="BI80" s="15">
        <v>69.114573049260159</v>
      </c>
      <c r="BJ80" s="16">
        <v>-34.496336373034218</v>
      </c>
      <c r="BK80" s="14">
        <v>1.4799882730512339</v>
      </c>
      <c r="BM80" s="10" t="str">
        <f t="shared" si="106"/>
        <v>ARMA(0,3)</v>
      </c>
      <c r="BN80" s="18">
        <f t="shared" si="77"/>
        <v>1.4428826695822137</v>
      </c>
    </row>
    <row r="81" spans="1:66" x14ac:dyDescent="0.15">
      <c r="A81" s="8">
        <v>42277</v>
      </c>
      <c r="B81" s="6">
        <v>-1.0818503065371354</v>
      </c>
      <c r="C81" s="9">
        <f t="shared" si="111"/>
        <v>0.57837956489030662</v>
      </c>
      <c r="D81" s="9">
        <f t="shared" si="112"/>
        <v>0.34165984130286908</v>
      </c>
      <c r="E81" s="9">
        <f t="shared" si="113"/>
        <v>0.29437180498564541</v>
      </c>
      <c r="F81" s="9">
        <f t="shared" si="118"/>
        <v>0.45172404047087711</v>
      </c>
      <c r="G81" s="9">
        <f t="shared" si="119"/>
        <v>0.5735591039283976</v>
      </c>
      <c r="H81" s="9">
        <f t="shared" si="116"/>
        <v>0.56029913956562627</v>
      </c>
      <c r="I81" s="9">
        <f t="shared" si="107"/>
        <v>0.16544198093939882</v>
      </c>
      <c r="J81" s="9">
        <f t="shared" si="114"/>
        <v>0.17355156835974067</v>
      </c>
      <c r="K81" s="9">
        <f t="shared" si="120"/>
        <v>7.3838077012350373E-2</v>
      </c>
      <c r="L81" s="9">
        <f t="shared" si="121"/>
        <v>0.59147156426307901</v>
      </c>
      <c r="M81" s="9">
        <f t="shared" si="108"/>
        <v>0.1169816028848783</v>
      </c>
      <c r="N81" s="9">
        <f t="shared" si="122"/>
        <v>-6.6927391832636421E-2</v>
      </c>
      <c r="O81" s="9">
        <f t="shared" si="123"/>
        <v>-6.0593394648615892E-2</v>
      </c>
      <c r="P81" s="9">
        <f t="shared" si="117"/>
        <v>8.4970007311188353E-2</v>
      </c>
      <c r="Q81" s="9">
        <f t="shared" si="115"/>
        <v>-0.1731093168469314</v>
      </c>
      <c r="R81" s="5"/>
      <c r="S81" s="9">
        <f t="shared" si="109"/>
        <v>-1.6602298714274419</v>
      </c>
      <c r="T81" s="9">
        <f t="shared" si="78"/>
        <v>-1.4235101478400045</v>
      </c>
      <c r="U81" s="9">
        <f t="shared" si="79"/>
        <v>-1.3762221115227808</v>
      </c>
      <c r="V81" s="9">
        <f t="shared" si="80"/>
        <v>-1.5335743470080125</v>
      </c>
      <c r="W81" s="9">
        <f t="shared" si="81"/>
        <v>-1.655409410465533</v>
      </c>
      <c r="X81" s="9">
        <f t="shared" si="82"/>
        <v>-1.6421494461027617</v>
      </c>
      <c r="Y81" s="9">
        <f t="shared" si="83"/>
        <v>-1.2472922874765342</v>
      </c>
      <c r="Z81" s="9">
        <f t="shared" si="84"/>
        <v>-1.255401874896876</v>
      </c>
      <c r="AA81" s="9">
        <f t="shared" si="85"/>
        <v>-1.1556883835494858</v>
      </c>
      <c r="AB81" s="9">
        <f t="shared" si="86"/>
        <v>-1.6733218708002144</v>
      </c>
      <c r="AC81" s="9">
        <f t="shared" si="87"/>
        <v>-1.1988319094220137</v>
      </c>
      <c r="AD81" s="9">
        <f t="shared" si="88"/>
        <v>-1.0149229147044989</v>
      </c>
      <c r="AE81" s="9">
        <f t="shared" si="89"/>
        <v>-1.0212569118885195</v>
      </c>
      <c r="AF81" s="9">
        <f t="shared" si="90"/>
        <v>-1.1668203138483237</v>
      </c>
      <c r="AG81" s="9">
        <f t="shared" si="91"/>
        <v>-0.908740989690204</v>
      </c>
      <c r="AH81" s="5"/>
      <c r="AI81" s="9">
        <f t="shared" si="110"/>
        <v>2.7563632259799804</v>
      </c>
      <c r="AJ81" s="9">
        <f t="shared" si="92"/>
        <v>2.0263811410034713</v>
      </c>
      <c r="AK81" s="9">
        <f t="shared" si="93"/>
        <v>1.8939873002442214</v>
      </c>
      <c r="AL81" s="9">
        <f t="shared" si="94"/>
        <v>2.3518502778010522</v>
      </c>
      <c r="AM81" s="9">
        <f t="shared" si="95"/>
        <v>2.7403803162578435</v>
      </c>
      <c r="AN81" s="9">
        <f t="shared" si="96"/>
        <v>2.696654803335607</v>
      </c>
      <c r="AO81" s="9">
        <f t="shared" si="97"/>
        <v>1.5557380503984453</v>
      </c>
      <c r="AP81" s="9">
        <f t="shared" si="98"/>
        <v>1.5760338674945915</v>
      </c>
      <c r="AQ81" s="9">
        <f t="shared" si="99"/>
        <v>1.3356156398712233</v>
      </c>
      <c r="AR81" s="9">
        <f t="shared" si="100"/>
        <v>2.8000060832983293</v>
      </c>
      <c r="AS81" s="9">
        <f t="shared" si="101"/>
        <v>1.4371979470484313</v>
      </c>
      <c r="AT81" s="9">
        <f t="shared" si="102"/>
        <v>1.0300685227922757</v>
      </c>
      <c r="AU81" s="9">
        <f t="shared" si="103"/>
        <v>1.0429656800800753</v>
      </c>
      <c r="AV81" s="9">
        <f t="shared" si="104"/>
        <v>1.3614696448091008</v>
      </c>
      <c r="AW81" s="9">
        <f t="shared" si="105"/>
        <v>0.82581018634313141</v>
      </c>
      <c r="AY81" s="10" t="s">
        <v>155</v>
      </c>
      <c r="AZ81" s="10" t="s">
        <v>136</v>
      </c>
      <c r="BA81" s="14">
        <v>-0.89164592491972938</v>
      </c>
      <c r="BB81" s="14">
        <v>-5.9670259684902083E-2</v>
      </c>
      <c r="BC81" s="14">
        <v>0.52934290329591283</v>
      </c>
      <c r="BD81" s="14">
        <v>0.3585444661913797</v>
      </c>
      <c r="BE81" s="14">
        <v>0.33765547800977314</v>
      </c>
      <c r="BF81" s="14">
        <v>2.4040161088208071E-3</v>
      </c>
      <c r="BG81" s="14">
        <v>0.84459187981984152</v>
      </c>
      <c r="BI81" s="15">
        <v>50.340055116656735</v>
      </c>
      <c r="BJ81" s="16">
        <v>-67.127465333541636</v>
      </c>
      <c r="BK81" s="14">
        <v>1.4381667101900346</v>
      </c>
      <c r="BM81" s="48" t="str">
        <f t="shared" si="106"/>
        <v>ARMA(1,2)</v>
      </c>
      <c r="BN81" s="18">
        <f t="shared" si="77"/>
        <v>1.4416836232111914</v>
      </c>
    </row>
    <row r="82" spans="1:66" x14ac:dyDescent="0.15">
      <c r="A82" s="8">
        <v>42369</v>
      </c>
      <c r="B82" s="6">
        <v>-0.45792565515745398</v>
      </c>
      <c r="C82" s="9">
        <f t="shared" si="111"/>
        <v>0.57837956454328476</v>
      </c>
      <c r="D82" s="9">
        <f t="shared" si="112"/>
        <v>0.43833737710949849</v>
      </c>
      <c r="E82" s="9">
        <f t="shared" si="113"/>
        <v>0.62390406540083609</v>
      </c>
      <c r="F82" s="9">
        <f t="shared" si="118"/>
        <v>0.39308168249898578</v>
      </c>
      <c r="G82" s="9">
        <f t="shared" si="119"/>
        <v>0.57357734008461891</v>
      </c>
      <c r="H82" s="9">
        <f t="shared" si="116"/>
        <v>0.56509037367822579</v>
      </c>
      <c r="I82" s="9">
        <f t="shared" si="107"/>
        <v>-5.8095738497185967E-2</v>
      </c>
      <c r="J82" s="9">
        <f t="shared" si="114"/>
        <v>-3.5719577358778176E-2</v>
      </c>
      <c r="K82" s="9">
        <f t="shared" si="120"/>
        <v>0.431402450448921</v>
      </c>
      <c r="L82" s="9">
        <f t="shared" si="121"/>
        <v>0.59146644245358981</v>
      </c>
      <c r="M82" s="9">
        <f t="shared" si="108"/>
        <v>-0.11407288658205061</v>
      </c>
      <c r="N82" s="9">
        <f t="shared" si="122"/>
        <v>0.23712392152742792</v>
      </c>
      <c r="O82" s="9">
        <f t="shared" si="123"/>
        <v>0.25567139965110697</v>
      </c>
      <c r="P82" s="9">
        <f t="shared" si="117"/>
        <v>0.2926837573802889</v>
      </c>
      <c r="Q82" s="9">
        <f t="shared" si="115"/>
        <v>-0.14969468583483031</v>
      </c>
      <c r="R82" s="5"/>
      <c r="S82" s="9">
        <f t="shared" si="109"/>
        <v>-1.0363052197007387</v>
      </c>
      <c r="T82" s="9">
        <f t="shared" si="78"/>
        <v>-0.89626303226695248</v>
      </c>
      <c r="U82" s="9">
        <f t="shared" si="79"/>
        <v>-1.0818297205582901</v>
      </c>
      <c r="V82" s="9">
        <f t="shared" si="80"/>
        <v>-0.85100733765643977</v>
      </c>
      <c r="W82" s="9">
        <f t="shared" si="81"/>
        <v>-1.0315029952420729</v>
      </c>
      <c r="X82" s="9">
        <f t="shared" si="82"/>
        <v>-1.0230160288356798</v>
      </c>
      <c r="Y82" s="9">
        <f t="shared" si="83"/>
        <v>-0.39982991666026801</v>
      </c>
      <c r="Z82" s="9">
        <f t="shared" si="84"/>
        <v>-0.42220607779867581</v>
      </c>
      <c r="AA82" s="9">
        <f t="shared" si="85"/>
        <v>-0.88932810560637499</v>
      </c>
      <c r="AB82" s="9">
        <f t="shared" si="86"/>
        <v>-1.0493920976110438</v>
      </c>
      <c r="AC82" s="9">
        <f t="shared" si="87"/>
        <v>-0.34385276857540337</v>
      </c>
      <c r="AD82" s="9">
        <f t="shared" si="88"/>
        <v>-0.69504957668488188</v>
      </c>
      <c r="AE82" s="9">
        <f t="shared" si="89"/>
        <v>-0.71359705480856095</v>
      </c>
      <c r="AF82" s="9">
        <f t="shared" si="90"/>
        <v>-0.75060941253774294</v>
      </c>
      <c r="AG82" s="9">
        <f t="shared" si="91"/>
        <v>-0.30823096932262367</v>
      </c>
      <c r="AH82" s="5"/>
      <c r="AI82" s="9">
        <f t="shared" si="110"/>
        <v>1.0739285083789964</v>
      </c>
      <c r="AJ82" s="9">
        <f t="shared" si="92"/>
        <v>0.80328742300835232</v>
      </c>
      <c r="AK82" s="9">
        <f t="shared" si="93"/>
        <v>1.1703555442832281</v>
      </c>
      <c r="AL82" s="9">
        <f t="shared" si="94"/>
        <v>0.72421348874510172</v>
      </c>
      <c r="AM82" s="9">
        <f t="shared" si="95"/>
        <v>1.063998429193368</v>
      </c>
      <c r="AN82" s="9">
        <f t="shared" si="96"/>
        <v>1.0465617952547244</v>
      </c>
      <c r="AO82" s="9">
        <f t="shared" si="97"/>
        <v>0.15986396225655686</v>
      </c>
      <c r="AP82" s="9">
        <f t="shared" si="98"/>
        <v>0.1782579721301415</v>
      </c>
      <c r="AQ82" s="9">
        <f t="shared" si="99"/>
        <v>0.79090447942142361</v>
      </c>
      <c r="AR82" s="9">
        <f t="shared" si="100"/>
        <v>1.1012237745285065</v>
      </c>
      <c r="AS82" s="9">
        <f t="shared" si="101"/>
        <v>0.1182347264569699</v>
      </c>
      <c r="AT82" s="9">
        <f t="shared" si="102"/>
        <v>0.48309391404983348</v>
      </c>
      <c r="AU82" s="9">
        <f t="shared" si="103"/>
        <v>0.50922075663145239</v>
      </c>
      <c r="AV82" s="9">
        <f t="shared" si="104"/>
        <v>0.56341449019025558</v>
      </c>
      <c r="AW82" s="9">
        <f t="shared" si="105"/>
        <v>9.5006330449564177E-2</v>
      </c>
      <c r="AY82" s="10" t="s">
        <v>156</v>
      </c>
      <c r="AZ82" s="10" t="s">
        <v>134</v>
      </c>
      <c r="BA82" s="14">
        <v>-1.2791055002037344</v>
      </c>
      <c r="BB82" s="14">
        <v>-0.72132212931171846</v>
      </c>
      <c r="BC82" s="14">
        <v>0</v>
      </c>
      <c r="BD82" s="14">
        <v>0.20901107468732025</v>
      </c>
      <c r="BE82" s="14">
        <v>0.29254356550810412</v>
      </c>
      <c r="BF82" s="14">
        <v>0.15385145346711615</v>
      </c>
      <c r="BG82" s="14">
        <v>1.6522529433745941</v>
      </c>
      <c r="BI82" s="15">
        <v>63.867306085426456</v>
      </c>
      <c r="BJ82" s="16">
        <v>-43.813382486000926</v>
      </c>
      <c r="BK82" s="14">
        <v>1.4720451594163271</v>
      </c>
      <c r="BM82" s="48" t="str">
        <f t="shared" si="106"/>
        <v>ARMA(0,2)</v>
      </c>
      <c r="BN82" s="18">
        <f t="shared" si="77"/>
        <v>1.4406704073898813</v>
      </c>
    </row>
    <row r="83" spans="1:66" x14ac:dyDescent="0.15">
      <c r="A83" s="8">
        <v>42460</v>
      </c>
      <c r="B83" s="6">
        <v>-1.0063636496661199</v>
      </c>
      <c r="C83" s="9">
        <f t="shared" si="111"/>
        <v>0.57837956480235608</v>
      </c>
      <c r="D83" s="9">
        <f t="shared" si="112"/>
        <v>0.49359335019906014</v>
      </c>
      <c r="E83" s="9">
        <f t="shared" si="113"/>
        <v>0.4024523299479269</v>
      </c>
      <c r="F83" s="9">
        <f t="shared" si="118"/>
        <v>0.52864803272988814</v>
      </c>
      <c r="G83" s="9">
        <f t="shared" si="119"/>
        <v>0.57357508790325906</v>
      </c>
      <c r="H83" s="9">
        <f t="shared" si="116"/>
        <v>0.56993129972706957</v>
      </c>
      <c r="I83" s="9">
        <f t="shared" si="107"/>
        <v>0.26227798499655963</v>
      </c>
      <c r="J83" s="9">
        <f t="shared" si="114"/>
        <v>0.28943101048700137</v>
      </c>
      <c r="K83" s="9">
        <f t="shared" si="120"/>
        <v>5.4821492351077056E-2</v>
      </c>
      <c r="L83" s="9">
        <f t="shared" si="121"/>
        <v>0.59146600235790325</v>
      </c>
      <c r="M83" s="9">
        <f t="shared" si="108"/>
        <v>2.8661937837035634E-2</v>
      </c>
      <c r="N83" s="9">
        <f t="shared" si="122"/>
        <v>-6.8926162010119946E-2</v>
      </c>
      <c r="O83" s="9">
        <f t="shared" si="123"/>
        <v>-1.7736593317274299E-2</v>
      </c>
      <c r="P83" s="9">
        <f t="shared" si="117"/>
        <v>0.38646013375271177</v>
      </c>
      <c r="Q83" s="9">
        <f t="shared" si="115"/>
        <v>-3.1421187376978521E-2</v>
      </c>
      <c r="R83" s="5"/>
      <c r="S83" s="9">
        <f t="shared" si="109"/>
        <v>-1.5847432144684759</v>
      </c>
      <c r="T83" s="9">
        <f t="shared" si="78"/>
        <v>-1.4999569998651801</v>
      </c>
      <c r="U83" s="9">
        <f t="shared" si="79"/>
        <v>-1.4088159796140469</v>
      </c>
      <c r="V83" s="9">
        <f t="shared" si="80"/>
        <v>-1.535011682396008</v>
      </c>
      <c r="W83" s="9">
        <f t="shared" si="81"/>
        <v>-1.579938737569379</v>
      </c>
      <c r="X83" s="9">
        <f t="shared" si="82"/>
        <v>-1.5762949493931895</v>
      </c>
      <c r="Y83" s="9">
        <f t="shared" si="83"/>
        <v>-1.2686416346626794</v>
      </c>
      <c r="Z83" s="9">
        <f t="shared" si="84"/>
        <v>-1.2957946601531214</v>
      </c>
      <c r="AA83" s="9">
        <f t="shared" si="85"/>
        <v>-1.0611851420171969</v>
      </c>
      <c r="AB83" s="9">
        <f t="shared" si="86"/>
        <v>-1.5978296520240232</v>
      </c>
      <c r="AC83" s="9">
        <f t="shared" si="87"/>
        <v>-1.0350255875031555</v>
      </c>
      <c r="AD83" s="9">
        <f t="shared" si="88"/>
        <v>-0.93743748765599999</v>
      </c>
      <c r="AE83" s="9">
        <f t="shared" si="89"/>
        <v>-0.98862705634884562</v>
      </c>
      <c r="AF83" s="9">
        <f t="shared" si="90"/>
        <v>-1.3928237834188317</v>
      </c>
      <c r="AG83" s="9">
        <f t="shared" si="91"/>
        <v>-0.97494246228914139</v>
      </c>
      <c r="AH83" s="5"/>
      <c r="AI83" s="9">
        <f t="shared" si="110"/>
        <v>2.5114110558038778</v>
      </c>
      <c r="AJ83" s="9">
        <f t="shared" si="92"/>
        <v>2.2498710014445518</v>
      </c>
      <c r="AK83" s="9">
        <f t="shared" si="93"/>
        <v>1.9847624644158868</v>
      </c>
      <c r="AL83" s="9">
        <f t="shared" si="94"/>
        <v>2.356260865092223</v>
      </c>
      <c r="AM83" s="9">
        <f t="shared" si="95"/>
        <v>2.4962064144723231</v>
      </c>
      <c r="AN83" s="9">
        <f t="shared" si="96"/>
        <v>2.484705767482478</v>
      </c>
      <c r="AO83" s="9">
        <f t="shared" si="97"/>
        <v>1.6094515971995953</v>
      </c>
      <c r="AP83" s="9">
        <f t="shared" si="98"/>
        <v>1.6790838012813434</v>
      </c>
      <c r="AQ83" s="9">
        <f t="shared" si="99"/>
        <v>1.1261139056380585</v>
      </c>
      <c r="AR83" s="9">
        <f t="shared" si="100"/>
        <v>2.553059596887211</v>
      </c>
      <c r="AS83" s="9">
        <f t="shared" si="101"/>
        <v>1.0712779667862522</v>
      </c>
      <c r="AT83" s="9">
        <f t="shared" si="102"/>
        <v>0.87878904326279317</v>
      </c>
      <c r="AU83" s="9">
        <f t="shared" si="103"/>
        <v>0.9773834565449836</v>
      </c>
      <c r="AV83" s="9">
        <f t="shared" si="104"/>
        <v>1.9399580916571486</v>
      </c>
      <c r="AW83" s="9">
        <f t="shared" si="105"/>
        <v>0.95051280477441391</v>
      </c>
      <c r="AY83" s="10" t="s">
        <v>157</v>
      </c>
      <c r="AZ83" s="10" t="s">
        <v>135</v>
      </c>
      <c r="BA83" s="14">
        <v>-0.74019305431464</v>
      </c>
      <c r="BB83" s="14">
        <v>0</v>
      </c>
      <c r="BC83" s="14">
        <v>0</v>
      </c>
      <c r="BD83" s="14">
        <v>0.17557124539105992</v>
      </c>
      <c r="BE83" s="14">
        <v>0.32709241873610445</v>
      </c>
      <c r="BF83" s="14">
        <v>0.30807313433920952</v>
      </c>
      <c r="BG83" s="14">
        <v>0.93826008243911585</v>
      </c>
      <c r="BI83" s="15">
        <v>66.132503602604103</v>
      </c>
      <c r="BJ83" s="16">
        <v>-44.471440111480959</v>
      </c>
      <c r="BK83" s="14">
        <v>1.4598275543111559</v>
      </c>
      <c r="BM83" s="48" t="str">
        <f t="shared" si="106"/>
        <v>ARMA(3,3)</v>
      </c>
      <c r="BN83" s="18">
        <f t="shared" si="77"/>
        <v>1.4381667101900346</v>
      </c>
    </row>
    <row r="84" spans="1:66" x14ac:dyDescent="0.15">
      <c r="A84" s="8">
        <v>42551</v>
      </c>
      <c r="B84" s="6">
        <v>0.43580229947193239</v>
      </c>
      <c r="C84" s="9">
        <f t="shared" si="111"/>
        <v>0.57837956460894469</v>
      </c>
      <c r="D84" s="9">
        <f t="shared" si="112"/>
        <v>0.43032567809110994</v>
      </c>
      <c r="E84" s="9">
        <f t="shared" si="113"/>
        <v>0.53502298273738313</v>
      </c>
      <c r="F84" s="9">
        <f t="shared" si="118"/>
        <v>0.39839504397038339</v>
      </c>
      <c r="G84" s="9">
        <f t="shared" si="119"/>
        <v>0.57356463977389383</v>
      </c>
      <c r="H84" s="9">
        <f t="shared" si="116"/>
        <v>0.54849819265813071</v>
      </c>
      <c r="I84" s="9">
        <f t="shared" si="107"/>
        <v>0.41003509662746118</v>
      </c>
      <c r="J84" s="9">
        <f t="shared" si="114"/>
        <v>0.42043021927122171</v>
      </c>
      <c r="K84" s="9">
        <f t="shared" si="120"/>
        <v>0.26916235320455362</v>
      </c>
      <c r="L84" s="9">
        <f t="shared" si="121"/>
        <v>0.59147010213337214</v>
      </c>
      <c r="M84" s="9">
        <f t="shared" si="108"/>
        <v>0.25135721335184036</v>
      </c>
      <c r="N84" s="9">
        <f t="shared" si="122"/>
        <v>6.5775264435986136E-2</v>
      </c>
      <c r="O84" s="9">
        <f t="shared" si="123"/>
        <v>0.21520414582198288</v>
      </c>
      <c r="P84" s="9">
        <f t="shared" si="117"/>
        <v>0.25659183870283975</v>
      </c>
      <c r="Q84" s="9">
        <f t="shared" si="115"/>
        <v>0.40956726652365572</v>
      </c>
      <c r="R84" s="5"/>
      <c r="S84" s="9">
        <f t="shared" si="109"/>
        <v>-0.1425772651370123</v>
      </c>
      <c r="T84" s="9">
        <f t="shared" si="78"/>
        <v>5.476621380822444E-3</v>
      </c>
      <c r="U84" s="9">
        <f t="shared" si="79"/>
        <v>-9.9220683265450749E-2</v>
      </c>
      <c r="V84" s="9">
        <f t="shared" si="80"/>
        <v>3.7407255501548997E-2</v>
      </c>
      <c r="W84" s="9">
        <f t="shared" si="81"/>
        <v>-0.13776234030196144</v>
      </c>
      <c r="X84" s="9">
        <f t="shared" si="82"/>
        <v>-0.11269589318619833</v>
      </c>
      <c r="Y84" s="9">
        <f t="shared" si="83"/>
        <v>2.5767202844471204E-2</v>
      </c>
      <c r="Z84" s="9">
        <f t="shared" si="84"/>
        <v>1.537208020071068E-2</v>
      </c>
      <c r="AA84" s="9">
        <f t="shared" si="85"/>
        <v>0.16663994626737877</v>
      </c>
      <c r="AB84" s="9">
        <f t="shared" si="86"/>
        <v>-0.15566780266143976</v>
      </c>
      <c r="AC84" s="9">
        <f t="shared" si="87"/>
        <v>0.18444508612009203</v>
      </c>
      <c r="AD84" s="9">
        <f t="shared" si="88"/>
        <v>0.37002703503594625</v>
      </c>
      <c r="AE84" s="9">
        <f t="shared" si="89"/>
        <v>0.2205981536499495</v>
      </c>
      <c r="AF84" s="9">
        <f t="shared" si="90"/>
        <v>0.17921046076909264</v>
      </c>
      <c r="AG84" s="9">
        <f t="shared" si="91"/>
        <v>2.6235032948276671E-2</v>
      </c>
      <c r="AH84" s="5"/>
      <c r="AI84" s="9">
        <f t="shared" si="110"/>
        <v>2.0328276533949904E-2</v>
      </c>
      <c r="AJ84" s="9">
        <f t="shared" si="92"/>
        <v>2.9993381748881532E-5</v>
      </c>
      <c r="AK84" s="9">
        <f t="shared" si="93"/>
        <v>9.8447439876628989E-3</v>
      </c>
      <c r="AL84" s="9">
        <f t="shared" si="94"/>
        <v>1.3993027641581678E-3</v>
      </c>
      <c r="AM84" s="9">
        <f t="shared" si="95"/>
        <v>1.8978462405473431E-2</v>
      </c>
      <c r="AN84" s="9">
        <f t="shared" si="96"/>
        <v>1.2700364341035022E-2</v>
      </c>
      <c r="AO84" s="9">
        <f t="shared" si="97"/>
        <v>6.6394874242812487E-4</v>
      </c>
      <c r="AP84" s="9">
        <f t="shared" si="98"/>
        <v>2.363008496970813E-4</v>
      </c>
      <c r="AQ84" s="9">
        <f t="shared" si="99"/>
        <v>2.7768871691994882E-2</v>
      </c>
      <c r="AR84" s="9">
        <f t="shared" si="100"/>
        <v>2.4232464785440951E-2</v>
      </c>
      <c r="AS84" s="9">
        <f t="shared" si="101"/>
        <v>3.4019989793848168E-2</v>
      </c>
      <c r="AT84" s="9">
        <f t="shared" si="102"/>
        <v>0.1369200066574934</v>
      </c>
      <c r="AU84" s="9">
        <f t="shared" si="103"/>
        <v>4.866354539376673E-2</v>
      </c>
      <c r="AV84" s="9">
        <f t="shared" si="104"/>
        <v>3.2116389249070489E-2</v>
      </c>
      <c r="AW84" s="9">
        <f t="shared" si="105"/>
        <v>6.8827695379716249E-4</v>
      </c>
    </row>
    <row r="85" spans="1:66" x14ac:dyDescent="0.15">
      <c r="A85" s="8">
        <v>42643</v>
      </c>
      <c r="B85" s="6">
        <v>-0.64319291804201262</v>
      </c>
      <c r="C85" s="9">
        <f t="shared" si="111"/>
        <v>0.57837956475333718</v>
      </c>
      <c r="D85" s="9">
        <f t="shared" si="112"/>
        <v>0.5880964789294979</v>
      </c>
      <c r="E85" s="9">
        <f t="shared" si="113"/>
        <v>0.59579979193946797</v>
      </c>
      <c r="F85" s="9">
        <f t="shared" si="118"/>
        <v>0.55769221482484566</v>
      </c>
      <c r="G85" s="9">
        <f t="shared" si="119"/>
        <v>0.57357968652478086</v>
      </c>
      <c r="H85" s="9">
        <f t="shared" si="116"/>
        <v>0.60340573778592388</v>
      </c>
      <c r="I85" s="9">
        <f t="shared" si="107"/>
        <v>0.28353928438065634</v>
      </c>
      <c r="J85" s="9">
        <f t="shared" si="114"/>
        <v>0.28375420155705189</v>
      </c>
      <c r="K85" s="9">
        <f t="shared" si="120"/>
        <v>0.27030100769247423</v>
      </c>
      <c r="L85" s="9">
        <f t="shared" si="121"/>
        <v>0.59146587813939888</v>
      </c>
      <c r="M85" s="9">
        <f t="shared" si="108"/>
        <v>0.35853522518494313</v>
      </c>
      <c r="N85" s="9">
        <f t="shared" si="122"/>
        <v>0.1684403259056676</v>
      </c>
      <c r="O85" s="9">
        <f t="shared" si="123"/>
        <v>0.5326655754254469</v>
      </c>
      <c r="P85" s="9">
        <f t="shared" si="117"/>
        <v>0.55979565077950022</v>
      </c>
      <c r="Q85" s="9">
        <f t="shared" si="115"/>
        <v>0.22585338495295537</v>
      </c>
      <c r="R85" s="5"/>
      <c r="S85" s="9">
        <f t="shared" si="109"/>
        <v>-1.2215724827953498</v>
      </c>
      <c r="T85" s="9">
        <f t="shared" si="78"/>
        <v>-1.2312893969715106</v>
      </c>
      <c r="U85" s="9">
        <f t="shared" si="79"/>
        <v>-1.2389927099814806</v>
      </c>
      <c r="V85" s="9">
        <f t="shared" si="80"/>
        <v>-1.2008851328668584</v>
      </c>
      <c r="W85" s="9">
        <f t="shared" si="81"/>
        <v>-1.2167726045667935</v>
      </c>
      <c r="X85" s="9">
        <f t="shared" si="82"/>
        <v>-1.2465986558279365</v>
      </c>
      <c r="Y85" s="9">
        <f t="shared" si="83"/>
        <v>-0.92673220242266896</v>
      </c>
      <c r="Z85" s="9">
        <f t="shared" si="84"/>
        <v>-0.92694711959906451</v>
      </c>
      <c r="AA85" s="9">
        <f t="shared" si="85"/>
        <v>-0.91349392573448684</v>
      </c>
      <c r="AB85" s="9">
        <f t="shared" si="86"/>
        <v>-1.2346587961814115</v>
      </c>
      <c r="AC85" s="9">
        <f t="shared" si="87"/>
        <v>-1.0017281432269558</v>
      </c>
      <c r="AD85" s="9">
        <f t="shared" si="88"/>
        <v>-0.81163324394768022</v>
      </c>
      <c r="AE85" s="9">
        <f t="shared" si="89"/>
        <v>-1.1758584934674596</v>
      </c>
      <c r="AF85" s="9">
        <f t="shared" si="90"/>
        <v>-1.2029885688215129</v>
      </c>
      <c r="AG85" s="9">
        <f t="shared" si="91"/>
        <v>-0.86904630299496799</v>
      </c>
      <c r="AH85" s="5"/>
      <c r="AI85" s="9">
        <f t="shared" si="110"/>
        <v>1.4922393307227952</v>
      </c>
      <c r="AJ85" s="9">
        <f t="shared" si="92"/>
        <v>1.5160735790944664</v>
      </c>
      <c r="AK85" s="9">
        <f t="shared" si="93"/>
        <v>1.5351029353872532</v>
      </c>
      <c r="AL85" s="9">
        <f t="shared" si="94"/>
        <v>1.4421251023406521</v>
      </c>
      <c r="AM85" s="9">
        <f t="shared" si="95"/>
        <v>1.4805355712242583</v>
      </c>
      <c r="AN85" s="9">
        <f t="shared" si="96"/>
        <v>1.5540082087120182</v>
      </c>
      <c r="AO85" s="9">
        <f t="shared" si="97"/>
        <v>0.8588325750071707</v>
      </c>
      <c r="AP85" s="9">
        <f t="shared" si="98"/>
        <v>0.85923096253300235</v>
      </c>
      <c r="AQ85" s="9">
        <f t="shared" si="99"/>
        <v>0.8344711523538042</v>
      </c>
      <c r="AR85" s="9">
        <f t="shared" si="100"/>
        <v>1.5243823429881322</v>
      </c>
      <c r="AS85" s="9">
        <f t="shared" si="101"/>
        <v>1.0034592729329246</v>
      </c>
      <c r="AT85" s="9">
        <f t="shared" si="102"/>
        <v>0.65874852268103457</v>
      </c>
      <c r="AU85" s="9">
        <f t="shared" si="103"/>
        <v>1.3826431966595638</v>
      </c>
      <c r="AV85" s="9">
        <f t="shared" si="104"/>
        <v>1.4471814967152321</v>
      </c>
      <c r="AW85" s="9">
        <f t="shared" si="105"/>
        <v>0.75524147674922171</v>
      </c>
      <c r="AY85" s="2" t="s">
        <v>174</v>
      </c>
    </row>
    <row r="86" spans="1:66" x14ac:dyDescent="0.15">
      <c r="A86" s="8">
        <v>42735</v>
      </c>
      <c r="B86" s="6">
        <v>-0.51793795244935437</v>
      </c>
      <c r="C86" s="9">
        <f t="shared" si="111"/>
        <v>0.57837956464554008</v>
      </c>
      <c r="D86" s="9">
        <f t="shared" si="112"/>
        <v>0.45848228511094058</v>
      </c>
      <c r="E86" s="9">
        <f t="shared" si="113"/>
        <v>0.40472425536499868</v>
      </c>
      <c r="F86" s="9">
        <f t="shared" si="118"/>
        <v>0.4720733664080386</v>
      </c>
      <c r="G86" s="9">
        <f t="shared" si="119"/>
        <v>0.57356803010744906</v>
      </c>
      <c r="H86" s="9">
        <f t="shared" si="116"/>
        <v>0.52467059193529986</v>
      </c>
      <c r="I86" s="9">
        <f t="shared" si="107"/>
        <v>0.53239967554476275</v>
      </c>
      <c r="J86" s="9">
        <f t="shared" si="114"/>
        <v>0.54603755242260033</v>
      </c>
      <c r="K86" s="9">
        <f t="shared" si="120"/>
        <v>5.7468620265441778E-2</v>
      </c>
      <c r="L86" s="9">
        <f t="shared" si="121"/>
        <v>0.59146765791578826</v>
      </c>
      <c r="M86" s="9">
        <f t="shared" si="108"/>
        <v>0.37620737753114775</v>
      </c>
      <c r="N86" s="9">
        <f t="shared" si="122"/>
        <v>-8.3583694592707897E-2</v>
      </c>
      <c r="O86" s="9">
        <f t="shared" si="123"/>
        <v>-2.0752931281129844E-3</v>
      </c>
      <c r="P86" s="9">
        <f t="shared" si="117"/>
        <v>0.33783084607650471</v>
      </c>
      <c r="Q86" s="9">
        <f t="shared" si="115"/>
        <v>0.32673313410903554</v>
      </c>
      <c r="R86" s="5"/>
      <c r="S86" s="9">
        <f t="shared" si="109"/>
        <v>-1.0963175170948944</v>
      </c>
      <c r="T86" s="9">
        <f t="shared" si="78"/>
        <v>-0.97642023756029495</v>
      </c>
      <c r="U86" s="9">
        <f t="shared" si="79"/>
        <v>-0.92266220781435304</v>
      </c>
      <c r="V86" s="9">
        <f t="shared" si="80"/>
        <v>-0.99001131885739291</v>
      </c>
      <c r="W86" s="9">
        <f t="shared" si="81"/>
        <v>-1.0915059825568034</v>
      </c>
      <c r="X86" s="9">
        <f t="shared" si="82"/>
        <v>-1.0426085443846542</v>
      </c>
      <c r="Y86" s="9">
        <f t="shared" si="83"/>
        <v>-1.050337627994117</v>
      </c>
      <c r="Z86" s="9">
        <f t="shared" si="84"/>
        <v>-1.0639755048719546</v>
      </c>
      <c r="AA86" s="9">
        <f t="shared" si="85"/>
        <v>-0.57540657271479612</v>
      </c>
      <c r="AB86" s="9">
        <f t="shared" si="86"/>
        <v>-1.1094056103651426</v>
      </c>
      <c r="AC86" s="9">
        <f t="shared" si="87"/>
        <v>-0.89414532998050211</v>
      </c>
      <c r="AD86" s="9">
        <f t="shared" si="88"/>
        <v>-0.4343542578566465</v>
      </c>
      <c r="AE86" s="9">
        <f t="shared" si="89"/>
        <v>-0.51586265932124142</v>
      </c>
      <c r="AF86" s="9">
        <f t="shared" si="90"/>
        <v>-0.85576879852585908</v>
      </c>
      <c r="AG86" s="9">
        <f t="shared" si="91"/>
        <v>-0.84467108655838996</v>
      </c>
      <c r="AH86" s="5"/>
      <c r="AI86" s="9">
        <f t="shared" si="110"/>
        <v>1.2019120982891143</v>
      </c>
      <c r="AJ86" s="9">
        <f t="shared" si="92"/>
        <v>0.95339648031730284</v>
      </c>
      <c r="AK86" s="9">
        <f t="shared" si="93"/>
        <v>0.85130554972885641</v>
      </c>
      <c r="AL86" s="9">
        <f t="shared" si="94"/>
        <v>0.98012241146575452</v>
      </c>
      <c r="AM86" s="9">
        <f t="shared" si="95"/>
        <v>1.1913853099572929</v>
      </c>
      <c r="AN86" s="9">
        <f t="shared" si="96"/>
        <v>1.0870325768238875</v>
      </c>
      <c r="AO86" s="9">
        <f t="shared" si="97"/>
        <v>1.1032091327803082</v>
      </c>
      <c r="AP86" s="9">
        <f t="shared" si="98"/>
        <v>1.1320438749675306</v>
      </c>
      <c r="AQ86" s="9">
        <f t="shared" si="99"/>
        <v>0.33109272392338795</v>
      </c>
      <c r="AR86" s="9">
        <f t="shared" si="100"/>
        <v>1.2307808083096548</v>
      </c>
      <c r="AS86" s="9">
        <f t="shared" si="101"/>
        <v>0.799495871125941</v>
      </c>
      <c r="AT86" s="9">
        <f t="shared" si="102"/>
        <v>0.18866362131819817</v>
      </c>
      <c r="AU86" s="9">
        <f t="shared" si="103"/>
        <v>0.26611428328198317</v>
      </c>
      <c r="AV86" s="9">
        <f t="shared" si="104"/>
        <v>0.73234023653039237</v>
      </c>
      <c r="AW86" s="9">
        <f t="shared" si="105"/>
        <v>0.71346924446773108</v>
      </c>
      <c r="AY86" s="2" t="s">
        <v>175</v>
      </c>
    </row>
    <row r="87" spans="1:66" x14ac:dyDescent="0.15">
      <c r="A87" s="8">
        <v>42825</v>
      </c>
      <c r="B87" s="6">
        <v>0.4901019538080531</v>
      </c>
      <c r="C87" s="9">
        <f t="shared" si="111"/>
        <v>0.5783795647260167</v>
      </c>
      <c r="D87" s="9">
        <f t="shared" si="112"/>
        <v>0.48519280281283228</v>
      </c>
      <c r="E87" s="9">
        <f t="shared" si="113"/>
        <v>0.59440658883735553</v>
      </c>
      <c r="F87" s="9">
        <f t="shared" si="118"/>
        <v>0.36716140026317223</v>
      </c>
      <c r="G87" s="9">
        <f t="shared" si="119"/>
        <v>0.57357197535516846</v>
      </c>
      <c r="H87" s="9">
        <f t="shared" si="116"/>
        <v>0.58975248922029477</v>
      </c>
      <c r="I87" s="9">
        <f t="shared" si="107"/>
        <v>0.29824934246040219</v>
      </c>
      <c r="J87" s="9">
        <f t="shared" si="114"/>
        <v>0.30210029220718715</v>
      </c>
      <c r="K87" s="9">
        <f t="shared" si="120"/>
        <v>0.32787737357508706</v>
      </c>
      <c r="L87" s="9">
        <f t="shared" si="121"/>
        <v>0.5914686691261144</v>
      </c>
      <c r="M87" s="9">
        <f t="shared" si="108"/>
        <v>0.31142916169023233</v>
      </c>
      <c r="N87" s="9">
        <f t="shared" si="122"/>
        <v>0.18070418365230242</v>
      </c>
      <c r="O87" s="9">
        <f t="shared" si="123"/>
        <v>0.34711035863736239</v>
      </c>
      <c r="P87" s="9">
        <f t="shared" si="117"/>
        <v>0.31311872763348059</v>
      </c>
      <c r="Q87" s="9">
        <f t="shared" si="115"/>
        <v>0.27193838293385214</v>
      </c>
      <c r="R87" s="5"/>
      <c r="S87" s="9">
        <f t="shared" si="109"/>
        <v>-8.82776109179636E-2</v>
      </c>
      <c r="T87" s="9">
        <f t="shared" si="78"/>
        <v>4.9091509952208234E-3</v>
      </c>
      <c r="U87" s="9">
        <f t="shared" si="79"/>
        <v>-0.10430463502930243</v>
      </c>
      <c r="V87" s="9">
        <f t="shared" si="80"/>
        <v>0.12294055354488087</v>
      </c>
      <c r="W87" s="9">
        <f t="shared" si="81"/>
        <v>-8.3470021547115358E-2</v>
      </c>
      <c r="X87" s="9">
        <f t="shared" si="82"/>
        <v>-9.965053541224167E-2</v>
      </c>
      <c r="Y87" s="9">
        <f t="shared" si="83"/>
        <v>0.19185261134765091</v>
      </c>
      <c r="Z87" s="9">
        <f t="shared" si="84"/>
        <v>0.18800166160086595</v>
      </c>
      <c r="AA87" s="9">
        <f t="shared" si="85"/>
        <v>0.16222458023296604</v>
      </c>
      <c r="AB87" s="9">
        <f t="shared" si="86"/>
        <v>-0.1013667153180613</v>
      </c>
      <c r="AC87" s="9">
        <f t="shared" si="87"/>
        <v>0.17867279211782078</v>
      </c>
      <c r="AD87" s="9">
        <f t="shared" si="88"/>
        <v>0.30939777015575065</v>
      </c>
      <c r="AE87" s="9">
        <f t="shared" si="89"/>
        <v>0.14299159517069071</v>
      </c>
      <c r="AF87" s="9">
        <f t="shared" si="90"/>
        <v>0.17698322617457252</v>
      </c>
      <c r="AG87" s="9">
        <f t="shared" si="91"/>
        <v>0.21816357087420096</v>
      </c>
      <c r="AH87" s="5"/>
      <c r="AI87" s="9">
        <f t="shared" si="110"/>
        <v>7.7929365893833662E-3</v>
      </c>
      <c r="AJ87" s="9">
        <f t="shared" si="92"/>
        <v>2.4099763493877601E-5</v>
      </c>
      <c r="AK87" s="9">
        <f t="shared" si="93"/>
        <v>1.0879456888595982E-2</v>
      </c>
      <c r="AL87" s="9">
        <f t="shared" si="94"/>
        <v>1.5114379705921721E-2</v>
      </c>
      <c r="AM87" s="9">
        <f t="shared" si="95"/>
        <v>6.9672444970759022E-3</v>
      </c>
      <c r="AN87" s="9">
        <f t="shared" si="96"/>
        <v>9.9302292079464314E-3</v>
      </c>
      <c r="AO87" s="9">
        <f t="shared" si="97"/>
        <v>3.6807424480912794E-2</v>
      </c>
      <c r="AP87" s="9">
        <f t="shared" si="98"/>
        <v>3.5344624764686514E-2</v>
      </c>
      <c r="AQ87" s="9">
        <f t="shared" si="99"/>
        <v>2.6316814431762037E-2</v>
      </c>
      <c r="AR87" s="9">
        <f t="shared" si="100"/>
        <v>1.0275210974372883E-2</v>
      </c>
      <c r="AS87" s="9">
        <f t="shared" si="101"/>
        <v>3.1923966643178002E-2</v>
      </c>
      <c r="AT87" s="9">
        <f t="shared" si="102"/>
        <v>9.5726980177350707E-2</v>
      </c>
      <c r="AU87" s="9">
        <f t="shared" si="103"/>
        <v>2.0446596289458698E-2</v>
      </c>
      <c r="AV87" s="9">
        <f t="shared" si="104"/>
        <v>3.132306234715989E-2</v>
      </c>
      <c r="AW87" s="9">
        <f t="shared" si="105"/>
        <v>4.7595343656582509E-2</v>
      </c>
    </row>
    <row r="88" spans="1:66" x14ac:dyDescent="0.15">
      <c r="A88" s="8">
        <v>42916</v>
      </c>
      <c r="B88" s="6">
        <v>1.0222831560667611</v>
      </c>
      <c r="C88" s="9">
        <f t="shared" si="111"/>
        <v>0.57837956466593643</v>
      </c>
      <c r="D88" s="9">
        <f t="shared" si="112"/>
        <v>0.58803700752144317</v>
      </c>
      <c r="E88" s="9">
        <f t="shared" si="113"/>
        <v>0.5485786063622472</v>
      </c>
      <c r="F88" s="9">
        <f t="shared" si="118"/>
        <v>0.69454229347407936</v>
      </c>
      <c r="G88" s="9">
        <f t="shared" si="119"/>
        <v>0.57357544021308415</v>
      </c>
      <c r="H88" s="9">
        <f t="shared" si="116"/>
        <v>0.58395715829404859</v>
      </c>
      <c r="I88" s="9">
        <f t="shared" si="107"/>
        <v>0.34572941238833133</v>
      </c>
      <c r="J88" s="9">
        <f t="shared" si="114"/>
        <v>0.35445104583180898</v>
      </c>
      <c r="K88" s="9">
        <f t="shared" si="120"/>
        <v>0.1595129778547803</v>
      </c>
      <c r="L88" s="9">
        <f t="shared" si="121"/>
        <v>0.59146629521698957</v>
      </c>
      <c r="M88" s="9">
        <f t="shared" si="108"/>
        <v>0.30380728277958224</v>
      </c>
      <c r="N88" s="9">
        <f t="shared" si="122"/>
        <v>8.9116026721605263E-2</v>
      </c>
      <c r="O88" s="9">
        <f t="shared" si="123"/>
        <v>0.69143712808461555</v>
      </c>
      <c r="P88" s="9">
        <f t="shared" si="117"/>
        <v>0.60961645031824996</v>
      </c>
      <c r="Q88" s="9">
        <f t="shared" si="115"/>
        <v>0.23126110283886847</v>
      </c>
      <c r="R88" s="5"/>
      <c r="S88" s="9">
        <f t="shared" si="109"/>
        <v>0.44390359140082469</v>
      </c>
      <c r="T88" s="9">
        <f t="shared" si="78"/>
        <v>0.43424614854531796</v>
      </c>
      <c r="U88" s="9">
        <f t="shared" si="79"/>
        <v>0.47370454970451392</v>
      </c>
      <c r="V88" s="9">
        <f t="shared" si="80"/>
        <v>0.32774086259268176</v>
      </c>
      <c r="W88" s="9">
        <f t="shared" si="81"/>
        <v>0.44870771585367697</v>
      </c>
      <c r="X88" s="9">
        <f t="shared" si="82"/>
        <v>0.43832599777271253</v>
      </c>
      <c r="Y88" s="9">
        <f t="shared" si="83"/>
        <v>0.6765537436784298</v>
      </c>
      <c r="Z88" s="9">
        <f t="shared" si="84"/>
        <v>0.66783211023495215</v>
      </c>
      <c r="AA88" s="9">
        <f t="shared" si="85"/>
        <v>0.86277017821198076</v>
      </c>
      <c r="AB88" s="9">
        <f t="shared" si="86"/>
        <v>0.43081686084977155</v>
      </c>
      <c r="AC88" s="9">
        <f t="shared" si="87"/>
        <v>0.71847587328717888</v>
      </c>
      <c r="AD88" s="9">
        <f t="shared" si="88"/>
        <v>0.93316712934515589</v>
      </c>
      <c r="AE88" s="9">
        <f t="shared" si="89"/>
        <v>0.33084602798214557</v>
      </c>
      <c r="AF88" s="9">
        <f t="shared" si="90"/>
        <v>0.41266670574851116</v>
      </c>
      <c r="AG88" s="9">
        <f t="shared" si="91"/>
        <v>0.79102205322789265</v>
      </c>
      <c r="AH88" s="5"/>
      <c r="AI88" s="9">
        <f t="shared" si="110"/>
        <v>0.19705039845855032</v>
      </c>
      <c r="AJ88" s="9">
        <f t="shared" si="92"/>
        <v>0.18856971752644236</v>
      </c>
      <c r="AK88" s="9">
        <f t="shared" si="93"/>
        <v>0.2243960004107563</v>
      </c>
      <c r="AL88" s="9">
        <f t="shared" si="94"/>
        <v>0.1074140730129951</v>
      </c>
      <c r="AM88" s="9">
        <f t="shared" si="95"/>
        <v>0.20133861426662411</v>
      </c>
      <c r="AN88" s="9">
        <f t="shared" si="96"/>
        <v>0.19212968032344399</v>
      </c>
      <c r="AO88" s="9">
        <f t="shared" si="97"/>
        <v>0.4577249680852985</v>
      </c>
      <c r="AP88" s="9">
        <f t="shared" si="98"/>
        <v>0.4459997274608693</v>
      </c>
      <c r="AQ88" s="9">
        <f t="shared" si="99"/>
        <v>0.7443723804119331</v>
      </c>
      <c r="AR88" s="9">
        <f t="shared" si="100"/>
        <v>0.18560316759245143</v>
      </c>
      <c r="AS88" s="9">
        <f t="shared" si="101"/>
        <v>0.51620758049577431</v>
      </c>
      <c r="AT88" s="9">
        <f t="shared" si="102"/>
        <v>0.87080089129027893</v>
      </c>
      <c r="AU88" s="9">
        <f t="shared" si="103"/>
        <v>0.10945909423156265</v>
      </c>
      <c r="AV88" s="9">
        <f t="shared" si="104"/>
        <v>0.1702938100333283</v>
      </c>
      <c r="AW88" s="9">
        <f t="shared" si="105"/>
        <v>0.62571588869287098</v>
      </c>
    </row>
    <row r="89" spans="1:66" x14ac:dyDescent="0.15">
      <c r="A89" s="8">
        <v>43008</v>
      </c>
      <c r="B89" s="6">
        <v>0.64559887573614194</v>
      </c>
      <c r="C89" s="9">
        <f t="shared" si="111"/>
        <v>0.57837956471078966</v>
      </c>
      <c r="D89" s="9">
        <f t="shared" si="112"/>
        <v>0.63303191196430009</v>
      </c>
      <c r="E89" s="9">
        <f t="shared" si="113"/>
        <v>0.65724947300635983</v>
      </c>
      <c r="F89" s="9">
        <f t="shared" si="118"/>
        <v>0.50314358085061206</v>
      </c>
      <c r="G89" s="9">
        <f t="shared" si="119"/>
        <v>0.57356811129436736</v>
      </c>
      <c r="H89" s="9">
        <f t="shared" si="116"/>
        <v>0.55495406515177526</v>
      </c>
      <c r="I89" s="9">
        <f t="shared" si="107"/>
        <v>0.67111363174957916</v>
      </c>
      <c r="J89" s="9">
        <f t="shared" si="114"/>
        <v>0.67690344357902976</v>
      </c>
      <c r="K89" s="9">
        <f t="shared" si="120"/>
        <v>0.44995802037905441</v>
      </c>
      <c r="L89" s="9">
        <f t="shared" si="121"/>
        <v>0.59146820748835038</v>
      </c>
      <c r="M89" s="9">
        <f t="shared" si="108"/>
        <v>0.58151666360498566</v>
      </c>
      <c r="N89" s="9">
        <f t="shared" si="122"/>
        <v>0.38613296735636826</v>
      </c>
      <c r="O89" s="9">
        <f t="shared" si="123"/>
        <v>0.37192884106634555</v>
      </c>
      <c r="P89" s="9">
        <f t="shared" si="117"/>
        <v>0.65299566360528372</v>
      </c>
      <c r="Q89" s="9">
        <f t="shared" si="115"/>
        <v>0.71710212835725495</v>
      </c>
      <c r="R89" s="5"/>
      <c r="S89" s="9">
        <f t="shared" si="109"/>
        <v>6.721931102535228E-2</v>
      </c>
      <c r="T89" s="9">
        <f t="shared" si="78"/>
        <v>1.2566963771841855E-2</v>
      </c>
      <c r="U89" s="9">
        <f t="shared" si="79"/>
        <v>-1.1650597270217888E-2</v>
      </c>
      <c r="V89" s="9">
        <f t="shared" si="80"/>
        <v>0.14245529488552988</v>
      </c>
      <c r="W89" s="9">
        <f t="shared" si="81"/>
        <v>7.2030764441774586E-2</v>
      </c>
      <c r="X89" s="9">
        <f t="shared" si="82"/>
        <v>9.0644810584366686E-2</v>
      </c>
      <c r="Y89" s="9">
        <f t="shared" si="83"/>
        <v>-2.5514756013437223E-2</v>
      </c>
      <c r="Z89" s="9">
        <f t="shared" si="84"/>
        <v>-3.130456784288782E-2</v>
      </c>
      <c r="AA89" s="9">
        <f t="shared" si="85"/>
        <v>0.19564085535708753</v>
      </c>
      <c r="AB89" s="9">
        <f t="shared" si="86"/>
        <v>5.4130668247791558E-2</v>
      </c>
      <c r="AC89" s="9">
        <f t="shared" si="87"/>
        <v>6.408221213115628E-2</v>
      </c>
      <c r="AD89" s="9">
        <f t="shared" si="88"/>
        <v>0.25946590837977368</v>
      </c>
      <c r="AE89" s="9">
        <f t="shared" si="89"/>
        <v>0.27367003466979639</v>
      </c>
      <c r="AF89" s="9">
        <f t="shared" si="90"/>
        <v>-7.3967878691417743E-3</v>
      </c>
      <c r="AG89" s="9">
        <f t="shared" si="91"/>
        <v>-7.1503252621113012E-2</v>
      </c>
      <c r="AH89" s="5"/>
      <c r="AI89" s="9">
        <f t="shared" si="110"/>
        <v>4.5184357747230465E-3</v>
      </c>
      <c r="AJ89" s="9">
        <f t="shared" si="92"/>
        <v>1.5792857844278566E-4</v>
      </c>
      <c r="AK89" s="9">
        <f t="shared" si="93"/>
        <v>1.3573641675280852E-4</v>
      </c>
      <c r="AL89" s="9">
        <f t="shared" si="94"/>
        <v>2.0293511040923275E-2</v>
      </c>
      <c r="AM89" s="9">
        <f t="shared" si="95"/>
        <v>5.1884310260664184E-3</v>
      </c>
      <c r="AN89" s="9">
        <f t="shared" si="96"/>
        <v>8.216481685875715E-3</v>
      </c>
      <c r="AO89" s="9">
        <f t="shared" si="97"/>
        <v>6.5100277442523089E-4</v>
      </c>
      <c r="AP89" s="9">
        <f t="shared" si="98"/>
        <v>9.7997596782996624E-4</v>
      </c>
      <c r="AQ89" s="9">
        <f t="shared" si="99"/>
        <v>3.8275344284852846E-2</v>
      </c>
      <c r="AR89" s="9">
        <f t="shared" si="100"/>
        <v>2.930129244952469E-3</v>
      </c>
      <c r="AS89" s="9">
        <f t="shared" si="101"/>
        <v>4.106529911622513E-3</v>
      </c>
      <c r="AT89" s="9">
        <f t="shared" si="102"/>
        <v>6.7322557611341108E-2</v>
      </c>
      <c r="AU89" s="9">
        <f t="shared" si="103"/>
        <v>7.489528787616756E-2</v>
      </c>
      <c r="AV89" s="9">
        <f t="shared" si="104"/>
        <v>5.4712470781082907E-5</v>
      </c>
      <c r="AW89" s="9">
        <f t="shared" si="105"/>
        <v>5.1127151353987047E-3</v>
      </c>
    </row>
    <row r="90" spans="1:66" x14ac:dyDescent="0.15">
      <c r="A90" s="8">
        <v>43100</v>
      </c>
      <c r="B90" s="6">
        <v>0.22215231393281076</v>
      </c>
      <c r="C90" s="9">
        <f t="shared" si="111"/>
        <v>0.57837956467730423</v>
      </c>
      <c r="D90" s="9">
        <f t="shared" si="112"/>
        <v>0.58883955320488424</v>
      </c>
      <c r="E90" s="9">
        <f t="shared" si="113"/>
        <v>0.51094086921471682</v>
      </c>
      <c r="F90" s="9">
        <f t="shared" si="118"/>
        <v>0.47774230823010017</v>
      </c>
      <c r="G90" s="9">
        <f t="shared" si="119"/>
        <v>0.5735749766635807</v>
      </c>
      <c r="H90" s="9">
        <f t="shared" si="116"/>
        <v>0.58910827156214696</v>
      </c>
      <c r="I90" s="9">
        <f t="shared" si="107"/>
        <v>0.74292631041158308</v>
      </c>
      <c r="J90" s="9">
        <f t="shared" si="114"/>
        <v>0.73444534978724196</v>
      </c>
      <c r="K90" s="9">
        <f t="shared" si="120"/>
        <v>0.21379865543524054</v>
      </c>
      <c r="L90" s="9">
        <f t="shared" si="121"/>
        <v>0.59146776707198323</v>
      </c>
      <c r="M90" s="9">
        <f t="shared" si="108"/>
        <v>0.7449488500125081</v>
      </c>
      <c r="N90" s="9">
        <f t="shared" si="122"/>
        <v>0.20754766069327973</v>
      </c>
      <c r="O90" s="9">
        <f t="shared" si="123"/>
        <v>0.86562382065693277</v>
      </c>
      <c r="P90" s="9">
        <f t="shared" si="117"/>
        <v>0.52367886791152374</v>
      </c>
      <c r="Q90" s="9">
        <f t="shared" si="115"/>
        <v>0.72085980442439024</v>
      </c>
      <c r="R90" s="5"/>
      <c r="S90" s="9">
        <f t="shared" si="109"/>
        <v>-0.35622725074449346</v>
      </c>
      <c r="T90" s="9">
        <f t="shared" si="78"/>
        <v>-0.36668723927207347</v>
      </c>
      <c r="U90" s="9">
        <f t="shared" si="79"/>
        <v>-0.28878855528190606</v>
      </c>
      <c r="V90" s="9">
        <f t="shared" si="80"/>
        <v>-0.2555899942972894</v>
      </c>
      <c r="W90" s="9">
        <f t="shared" si="81"/>
        <v>-0.35142266273076994</v>
      </c>
      <c r="X90" s="9">
        <f t="shared" si="82"/>
        <v>-0.36695595762933619</v>
      </c>
      <c r="Y90" s="9">
        <f t="shared" si="83"/>
        <v>-0.52077399647877232</v>
      </c>
      <c r="Z90" s="9">
        <f t="shared" si="84"/>
        <v>-0.5122930358544312</v>
      </c>
      <c r="AA90" s="9">
        <f t="shared" si="85"/>
        <v>8.3536584975702211E-3</v>
      </c>
      <c r="AB90" s="9">
        <f t="shared" si="86"/>
        <v>-0.36931545313917247</v>
      </c>
      <c r="AC90" s="9">
        <f t="shared" si="87"/>
        <v>-0.52279653607969734</v>
      </c>
      <c r="AD90" s="9">
        <f t="shared" si="88"/>
        <v>1.4604653239531029E-2</v>
      </c>
      <c r="AE90" s="9">
        <f t="shared" si="89"/>
        <v>-0.64347150672412201</v>
      </c>
      <c r="AF90" s="9">
        <f t="shared" si="90"/>
        <v>-0.30152655397871297</v>
      </c>
      <c r="AG90" s="9">
        <f t="shared" si="91"/>
        <v>-0.49870749049157947</v>
      </c>
      <c r="AH90" s="5"/>
      <c r="AI90" s="9">
        <f t="shared" si="110"/>
        <v>0.12689785417298022</v>
      </c>
      <c r="AJ90" s="9">
        <f t="shared" si="92"/>
        <v>0.13445953144497486</v>
      </c>
      <c r="AK90" s="9">
        <f t="shared" si="93"/>
        <v>8.3398829661810517E-2</v>
      </c>
      <c r="AL90" s="9">
        <f t="shared" si="94"/>
        <v>6.5326245184888429E-2</v>
      </c>
      <c r="AM90" s="9">
        <f t="shared" si="95"/>
        <v>0.12349788788078447</v>
      </c>
      <c r="AN90" s="9">
        <f t="shared" si="96"/>
        <v>0.13465667483966318</v>
      </c>
      <c r="AO90" s="9">
        <f t="shared" si="97"/>
        <v>0.27120555540847235</v>
      </c>
      <c r="AP90" s="9">
        <f t="shared" si="98"/>
        <v>0.26244415458494952</v>
      </c>
      <c r="AQ90" s="9">
        <f t="shared" si="99"/>
        <v>6.9783610294027167E-5</v>
      </c>
      <c r="AR90" s="9">
        <f t="shared" si="100"/>
        <v>0.13639390392739228</v>
      </c>
      <c r="AS90" s="9">
        <f t="shared" si="101"/>
        <v>0.2733162181369303</v>
      </c>
      <c r="AT90" s="9">
        <f t="shared" si="102"/>
        <v>2.1329589624694418E-4</v>
      </c>
      <c r="AU90" s="9">
        <f t="shared" si="103"/>
        <v>0.41405557996581177</v>
      </c>
      <c r="AV90" s="9">
        <f t="shared" si="104"/>
        <v>9.0918262754277709E-2</v>
      </c>
      <c r="AW90" s="9">
        <f t="shared" si="105"/>
        <v>0.24870916107240884</v>
      </c>
    </row>
    <row r="91" spans="1:66" x14ac:dyDescent="0.15">
      <c r="A91" s="8">
        <v>43190</v>
      </c>
      <c r="B91" s="6">
        <v>0.77438361264077216</v>
      </c>
      <c r="C91" s="9">
        <f t="shared" si="111"/>
        <v>0.5783795647023029</v>
      </c>
      <c r="D91" s="9">
        <f t="shared" si="112"/>
        <v>0.5490933707820157</v>
      </c>
      <c r="E91" s="9">
        <f t="shared" si="113"/>
        <v>0.59083962356161046</v>
      </c>
      <c r="F91" s="9">
        <f t="shared" si="118"/>
        <v>0.59656958115154779</v>
      </c>
      <c r="G91" s="9">
        <f t="shared" si="119"/>
        <v>0.57357153167534602</v>
      </c>
      <c r="H91" s="9">
        <f t="shared" si="116"/>
        <v>0.55688336977967134</v>
      </c>
      <c r="I91" s="9">
        <f t="shared" si="107"/>
        <v>0.54532775010975609</v>
      </c>
      <c r="J91" s="9">
        <f t="shared" si="114"/>
        <v>0.53778928583538121</v>
      </c>
      <c r="K91" s="9">
        <f t="shared" si="120"/>
        <v>0.42837173695342812</v>
      </c>
      <c r="L91" s="9">
        <f t="shared" si="121"/>
        <v>0.59146690523084255</v>
      </c>
      <c r="M91" s="9">
        <f t="shared" si="108"/>
        <v>0.6218103110969887</v>
      </c>
      <c r="N91" s="9">
        <f t="shared" si="122"/>
        <v>0.37963355921211744</v>
      </c>
      <c r="O91" s="9">
        <f t="shared" si="123"/>
        <v>0.27906457158023229</v>
      </c>
      <c r="P91" s="9">
        <f t="shared" si="117"/>
        <v>0.50969530127191154</v>
      </c>
      <c r="Q91" s="9">
        <f t="shared" si="115"/>
        <v>0.53743043830013104</v>
      </c>
      <c r="R91" s="5"/>
      <c r="S91" s="9">
        <f t="shared" si="109"/>
        <v>0.19600404793846926</v>
      </c>
      <c r="T91" s="9">
        <f t="shared" si="78"/>
        <v>0.22529024185875646</v>
      </c>
      <c r="U91" s="9">
        <f t="shared" si="79"/>
        <v>0.1835439890791617</v>
      </c>
      <c r="V91" s="9">
        <f t="shared" si="80"/>
        <v>0.17781403148922437</v>
      </c>
      <c r="W91" s="9">
        <f t="shared" si="81"/>
        <v>0.20081208096542613</v>
      </c>
      <c r="X91" s="9">
        <f t="shared" si="82"/>
        <v>0.21750024286110081</v>
      </c>
      <c r="Y91" s="9">
        <f t="shared" si="83"/>
        <v>0.22905586253101606</v>
      </c>
      <c r="Z91" s="9">
        <f t="shared" si="84"/>
        <v>0.23659432680539094</v>
      </c>
      <c r="AA91" s="9">
        <f t="shared" si="85"/>
        <v>0.34601187568734404</v>
      </c>
      <c r="AB91" s="9">
        <f t="shared" si="86"/>
        <v>0.1829167074099296</v>
      </c>
      <c r="AC91" s="9">
        <f t="shared" si="87"/>
        <v>0.15257330154378346</v>
      </c>
      <c r="AD91" s="9">
        <f t="shared" si="88"/>
        <v>0.39475005342865471</v>
      </c>
      <c r="AE91" s="9">
        <f t="shared" si="89"/>
        <v>0.49531904106053987</v>
      </c>
      <c r="AF91" s="9">
        <f t="shared" si="90"/>
        <v>0.26468831136886062</v>
      </c>
      <c r="AG91" s="9">
        <f t="shared" si="91"/>
        <v>0.23695317434064112</v>
      </c>
      <c r="AH91" s="5"/>
      <c r="AI91" s="9">
        <f t="shared" si="110"/>
        <v>3.8417586808265757E-2</v>
      </c>
      <c r="AJ91" s="9">
        <f t="shared" si="92"/>
        <v>5.0755693076776978E-2</v>
      </c>
      <c r="AK91" s="9">
        <f t="shared" si="93"/>
        <v>3.3688395927091427E-2</v>
      </c>
      <c r="AL91" s="9">
        <f t="shared" si="94"/>
        <v>3.1617829794450873E-2</v>
      </c>
      <c r="AM91" s="9">
        <f t="shared" si="95"/>
        <v>4.0325491861664862E-2</v>
      </c>
      <c r="AN91" s="9">
        <f t="shared" si="96"/>
        <v>4.7306355644637837E-2</v>
      </c>
      <c r="AO91" s="9">
        <f t="shared" si="97"/>
        <v>5.2466588159827729E-2</v>
      </c>
      <c r="AP91" s="9">
        <f t="shared" si="98"/>
        <v>5.597687547649613E-2</v>
      </c>
      <c r="AQ91" s="9">
        <f t="shared" si="99"/>
        <v>0.11972421811667402</v>
      </c>
      <c r="AR91" s="9">
        <f t="shared" si="100"/>
        <v>3.3458521849689796E-2</v>
      </c>
      <c r="AS91" s="9">
        <f t="shared" si="101"/>
        <v>2.3278612343970276E-2</v>
      </c>
      <c r="AT91" s="9">
        <f t="shared" si="102"/>
        <v>0.15582760468192575</v>
      </c>
      <c r="AU91" s="9">
        <f t="shared" si="103"/>
        <v>0.24534095243713278</v>
      </c>
      <c r="AV91" s="9">
        <f t="shared" si="104"/>
        <v>7.0059902175298908E-2</v>
      </c>
      <c r="AW91" s="9">
        <f t="shared" si="105"/>
        <v>5.6146806830106262E-2</v>
      </c>
    </row>
    <row r="92" spans="1:66" x14ac:dyDescent="0.15">
      <c r="A92" s="8">
        <v>43281</v>
      </c>
      <c r="B92" s="6">
        <v>0.41519994589387377</v>
      </c>
      <c r="C92" s="9">
        <f t="shared" si="111"/>
        <v>0.57837956468364005</v>
      </c>
      <c r="D92" s="9">
        <f t="shared" si="112"/>
        <v>0.61113314454434275</v>
      </c>
      <c r="E92" s="9">
        <f t="shared" si="113"/>
        <v>0.58759245339721855</v>
      </c>
      <c r="F92" s="9">
        <f t="shared" si="118"/>
        <v>0.48626129372353966</v>
      </c>
      <c r="G92" s="9">
        <f t="shared" si="119"/>
        <v>0.57357092904616125</v>
      </c>
      <c r="H92" s="9">
        <f t="shared" si="116"/>
        <v>0.58552759632774309</v>
      </c>
      <c r="I92" s="9">
        <f t="shared" si="107"/>
        <v>0.47396010460984966</v>
      </c>
      <c r="J92" s="9">
        <f t="shared" si="114"/>
        <v>0.47689963168654342</v>
      </c>
      <c r="K92" s="9">
        <f t="shared" si="120"/>
        <v>0.35370664811155716</v>
      </c>
      <c r="L92" s="9">
        <f t="shared" si="121"/>
        <v>0.59146816912478539</v>
      </c>
      <c r="M92" s="9">
        <f t="shared" si="108"/>
        <v>0.5032198924377228</v>
      </c>
      <c r="N92" s="9">
        <f t="shared" si="122"/>
        <v>0.36856248313946427</v>
      </c>
      <c r="O92" s="9">
        <f t="shared" si="123"/>
        <v>0.70197111531708722</v>
      </c>
      <c r="P92" s="9">
        <f t="shared" si="117"/>
        <v>0.58853285266761979</v>
      </c>
      <c r="Q92" s="9">
        <f t="shared" si="115"/>
        <v>0.39690829829329932</v>
      </c>
      <c r="R92" s="5"/>
      <c r="S92" s="9">
        <f t="shared" si="109"/>
        <v>-0.16317961878976628</v>
      </c>
      <c r="T92" s="9">
        <f t="shared" si="78"/>
        <v>-0.19593319865046899</v>
      </c>
      <c r="U92" s="9">
        <f t="shared" si="79"/>
        <v>-0.17239250750334478</v>
      </c>
      <c r="V92" s="9">
        <f t="shared" si="80"/>
        <v>-7.1061347829665888E-2</v>
      </c>
      <c r="W92" s="9">
        <f t="shared" si="81"/>
        <v>-0.15837098315228748</v>
      </c>
      <c r="X92" s="9">
        <f t="shared" si="82"/>
        <v>-0.17032765043386933</v>
      </c>
      <c r="Y92" s="9">
        <f t="shared" si="83"/>
        <v>-5.8760158715975896E-2</v>
      </c>
      <c r="Z92" s="9">
        <f t="shared" si="84"/>
        <v>-6.1699685792669656E-2</v>
      </c>
      <c r="AA92" s="9">
        <f t="shared" si="85"/>
        <v>6.1493297782316603E-2</v>
      </c>
      <c r="AB92" s="9">
        <f t="shared" si="86"/>
        <v>-0.17626822323091162</v>
      </c>
      <c r="AC92" s="9">
        <f t="shared" si="87"/>
        <v>-8.8019946543849037E-2</v>
      </c>
      <c r="AD92" s="9">
        <f t="shared" si="88"/>
        <v>4.6637462754409498E-2</v>
      </c>
      <c r="AE92" s="9">
        <f t="shared" si="89"/>
        <v>-0.28677116942321346</v>
      </c>
      <c r="AF92" s="9">
        <f t="shared" si="90"/>
        <v>-0.17333290677374602</v>
      </c>
      <c r="AG92" s="9">
        <f t="shared" si="91"/>
        <v>1.8291647600574445E-2</v>
      </c>
      <c r="AH92" s="5"/>
      <c r="AI92" s="9">
        <f t="shared" si="110"/>
        <v>2.6627587988373443E-2</v>
      </c>
      <c r="AJ92" s="9">
        <f t="shared" si="92"/>
        <v>3.8389818333404144E-2</v>
      </c>
      <c r="AK92" s="9">
        <f t="shared" si="93"/>
        <v>2.9719176643290789E-2</v>
      </c>
      <c r="AL92" s="9">
        <f t="shared" si="94"/>
        <v>5.049715155368761E-3</v>
      </c>
      <c r="AM92" s="9">
        <f t="shared" si="95"/>
        <v>2.5081368304622126E-2</v>
      </c>
      <c r="AN92" s="9">
        <f t="shared" si="96"/>
        <v>2.9011508502322387E-2</v>
      </c>
      <c r="AO92" s="9">
        <f t="shared" si="97"/>
        <v>3.4527562523266782E-3</v>
      </c>
      <c r="AP92" s="9">
        <f t="shared" si="98"/>
        <v>3.8068512269141619E-3</v>
      </c>
      <c r="AQ92" s="9">
        <f t="shared" si="99"/>
        <v>3.7814256721446639E-3</v>
      </c>
      <c r="AR92" s="9">
        <f t="shared" si="100"/>
        <v>3.1070486520982491E-2</v>
      </c>
      <c r="AS92" s="9">
        <f t="shared" si="101"/>
        <v>7.7475109895820422E-3</v>
      </c>
      <c r="AT92" s="9">
        <f t="shared" si="102"/>
        <v>2.175052932168933E-3</v>
      </c>
      <c r="AU92" s="9">
        <f t="shared" si="103"/>
        <v>8.2237703612357396E-2</v>
      </c>
      <c r="AV92" s="9">
        <f t="shared" si="104"/>
        <v>3.004429657063613E-2</v>
      </c>
      <c r="AW92" s="9">
        <f t="shared" si="105"/>
        <v>3.3458437194360089E-4</v>
      </c>
    </row>
    <row r="93" spans="1:66" x14ac:dyDescent="0.15">
      <c r="A93" s="8">
        <v>43373</v>
      </c>
      <c r="B93" s="6">
        <v>0.622660328751512</v>
      </c>
      <c r="C93" s="9">
        <f t="shared" si="111"/>
        <v>0.5783795646975729</v>
      </c>
      <c r="D93" s="9">
        <f t="shared" si="112"/>
        <v>0.56698854819472932</v>
      </c>
      <c r="E93" s="9">
        <f t="shared" si="113"/>
        <v>0.54535721528830106</v>
      </c>
      <c r="F93" s="9">
        <f t="shared" si="118"/>
        <v>0.53738817123401372</v>
      </c>
      <c r="G93" s="9">
        <f t="shared" si="119"/>
        <v>0.57357422131828639</v>
      </c>
      <c r="H93" s="9">
        <f t="shared" si="116"/>
        <v>0.56422079813146797</v>
      </c>
      <c r="I93" s="9">
        <f t="shared" si="107"/>
        <v>0.63445549635340615</v>
      </c>
      <c r="J93" s="9">
        <f t="shared" si="114"/>
        <v>0.63992413430161332</v>
      </c>
      <c r="K93" s="9">
        <f t="shared" si="120"/>
        <v>0.38200771621651031</v>
      </c>
      <c r="L93" s="9">
        <f t="shared" si="121"/>
        <v>0.59146737918786285</v>
      </c>
      <c r="M93" s="9">
        <f t="shared" si="108"/>
        <v>0.53362678284407417</v>
      </c>
      <c r="N93" s="9">
        <f t="shared" si="122"/>
        <v>0.37093805530107521</v>
      </c>
      <c r="O93" s="9">
        <f t="shared" si="123"/>
        <v>0.72312222221857947</v>
      </c>
      <c r="P93" s="9">
        <f t="shared" si="117"/>
        <v>0.52661690110736659</v>
      </c>
      <c r="Q93" s="9">
        <f t="shared" si="115"/>
        <v>0.57155001140015549</v>
      </c>
      <c r="R93" s="5"/>
      <c r="S93" s="9">
        <f t="shared" si="109"/>
        <v>4.4280764053939103E-2</v>
      </c>
      <c r="T93" s="9">
        <f t="shared" si="78"/>
        <v>5.567178055678268E-2</v>
      </c>
      <c r="U93" s="9">
        <f t="shared" si="79"/>
        <v>7.7303113463210948E-2</v>
      </c>
      <c r="V93" s="9">
        <f t="shared" si="80"/>
        <v>8.5272157517498282E-2</v>
      </c>
      <c r="W93" s="9">
        <f t="shared" si="81"/>
        <v>4.9086107433225612E-2</v>
      </c>
      <c r="X93" s="9">
        <f t="shared" si="82"/>
        <v>5.8439530620044033E-2</v>
      </c>
      <c r="Y93" s="9">
        <f t="shared" si="83"/>
        <v>-1.1795167601894141E-2</v>
      </c>
      <c r="Z93" s="9">
        <f t="shared" si="84"/>
        <v>-1.7263805550101319E-2</v>
      </c>
      <c r="AA93" s="9">
        <f t="shared" si="85"/>
        <v>0.2406526125350017</v>
      </c>
      <c r="AB93" s="9">
        <f t="shared" si="86"/>
        <v>3.1192949563649153E-2</v>
      </c>
      <c r="AC93" s="9">
        <f t="shared" si="87"/>
        <v>8.9033545907437839E-2</v>
      </c>
      <c r="AD93" s="9">
        <f t="shared" si="88"/>
        <v>0.2517222734504368</v>
      </c>
      <c r="AE93" s="9">
        <f t="shared" si="89"/>
        <v>-0.10046189346706746</v>
      </c>
      <c r="AF93" s="9">
        <f t="shared" si="90"/>
        <v>9.6043427644145418E-2</v>
      </c>
      <c r="AG93" s="9">
        <f t="shared" si="91"/>
        <v>5.1110317351356516E-2</v>
      </c>
      <c r="AH93" s="5"/>
      <c r="AI93" s="9">
        <f t="shared" si="110"/>
        <v>1.9607860652006252E-3</v>
      </c>
      <c r="AJ93" s="9">
        <f t="shared" si="92"/>
        <v>3.0993471503625658E-3</v>
      </c>
      <c r="AK93" s="9">
        <f t="shared" si="93"/>
        <v>5.9757713511060656E-3</v>
      </c>
      <c r="AL93" s="9">
        <f t="shared" si="94"/>
        <v>7.271340847689039E-3</v>
      </c>
      <c r="AM93" s="9">
        <f t="shared" si="95"/>
        <v>2.4094459429461665E-3</v>
      </c>
      <c r="AN93" s="9">
        <f t="shared" si="96"/>
        <v>3.415178739091064E-3</v>
      </c>
      <c r="AO93" s="9">
        <f t="shared" si="97"/>
        <v>1.3912597875677317E-4</v>
      </c>
      <c r="AP93" s="9">
        <f t="shared" si="98"/>
        <v>2.9803898207170909E-4</v>
      </c>
      <c r="AQ93" s="9">
        <f t="shared" si="99"/>
        <v>5.7913679919921655E-2</v>
      </c>
      <c r="AR93" s="9">
        <f t="shared" si="100"/>
        <v>9.7300010248035983E-4</v>
      </c>
      <c r="AS93" s="9">
        <f t="shared" si="101"/>
        <v>7.9269722968518409E-3</v>
      </c>
      <c r="AT93" s="9">
        <f t="shared" si="102"/>
        <v>6.3364102951056475E-2</v>
      </c>
      <c r="AU93" s="9">
        <f t="shared" si="103"/>
        <v>1.0092592038988412E-2</v>
      </c>
      <c r="AV93" s="9">
        <f t="shared" si="104"/>
        <v>9.2243399936361957E-3</v>
      </c>
      <c r="AW93" s="9">
        <f t="shared" si="105"/>
        <v>2.612264539756375E-3</v>
      </c>
    </row>
    <row r="94" spans="1:66" x14ac:dyDescent="0.15">
      <c r="A94" s="8">
        <v>43465</v>
      </c>
      <c r="B94" s="6">
        <v>-0.45599893916549172</v>
      </c>
      <c r="C94" s="9">
        <f t="shared" si="111"/>
        <v>0.57837956468717122</v>
      </c>
      <c r="D94" s="9">
        <f t="shared" si="112"/>
        <v>0.59335697686818956</v>
      </c>
      <c r="E94" s="9">
        <f t="shared" si="113"/>
        <v>0.6099028913432184</v>
      </c>
      <c r="F94" s="9">
        <f t="shared" si="118"/>
        <v>0.55631159222495496</v>
      </c>
      <c r="G94" s="9">
        <f t="shared" si="119"/>
        <v>0.57357043971219146</v>
      </c>
      <c r="H94" s="9">
        <f t="shared" si="116"/>
        <v>0.57537320294255512</v>
      </c>
      <c r="I94" s="9">
        <f t="shared" si="107"/>
        <v>0.56892029061984961</v>
      </c>
      <c r="J94" s="9">
        <f t="shared" si="114"/>
        <v>0.56403693304463443</v>
      </c>
      <c r="K94" s="9">
        <f t="shared" si="120"/>
        <v>0.45325717116640152</v>
      </c>
      <c r="L94" s="9">
        <f t="shared" si="121"/>
        <v>0.59146736130194211</v>
      </c>
      <c r="M94" s="9">
        <f t="shared" si="108"/>
        <v>0.5902684926501014</v>
      </c>
      <c r="N94" s="9">
        <f t="shared" si="122"/>
        <v>0.464798784594251</v>
      </c>
      <c r="O94" s="9">
        <f t="shared" si="123"/>
        <v>0.17399779164175885</v>
      </c>
      <c r="P94" s="9">
        <f t="shared" si="117"/>
        <v>0.5642219930927449</v>
      </c>
      <c r="Q94" s="9">
        <f t="shared" si="115"/>
        <v>0.60315820224406425</v>
      </c>
      <c r="R94" s="5"/>
      <c r="S94" s="9">
        <f t="shared" si="109"/>
        <v>-1.0343785038526629</v>
      </c>
      <c r="T94" s="9">
        <f t="shared" si="78"/>
        <v>-1.0493559160336812</v>
      </c>
      <c r="U94" s="9">
        <f t="shared" si="79"/>
        <v>-1.06590183050871</v>
      </c>
      <c r="V94" s="9">
        <f t="shared" si="80"/>
        <v>-1.0123105313904466</v>
      </c>
      <c r="W94" s="9">
        <f t="shared" si="81"/>
        <v>-1.0295693788776832</v>
      </c>
      <c r="X94" s="9">
        <f t="shared" si="82"/>
        <v>-1.0313721421080468</v>
      </c>
      <c r="Y94" s="9">
        <f t="shared" si="83"/>
        <v>-1.0249192297853413</v>
      </c>
      <c r="Z94" s="9">
        <f t="shared" si="84"/>
        <v>-1.0200358722101261</v>
      </c>
      <c r="AA94" s="9">
        <f t="shared" si="85"/>
        <v>-0.90925611033189324</v>
      </c>
      <c r="AB94" s="9">
        <f t="shared" si="86"/>
        <v>-1.0474663004674338</v>
      </c>
      <c r="AC94" s="9">
        <f t="shared" si="87"/>
        <v>-1.0462674318155931</v>
      </c>
      <c r="AD94" s="9">
        <f t="shared" si="88"/>
        <v>-0.92079772375974267</v>
      </c>
      <c r="AE94" s="9">
        <f t="shared" si="89"/>
        <v>-0.6299967308072506</v>
      </c>
      <c r="AF94" s="9">
        <f t="shared" si="90"/>
        <v>-1.0202209322582365</v>
      </c>
      <c r="AG94" s="9">
        <f t="shared" si="91"/>
        <v>-1.059157141409556</v>
      </c>
      <c r="AH94" s="5"/>
      <c r="AI94" s="9">
        <f t="shared" si="110"/>
        <v>1.0699388892324735</v>
      </c>
      <c r="AJ94" s="9">
        <f t="shared" si="92"/>
        <v>1.1011478385148861</v>
      </c>
      <c r="AK94" s="9">
        <f t="shared" si="93"/>
        <v>1.1361467122818187</v>
      </c>
      <c r="AL94" s="9">
        <f t="shared" si="94"/>
        <v>1.0247726119640084</v>
      </c>
      <c r="AM94" s="9">
        <f t="shared" si="95"/>
        <v>1.0600131059225784</v>
      </c>
      <c r="AN94" s="9">
        <f t="shared" si="96"/>
        <v>1.0637284955165411</v>
      </c>
      <c r="AO94" s="9">
        <f t="shared" si="97"/>
        <v>1.0504594275837773</v>
      </c>
      <c r="AP94" s="9">
        <f t="shared" si="98"/>
        <v>1.0404731805954728</v>
      </c>
      <c r="AQ94" s="9">
        <f t="shared" si="99"/>
        <v>0.82674667417588399</v>
      </c>
      <c r="AR94" s="9">
        <f t="shared" si="100"/>
        <v>1.0971856506149325</v>
      </c>
      <c r="AS94" s="9">
        <f t="shared" si="101"/>
        <v>1.0946755388779967</v>
      </c>
      <c r="AT94" s="9">
        <f t="shared" si="102"/>
        <v>0.84786844808112338</v>
      </c>
      <c r="AU94" s="9">
        <f t="shared" si="103"/>
        <v>0.3968958808278234</v>
      </c>
      <c r="AV94" s="9">
        <f t="shared" si="104"/>
        <v>1.0408507506178653</v>
      </c>
      <c r="AW94" s="9">
        <f t="shared" si="105"/>
        <v>1.1218138501988622</v>
      </c>
    </row>
    <row r="95" spans="1:66" x14ac:dyDescent="0.15">
      <c r="A95" s="8">
        <v>43555</v>
      </c>
      <c r="B95" s="6">
        <v>1.4074916076593169</v>
      </c>
      <c r="C95" s="9">
        <f t="shared" si="111"/>
        <v>0.57837956469493679</v>
      </c>
      <c r="D95" s="9">
        <f t="shared" si="112"/>
        <v>0.47754907794842194</v>
      </c>
      <c r="E95" s="9">
        <f t="shared" si="113"/>
        <v>0.41543907467221419</v>
      </c>
      <c r="F95" s="9">
        <f t="shared" si="118"/>
        <v>0.39120931750327564</v>
      </c>
      <c r="G95" s="9">
        <f t="shared" si="119"/>
        <v>0.57357288188596889</v>
      </c>
      <c r="H95" s="9">
        <f t="shared" si="116"/>
        <v>0.55366798470298573</v>
      </c>
      <c r="I95" s="9">
        <f t="shared" si="107"/>
        <v>0.5173911670079584</v>
      </c>
      <c r="J95" s="9">
        <f t="shared" si="114"/>
        <v>0.51952139611846637</v>
      </c>
      <c r="K95" s="9">
        <f t="shared" si="120"/>
        <v>0.21162624549720951</v>
      </c>
      <c r="L95" s="9">
        <f t="shared" si="121"/>
        <v>0.59146793832035871</v>
      </c>
      <c r="M95" s="9">
        <f t="shared" si="108"/>
        <v>0.46971206970986162</v>
      </c>
      <c r="N95" s="9">
        <f t="shared" si="122"/>
        <v>0.19065831504274133</v>
      </c>
      <c r="O95" s="9">
        <f t="shared" si="123"/>
        <v>0.75738924266471763</v>
      </c>
      <c r="P95" s="9">
        <f t="shared" si="117"/>
        <v>0.33888495789146955</v>
      </c>
      <c r="Q95" s="9">
        <f t="shared" si="115"/>
        <v>0.3282019946364062</v>
      </c>
      <c r="R95" s="5"/>
      <c r="S95" s="9">
        <f t="shared" ref="S95:S98" si="124">$B95-C95</f>
        <v>0.82911204296438012</v>
      </c>
      <c r="T95" s="9">
        <f t="shared" ref="T95:T98" si="125">$B95-D95</f>
        <v>0.92994252971089497</v>
      </c>
      <c r="U95" s="9">
        <f t="shared" ref="U95:U98" si="126">$B95-E95</f>
        <v>0.99205253298710272</v>
      </c>
      <c r="V95" s="9">
        <f t="shared" ref="V95:V98" si="127">$B95-F95</f>
        <v>1.0162822901560413</v>
      </c>
      <c r="W95" s="9">
        <f t="shared" ref="W95:W98" si="128">$B95-G95</f>
        <v>0.83391872577334802</v>
      </c>
      <c r="X95" s="9">
        <f t="shared" ref="X95:X98" si="129">$B95-H95</f>
        <v>0.85382362295633119</v>
      </c>
      <c r="Y95" s="9">
        <f t="shared" ref="Y95:Y98" si="130">$B95-I95</f>
        <v>0.89010044065135852</v>
      </c>
      <c r="Z95" s="9">
        <f t="shared" ref="Z95:Z98" si="131">$B95-J95</f>
        <v>0.88797021154085054</v>
      </c>
      <c r="AA95" s="9">
        <f t="shared" ref="AA95:AA98" si="132">$B95-K95</f>
        <v>1.1958653621621074</v>
      </c>
      <c r="AB95" s="9">
        <f t="shared" ref="AB95:AB98" si="133">$B95-L95</f>
        <v>0.8160236693389582</v>
      </c>
      <c r="AC95" s="9">
        <f t="shared" ref="AC95:AC98" si="134">$B95-M95</f>
        <v>0.93777953794945534</v>
      </c>
      <c r="AD95" s="9">
        <f t="shared" ref="AD95:AD98" si="135">$B95-N95</f>
        <v>1.2168332926165757</v>
      </c>
      <c r="AE95" s="9">
        <f t="shared" ref="AE95:AE98" si="136">$B95-O95</f>
        <v>0.65010236499459928</v>
      </c>
      <c r="AF95" s="9">
        <f t="shared" ref="AF95:AF98" si="137">$B95-P95</f>
        <v>1.0686066497678475</v>
      </c>
      <c r="AG95" s="9">
        <f t="shared" ref="AG95:AG98" si="138">$B95-Q95</f>
        <v>1.0792896130229108</v>
      </c>
      <c r="AH95" s="5"/>
      <c r="AI95" s="9">
        <f t="shared" ref="AI95:AI98" si="139">S95^2</f>
        <v>0.68742677978856814</v>
      </c>
      <c r="AJ95" s="9">
        <f t="shared" ref="AJ95:AJ98" si="140">T95^2</f>
        <v>0.86479310856509872</v>
      </c>
      <c r="AK95" s="9">
        <f t="shared" ref="AK95:AK98" si="141">U95^2</f>
        <v>0.98416822820612648</v>
      </c>
      <c r="AL95" s="9">
        <f t="shared" ref="AL95:AL98" si="142">V95^2</f>
        <v>1.0328296932848082</v>
      </c>
      <c r="AM95" s="9">
        <f t="shared" ref="AM95:AM98" si="143">W95^2</f>
        <v>0.69542044119544444</v>
      </c>
      <c r="AN95" s="9">
        <f t="shared" ref="AN95:AN98" si="144">X95^2</f>
        <v>0.72901477911827517</v>
      </c>
      <c r="AO95" s="9">
        <f t="shared" ref="AO95:AO98" si="145">Y95^2</f>
        <v>0.79227879444774263</v>
      </c>
      <c r="AP95" s="9">
        <f t="shared" ref="AP95:AP98" si="146">Z95^2</f>
        <v>0.78849109658390282</v>
      </c>
      <c r="AQ95" s="9">
        <f t="shared" ref="AQ95:AQ98" si="147">AA95^2</f>
        <v>1.4300939644191082</v>
      </c>
      <c r="AR95" s="9">
        <f t="shared" ref="AR95:AR98" si="148">AB95^2</f>
        <v>0.66589462892141738</v>
      </c>
      <c r="AS95" s="9">
        <f t="shared" ref="AS95:AS98" si="149">AC95^2</f>
        <v>0.87943046179669393</v>
      </c>
      <c r="AT95" s="9">
        <f t="shared" ref="AT95:AT98" si="150">AD95^2</f>
        <v>1.4806832620200969</v>
      </c>
      <c r="AU95" s="9">
        <f t="shared" ref="AU95:AU98" si="151">AE95^2</f>
        <v>0.4226330849715712</v>
      </c>
      <c r="AV95" s="9">
        <f t="shared" ref="AV95:AV98" si="152">AF95^2</f>
        <v>1.1419201719280629</v>
      </c>
      <c r="AW95" s="9">
        <f t="shared" ref="AW95:AW98" si="153">AG95^2</f>
        <v>1.1648660687791446</v>
      </c>
    </row>
    <row r="96" spans="1:66" x14ac:dyDescent="0.15">
      <c r="A96" s="8">
        <v>43646</v>
      </c>
      <c r="B96" s="6">
        <v>-1.2890490368455687E-2</v>
      </c>
      <c r="C96" s="9">
        <f t="shared" si="111"/>
        <v>0.5783795646891392</v>
      </c>
      <c r="D96" s="9">
        <f t="shared" si="112"/>
        <v>0.68498133964112773</v>
      </c>
      <c r="E96" s="9">
        <f t="shared" si="113"/>
        <v>0.82690274254840235</v>
      </c>
      <c r="F96" s="9">
        <f t="shared" si="118"/>
        <v>0.69437721373582773</v>
      </c>
      <c r="G96" s="9">
        <f t="shared" si="119"/>
        <v>0.57357251538952236</v>
      </c>
      <c r="H96" s="9">
        <f t="shared" si="116"/>
        <v>0.61320005844028369</v>
      </c>
      <c r="I96" s="9">
        <f t="shared" si="107"/>
        <v>0.39498491975782368</v>
      </c>
      <c r="J96" s="9">
        <f t="shared" si="114"/>
        <v>0.39547639470529927</v>
      </c>
      <c r="K96" s="9">
        <f t="shared" si="120"/>
        <v>0.74404117215000432</v>
      </c>
      <c r="L96" s="9">
        <f t="shared" si="121"/>
        <v>0.59146731274182396</v>
      </c>
      <c r="M96" s="9">
        <f t="shared" si="108"/>
        <v>0.49250050616291258</v>
      </c>
      <c r="N96" s="9">
        <f t="shared" si="122"/>
        <v>0.75312015161747436</v>
      </c>
      <c r="O96" s="9">
        <f t="shared" si="123"/>
        <v>0.56179321728612597</v>
      </c>
      <c r="P96" s="9">
        <f t="shared" si="117"/>
        <v>0.75146549643332761</v>
      </c>
      <c r="Q96" s="9">
        <f t="shared" si="115"/>
        <v>0.55412291155133908</v>
      </c>
      <c r="R96" s="5"/>
      <c r="S96" s="9">
        <f t="shared" si="124"/>
        <v>-0.59127005505759489</v>
      </c>
      <c r="T96" s="9">
        <f t="shared" si="125"/>
        <v>-0.69787183000958342</v>
      </c>
      <c r="U96" s="9">
        <f t="shared" si="126"/>
        <v>-0.83979323291685803</v>
      </c>
      <c r="V96" s="9">
        <f t="shared" si="127"/>
        <v>-0.70726770410428341</v>
      </c>
      <c r="W96" s="9">
        <f t="shared" si="128"/>
        <v>-0.58646300575797805</v>
      </c>
      <c r="X96" s="9">
        <f t="shared" si="129"/>
        <v>-0.62609054880873938</v>
      </c>
      <c r="Y96" s="9">
        <f t="shared" si="130"/>
        <v>-0.40787541012627937</v>
      </c>
      <c r="Z96" s="9">
        <f t="shared" si="131"/>
        <v>-0.40836688507375496</v>
      </c>
      <c r="AA96" s="9">
        <f t="shared" si="132"/>
        <v>-0.75693166251846</v>
      </c>
      <c r="AB96" s="9">
        <f t="shared" si="133"/>
        <v>-0.60435780311027965</v>
      </c>
      <c r="AC96" s="9">
        <f t="shared" si="134"/>
        <v>-0.50539099653136832</v>
      </c>
      <c r="AD96" s="9">
        <f t="shared" si="135"/>
        <v>-0.76601064198593005</v>
      </c>
      <c r="AE96" s="9">
        <f t="shared" si="136"/>
        <v>-0.57468370765458165</v>
      </c>
      <c r="AF96" s="9">
        <f t="shared" si="137"/>
        <v>-0.76435598680178329</v>
      </c>
      <c r="AG96" s="9">
        <f t="shared" si="138"/>
        <v>-0.56701340191979477</v>
      </c>
      <c r="AH96" s="5"/>
      <c r="AI96" s="9">
        <f t="shared" si="139"/>
        <v>0.34960027800781129</v>
      </c>
      <c r="AJ96" s="9">
        <f t="shared" si="140"/>
        <v>0.4870250911209249</v>
      </c>
      <c r="AK96" s="9">
        <f t="shared" si="141"/>
        <v>0.70525267405294811</v>
      </c>
      <c r="AL96" s="9">
        <f t="shared" si="142"/>
        <v>0.50022760526894416</v>
      </c>
      <c r="AM96" s="9">
        <f t="shared" si="143"/>
        <v>0.34393885712268218</v>
      </c>
      <c r="AN96" s="9">
        <f t="shared" si="144"/>
        <v>0.39198937530762845</v>
      </c>
      <c r="AO96" s="9">
        <f t="shared" si="145"/>
        <v>0.1663623501856806</v>
      </c>
      <c r="AP96" s="9">
        <f t="shared" si="146"/>
        <v>0.16676351282484139</v>
      </c>
      <c r="AQ96" s="9">
        <f t="shared" si="147"/>
        <v>0.57294554172295986</v>
      </c>
      <c r="AR96" s="9">
        <f t="shared" si="148"/>
        <v>0.36524835418028356</v>
      </c>
      <c r="AS96" s="9">
        <f t="shared" si="149"/>
        <v>0.25542005937496953</v>
      </c>
      <c r="AT96" s="9">
        <f t="shared" si="150"/>
        <v>0.58677230363569666</v>
      </c>
      <c r="AU96" s="9">
        <f t="shared" si="151"/>
        <v>0.33026136384361665</v>
      </c>
      <c r="AV96" s="9">
        <f t="shared" si="152"/>
        <v>0.58424007455972793</v>
      </c>
      <c r="AW96" s="9">
        <f t="shared" si="153"/>
        <v>0.32150419795665874</v>
      </c>
    </row>
    <row r="97" spans="1:49" x14ac:dyDescent="0.15">
      <c r="A97" s="8">
        <v>43738</v>
      </c>
      <c r="B97" s="6">
        <v>4.0599353972070595E-2</v>
      </c>
      <c r="C97" s="9">
        <f t="shared" si="111"/>
        <v>0.57837956469346752</v>
      </c>
      <c r="D97" s="9">
        <f t="shared" si="112"/>
        <v>0.51438492706947003</v>
      </c>
      <c r="E97" s="9">
        <f t="shared" si="113"/>
        <v>0.27366857138453415</v>
      </c>
      <c r="F97" s="9">
        <f t="shared" si="118"/>
        <v>0.45193145665175932</v>
      </c>
      <c r="G97" s="9">
        <f t="shared" si="119"/>
        <v>0.57357119939883705</v>
      </c>
      <c r="H97" s="9">
        <f t="shared" si="116"/>
        <v>0.52141146988852638</v>
      </c>
      <c r="I97" s="9">
        <f t="shared" si="107"/>
        <v>0.77004455496550384</v>
      </c>
      <c r="J97" s="9">
        <f t="shared" si="114"/>
        <v>0.77797329683545835</v>
      </c>
      <c r="K97" s="9">
        <f t="shared" si="120"/>
        <v>2.0191175346830875E-2</v>
      </c>
      <c r="L97" s="9">
        <f t="shared" si="121"/>
        <v>0.59146759760651402</v>
      </c>
      <c r="M97" s="9">
        <f t="shared" si="108"/>
        <v>0.57341625066462243</v>
      </c>
      <c r="N97" s="9">
        <f t="shared" si="122"/>
        <v>5.7613097546778611E-2</v>
      </c>
      <c r="O97" s="9">
        <f t="shared" si="123"/>
        <v>0.40252856970976963</v>
      </c>
      <c r="P97" s="9">
        <f t="shared" si="117"/>
        <v>0.44249673417353019</v>
      </c>
      <c r="Q97" s="9">
        <f t="shared" si="115"/>
        <v>0.45528049267234799</v>
      </c>
      <c r="R97" s="5"/>
      <c r="S97" s="9">
        <f t="shared" si="124"/>
        <v>-0.53778021072139692</v>
      </c>
      <c r="T97" s="9">
        <f t="shared" si="125"/>
        <v>-0.47378557309739944</v>
      </c>
      <c r="U97" s="9">
        <f t="shared" si="126"/>
        <v>-0.23306921741246356</v>
      </c>
      <c r="V97" s="9">
        <f t="shared" si="127"/>
        <v>-0.41133210267968873</v>
      </c>
      <c r="W97" s="9">
        <f t="shared" si="128"/>
        <v>-0.53297184542676646</v>
      </c>
      <c r="X97" s="9">
        <f t="shared" si="129"/>
        <v>-0.48081211591645578</v>
      </c>
      <c r="Y97" s="9">
        <f t="shared" si="130"/>
        <v>-0.72944520099343324</v>
      </c>
      <c r="Z97" s="9">
        <f t="shared" si="131"/>
        <v>-0.73737394286338775</v>
      </c>
      <c r="AA97" s="9">
        <f t="shared" si="132"/>
        <v>2.040817862523972E-2</v>
      </c>
      <c r="AB97" s="9">
        <f t="shared" si="133"/>
        <v>-0.55086824363444342</v>
      </c>
      <c r="AC97" s="9">
        <f t="shared" si="134"/>
        <v>-0.53281689669255183</v>
      </c>
      <c r="AD97" s="9">
        <f t="shared" si="135"/>
        <v>-1.7013743574708015E-2</v>
      </c>
      <c r="AE97" s="9">
        <f t="shared" si="136"/>
        <v>-0.36192921573769904</v>
      </c>
      <c r="AF97" s="9">
        <f t="shared" si="137"/>
        <v>-0.4018973802014596</v>
      </c>
      <c r="AG97" s="9">
        <f t="shared" si="138"/>
        <v>-0.4146811387002774</v>
      </c>
      <c r="AH97" s="5"/>
      <c r="AI97" s="9">
        <f t="shared" si="139"/>
        <v>0.28920755504355006</v>
      </c>
      <c r="AJ97" s="9">
        <f t="shared" si="140"/>
        <v>0.22447276927523122</v>
      </c>
      <c r="AK97" s="9">
        <f t="shared" si="141"/>
        <v>5.4321260105258208E-2</v>
      </c>
      <c r="AL97" s="9">
        <f t="shared" si="142"/>
        <v>0.16919409869489399</v>
      </c>
      <c r="AM97" s="9">
        <f t="shared" si="143"/>
        <v>0.28405898801761303</v>
      </c>
      <c r="AN97" s="9">
        <f t="shared" si="144"/>
        <v>0.23118029081205932</v>
      </c>
      <c r="AO97" s="9">
        <f t="shared" si="145"/>
        <v>0.53209030125235024</v>
      </c>
      <c r="AP97" s="9">
        <f t="shared" si="146"/>
        <v>0.54372033161389866</v>
      </c>
      <c r="AQ97" s="9">
        <f t="shared" si="147"/>
        <v>4.1649375479969138E-4</v>
      </c>
      <c r="AR97" s="9">
        <f t="shared" si="148"/>
        <v>0.3034558218448965</v>
      </c>
      <c r="AS97" s="9">
        <f t="shared" si="149"/>
        <v>0.28389384540108148</v>
      </c>
      <c r="AT97" s="9">
        <f t="shared" si="150"/>
        <v>2.8946747042591828E-4</v>
      </c>
      <c r="AU97" s="9">
        <f t="shared" si="151"/>
        <v>0.1309927572045059</v>
      </c>
      <c r="AV97" s="9">
        <f t="shared" si="152"/>
        <v>0.16152150421279657</v>
      </c>
      <c r="AW97" s="9">
        <f t="shared" si="153"/>
        <v>0.17196044679375869</v>
      </c>
    </row>
    <row r="98" spans="1:49" x14ac:dyDescent="0.15">
      <c r="A98" s="8">
        <v>43830</v>
      </c>
      <c r="B98" s="6">
        <v>9.9141916772116367E-2</v>
      </c>
      <c r="C98" s="9">
        <f t="shared" si="111"/>
        <v>0.5783795646902361</v>
      </c>
      <c r="D98" s="9">
        <f t="shared" si="112"/>
        <v>0.53786936883492653</v>
      </c>
      <c r="E98" s="9">
        <f t="shared" si="113"/>
        <v>0.78397055049323261</v>
      </c>
      <c r="F98" s="9">
        <f t="shared" si="118"/>
        <v>0.3904651651378741</v>
      </c>
      <c r="G98" s="9">
        <f t="shared" si="119"/>
        <v>0.57357315517833962</v>
      </c>
      <c r="H98" s="9">
        <f t="shared" si="116"/>
        <v>0.59861774293766135</v>
      </c>
      <c r="I98" s="9">
        <f t="shared" si="107"/>
        <v>0.44149010481458217</v>
      </c>
      <c r="J98" s="9">
        <f t="shared" si="114"/>
        <v>0.43314155340545379</v>
      </c>
      <c r="K98" s="9">
        <f t="shared" si="120"/>
        <v>0.77308691639817462</v>
      </c>
      <c r="L98" s="9">
        <f t="shared" si="121"/>
        <v>0.59146772383435575</v>
      </c>
      <c r="M98" s="9">
        <f t="shared" si="108"/>
        <v>0.5388332779190208</v>
      </c>
      <c r="N98" s="9">
        <f t="shared" si="122"/>
        <v>0.70625520495377025</v>
      </c>
      <c r="O98" s="9">
        <f t="shared" si="123"/>
        <v>0.53082523153646777</v>
      </c>
      <c r="P98" s="9">
        <f t="shared" si="117"/>
        <v>0.40100250208449062</v>
      </c>
      <c r="Q98" s="9">
        <f t="shared" si="115"/>
        <v>0.67549288889029402</v>
      </c>
      <c r="R98" s="5"/>
      <c r="S98" s="9">
        <f t="shared" si="124"/>
        <v>-0.47923764791811974</v>
      </c>
      <c r="T98" s="9">
        <f t="shared" si="125"/>
        <v>-0.43872745206281016</v>
      </c>
      <c r="U98" s="9">
        <f t="shared" si="126"/>
        <v>-0.68482863372111624</v>
      </c>
      <c r="V98" s="9">
        <f t="shared" si="127"/>
        <v>-0.29132324836575774</v>
      </c>
      <c r="W98" s="9">
        <f t="shared" si="128"/>
        <v>-0.47443123840622325</v>
      </c>
      <c r="X98" s="9">
        <f t="shared" si="129"/>
        <v>-0.49947582616554498</v>
      </c>
      <c r="Y98" s="9">
        <f t="shared" si="130"/>
        <v>-0.34234818804246581</v>
      </c>
      <c r="Z98" s="9">
        <f t="shared" si="131"/>
        <v>-0.33399963663333743</v>
      </c>
      <c r="AA98" s="9">
        <f t="shared" si="132"/>
        <v>-0.67394499962605825</v>
      </c>
      <c r="AB98" s="9">
        <f t="shared" si="133"/>
        <v>-0.49232580706223938</v>
      </c>
      <c r="AC98" s="9">
        <f t="shared" si="134"/>
        <v>-0.43969136114690444</v>
      </c>
      <c r="AD98" s="9">
        <f t="shared" si="135"/>
        <v>-0.60711328818165389</v>
      </c>
      <c r="AE98" s="9">
        <f t="shared" si="136"/>
        <v>-0.4316833147643514</v>
      </c>
      <c r="AF98" s="9">
        <f t="shared" si="137"/>
        <v>-0.30186058531237425</v>
      </c>
      <c r="AG98" s="9">
        <f t="shared" si="138"/>
        <v>-0.57635097211817765</v>
      </c>
      <c r="AH98" s="5"/>
      <c r="AI98" s="9">
        <f t="shared" si="139"/>
        <v>0.22966872318209169</v>
      </c>
      <c r="AJ98" s="9">
        <f t="shared" si="140"/>
        <v>0.19248177719352538</v>
      </c>
      <c r="AK98" s="9">
        <f t="shared" si="141"/>
        <v>0.46899025756433077</v>
      </c>
      <c r="AL98" s="9">
        <f t="shared" si="142"/>
        <v>8.4869235038376969E-2</v>
      </c>
      <c r="AM98" s="9">
        <f t="shared" si="143"/>
        <v>0.22508499997566264</v>
      </c>
      <c r="AN98" s="9">
        <f t="shared" si="144"/>
        <v>0.24947610092375372</v>
      </c>
      <c r="AO98" s="9">
        <f t="shared" si="145"/>
        <v>0.11720228185595953</v>
      </c>
      <c r="AP98" s="9">
        <f t="shared" si="146"/>
        <v>0.11155575727120144</v>
      </c>
      <c r="AQ98" s="9">
        <f t="shared" si="147"/>
        <v>0.45420186252096767</v>
      </c>
      <c r="AR98" s="9">
        <f t="shared" si="148"/>
        <v>0.24238470029948536</v>
      </c>
      <c r="AS98" s="9">
        <f t="shared" si="149"/>
        <v>0.19332849306721756</v>
      </c>
      <c r="AT98" s="9">
        <f t="shared" si="150"/>
        <v>0.3685865446867399</v>
      </c>
      <c r="AU98" s="9">
        <f t="shared" si="151"/>
        <v>0.18635048424593809</v>
      </c>
      <c r="AV98" s="9">
        <f t="shared" si="152"/>
        <v>9.1119812965129179E-2</v>
      </c>
      <c r="AW98" s="9">
        <f t="shared" si="153"/>
        <v>0.33218044306156841</v>
      </c>
    </row>
    <row r="99" spans="1:49" x14ac:dyDescent="0.15">
      <c r="A99" s="8">
        <v>43921</v>
      </c>
      <c r="B99" s="6">
        <v>-1.5994284747321341</v>
      </c>
      <c r="C99" s="9">
        <f t="shared" si="111"/>
        <v>0.57837956469264862</v>
      </c>
      <c r="D99" s="9">
        <f t="shared" si="112"/>
        <v>0.54154349152851844</v>
      </c>
      <c r="E99" s="9">
        <f t="shared" si="113"/>
        <v>0.32684230693847971</v>
      </c>
      <c r="F99" s="9">
        <f t="shared" si="118"/>
        <v>0.68817563941386872</v>
      </c>
      <c r="G99" s="9">
        <f t="shared" si="119"/>
        <v>0.57357160931617179</v>
      </c>
      <c r="H99" s="9">
        <f t="shared" si="116"/>
        <v>0.5665148126331756</v>
      </c>
      <c r="I99" s="9">
        <f t="shared" si="107"/>
        <v>0.38897745864737665</v>
      </c>
      <c r="J99" s="9">
        <f t="shared" si="114"/>
        <v>0.39512579469805709</v>
      </c>
      <c r="K99" s="9">
        <f t="shared" si="120"/>
        <v>2.6437075618265332E-2</v>
      </c>
      <c r="L99" s="9">
        <f t="shared" si="121"/>
        <v>0.59146738327462534</v>
      </c>
      <c r="M99" s="9">
        <f t="shared" si="108"/>
        <v>0.36606816719360358</v>
      </c>
      <c r="N99" s="9">
        <f t="shared" si="122"/>
        <v>7.1819950191678236E-2</v>
      </c>
      <c r="O99" s="9">
        <f t="shared" si="123"/>
        <v>0.36627939878859028</v>
      </c>
      <c r="P99" s="9">
        <f t="shared" si="117"/>
        <v>0.5218837734052002</v>
      </c>
      <c r="Q99" s="9">
        <f t="shared" si="115"/>
        <v>2.6753627282968012E-2</v>
      </c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</row>
    <row r="100" spans="1:49" x14ac:dyDescent="0.15">
      <c r="A100" s="8">
        <v>44012</v>
      </c>
      <c r="B100" s="6">
        <v>-8.9734718209266155</v>
      </c>
      <c r="C100" s="9">
        <f t="shared" si="111"/>
        <v>0.5783795646908475</v>
      </c>
      <c r="D100" s="9">
        <f t="shared" si="112"/>
        <v>0.58752252407094641</v>
      </c>
      <c r="E100" s="9">
        <f t="shared" si="113"/>
        <v>0.7715838882233419</v>
      </c>
      <c r="F100" s="9">
        <f t="shared" si="118"/>
        <v>0.42214496937284285</v>
      </c>
      <c r="G100" s="9">
        <f t="shared" si="119"/>
        <v>0.57357216156829804</v>
      </c>
      <c r="H100" s="9">
        <f t="shared" si="116"/>
        <v>0.56157401472450741</v>
      </c>
      <c r="I100" s="9">
        <f t="shared" si="107"/>
        <v>0.50221400019638662</v>
      </c>
      <c r="J100" s="9">
        <f t="shared" si="114"/>
        <v>0.51212223214887542</v>
      </c>
      <c r="K100" s="9">
        <f t="shared" si="120"/>
        <v>0.68900550904477831</v>
      </c>
      <c r="L100" s="9">
        <f t="shared" si="121"/>
        <v>0.59146767089802954</v>
      </c>
      <c r="M100" s="9">
        <f t="shared" si="108"/>
        <v>0.42882110061698697</v>
      </c>
      <c r="N100" s="9">
        <f t="shared" si="122"/>
        <v>0.61238377795791488</v>
      </c>
      <c r="O100" s="9">
        <f t="shared" si="123"/>
        <v>0.55277118918410117</v>
      </c>
      <c r="P100" s="9">
        <f t="shared" si="117"/>
        <v>0.5453166916797455</v>
      </c>
      <c r="Q100" s="9">
        <f t="shared" si="115"/>
        <v>0.60218508168475349</v>
      </c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</row>
    <row r="101" spans="1:49" x14ac:dyDescent="0.15">
      <c r="A101" s="8">
        <v>44104</v>
      </c>
      <c r="B101" s="6">
        <v>6.1997296134866486</v>
      </c>
      <c r="C101" s="9">
        <f t="shared" si="111"/>
        <v>0.57837956469219209</v>
      </c>
      <c r="D101" s="9">
        <f t="shared" si="112"/>
        <v>0.58752252407094641</v>
      </c>
      <c r="E101" s="9">
        <f t="shared" si="113"/>
        <v>0.42272077045156387</v>
      </c>
      <c r="F101" s="9">
        <f t="shared" si="118"/>
        <v>0.53561772248074191</v>
      </c>
      <c r="G101" s="9">
        <f t="shared" si="119"/>
        <v>0.5735725838338892</v>
      </c>
      <c r="H101" s="9">
        <f t="shared" si="116"/>
        <v>0.59150623072169961</v>
      </c>
      <c r="I101" s="9">
        <f t="shared" si="107"/>
        <v>0.58362319402417939</v>
      </c>
      <c r="J101" s="9">
        <f t="shared" si="114"/>
        <v>0.5857562262154471</v>
      </c>
      <c r="K101" s="9">
        <f t="shared" si="120"/>
        <v>0.19797378608679975</v>
      </c>
      <c r="L101" s="9">
        <f t="shared" si="121"/>
        <v>0.59146759301711116</v>
      </c>
      <c r="M101" s="9">
        <f t="shared" si="108"/>
        <v>0.52436366733753748</v>
      </c>
      <c r="N101" s="9">
        <f t="shared" si="122"/>
        <v>0.22953088447736747</v>
      </c>
      <c r="O101" s="9">
        <f t="shared" si="123"/>
        <v>0.60981051028949618</v>
      </c>
      <c r="P101" s="9">
        <f t="shared" si="117"/>
        <v>0.53184735921351101</v>
      </c>
      <c r="Q101" s="9">
        <f t="shared" si="115"/>
        <v>0.31496861710426982</v>
      </c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</row>
    <row r="102" spans="1:49" x14ac:dyDescent="0.15">
      <c r="A102" s="8">
        <v>44196</v>
      </c>
      <c r="B102" s="6">
        <v>3.0340669663287301</v>
      </c>
      <c r="C102" s="9">
        <f t="shared" si="111"/>
        <v>0.57837956469118834</v>
      </c>
      <c r="D102" s="9">
        <f t="shared" si="112"/>
        <v>0.58752252407094641</v>
      </c>
      <c r="E102" s="9">
        <f t="shared" si="113"/>
        <v>0.69637513528481676</v>
      </c>
      <c r="F102" s="9">
        <f t="shared" si="118"/>
        <v>0.60471404668685547</v>
      </c>
      <c r="G102" s="9">
        <f t="shared" si="119"/>
        <v>0.57357163840496272</v>
      </c>
      <c r="H102" s="9">
        <f t="shared" si="116"/>
        <v>0.55669724994510639</v>
      </c>
      <c r="I102" s="9">
        <f t="shared" si="107"/>
        <v>0.58362319402417939</v>
      </c>
      <c r="J102" s="9">
        <f t="shared" si="114"/>
        <v>0.58225379321409332</v>
      </c>
      <c r="K102" s="9">
        <f t="shared" si="120"/>
        <v>0.54633508066424907</v>
      </c>
      <c r="L102" s="9">
        <f t="shared" si="121"/>
        <v>0.59146747626030027</v>
      </c>
      <c r="M102" s="9">
        <f t="shared" si="108"/>
        <v>0.57852070005551559</v>
      </c>
      <c r="N102" s="9">
        <f t="shared" si="122"/>
        <v>0.51229027347011236</v>
      </c>
      <c r="O102" s="9">
        <f t="shared" si="123"/>
        <v>0.46176022331427802</v>
      </c>
      <c r="P102" s="9">
        <f t="shared" si="117"/>
        <v>0.57861506374410498</v>
      </c>
      <c r="Q102" s="9">
        <f t="shared" si="115"/>
        <v>0.70512249973144803</v>
      </c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</row>
    <row r="103" spans="1:49" x14ac:dyDescent="0.15">
      <c r="A103" s="8">
        <v>44286</v>
      </c>
      <c r="B103" s="6">
        <v>0.93990014628906327</v>
      </c>
      <c r="C103" s="9">
        <f t="shared" si="111"/>
        <v>0.57837956469193763</v>
      </c>
      <c r="D103" s="9">
        <f t="shared" si="112"/>
        <v>0.58752252407094641</v>
      </c>
      <c r="E103" s="9">
        <f t="shared" ref="E103" si="154">$E102*$BA$12+U102*$BD$12+$BG$12</f>
        <v>0.48171583890920777</v>
      </c>
      <c r="F103" s="9">
        <f t="shared" ref="F103" si="155">$F102*$BA$13+$F101*$BB$13+$V102*$BD$13+$BG$13+V101*$BE$13</f>
        <v>0.43529088842076913</v>
      </c>
      <c r="G103" s="9">
        <f t="shared" si="119"/>
        <v>0.57357254210005082</v>
      </c>
      <c r="H103" s="9">
        <f t="shared" ref="H103" si="156">H102*$BA$15+$BB$15*H101+$BD$15*X102+$BG$15</f>
        <v>0.57940688992851253</v>
      </c>
      <c r="I103" s="9">
        <f t="shared" ref="I103" si="157">Y102*$BD$16+$BE$16*Y101+$BG$16</f>
        <v>0.58362319402417939</v>
      </c>
      <c r="J103" s="9">
        <f t="shared" ref="J103" si="158">$BA$17*J102+$BD$17*Z102+$BE$17*Z101+$BG$17</f>
        <v>0.5824203879653963</v>
      </c>
      <c r="K103" s="9">
        <f t="shared" ref="K103" si="159">K102*$BA$18+K101*$BB$18+$BC$18*K100+$BD$18*AA102+$BG$18</f>
        <v>0.35250848291179848</v>
      </c>
      <c r="L103" s="9">
        <f t="shared" si="121"/>
        <v>0.59146766033465581</v>
      </c>
      <c r="M103" s="9">
        <f t="shared" ref="M103" si="160">AC102*$BD$20+$BE$20*AC101+$BF$20*AC100+$BG$20</f>
        <v>0.57852070005551559</v>
      </c>
      <c r="N103" s="9">
        <f t="shared" ref="N103" si="161">N102*$BA$21+N101*$BB$21+$BC$21*N100+$BG$21+$BD$21*AD102+$BE$21*AD101</f>
        <v>0.35128841955879242</v>
      </c>
      <c r="O103" s="9">
        <f t="shared" ref="O103" si="162">O102*$BA$22+O101*$BB$22+$BC$22*O100+$BG$22+$BD$22*AE102+$BE$22*AE101+$BF$22*AE100</f>
        <v>0.68908321304513076</v>
      </c>
      <c r="P103" s="9">
        <f t="shared" ref="P103" si="163">P102*$BA$23+P101*$BB$23+$BG$23+$BD$23*AF102+$BE$23*AF101+$BF$23*AF100</f>
        <v>0.52850996322207089</v>
      </c>
      <c r="Q103" s="9">
        <f t="shared" ref="Q103" si="164">Q102*$BA$24+$BG$24+$BD$24*AG102+$BE$24*AG101+$BF$24*AG100</f>
        <v>0.4163333056969214</v>
      </c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</row>
    <row r="104" spans="1:49" x14ac:dyDescent="0.15">
      <c r="A104" s="8">
        <v>44377</v>
      </c>
      <c r="B104" s="6">
        <v>0.57544519405470229</v>
      </c>
      <c r="C104" s="9">
        <f t="shared" si="111"/>
        <v>0.5783795646913783</v>
      </c>
      <c r="D104" s="9">
        <f t="shared" si="112"/>
        <v>0.58752252407094641</v>
      </c>
      <c r="E104" s="9">
        <f t="shared" si="113"/>
        <v>0.6500983660746299</v>
      </c>
      <c r="F104" s="9">
        <f t="shared" si="118"/>
        <v>0.58404000031910841</v>
      </c>
      <c r="G104" s="9">
        <f t="shared" si="119"/>
        <v>0.5735720745303885</v>
      </c>
      <c r="H104" s="9">
        <f t="shared" si="116"/>
        <v>0.57581844960392714</v>
      </c>
      <c r="I104" s="9">
        <f t="shared" si="107"/>
        <v>0.58362319402417939</v>
      </c>
      <c r="J104" s="9">
        <f t="shared" si="114"/>
        <v>0.5824124638134851</v>
      </c>
      <c r="K104" s="9">
        <f t="shared" si="120"/>
        <v>0.45353313212731927</v>
      </c>
      <c r="L104" s="9">
        <f t="shared" si="121"/>
        <v>0.59146753910662242</v>
      </c>
      <c r="M104" s="9">
        <f t="shared" si="108"/>
        <v>0.57852070005551559</v>
      </c>
      <c r="N104" s="9">
        <f t="shared" si="122"/>
        <v>0.45525143301723558</v>
      </c>
      <c r="O104" s="9">
        <f t="shared" si="123"/>
        <v>0.52541915451723964</v>
      </c>
      <c r="P104" s="9">
        <f t="shared" si="117"/>
        <v>0.5588650926730363</v>
      </c>
      <c r="Q104" s="9">
        <f t="shared" si="115"/>
        <v>0.63009306128240095</v>
      </c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</row>
    <row r="105" spans="1:49" x14ac:dyDescent="0.15">
      <c r="A105" s="8">
        <v>44377</v>
      </c>
      <c r="B105" s="6">
        <v>0.57544519405470229</v>
      </c>
      <c r="C105" s="9">
        <f t="shared" si="111"/>
        <v>0.57837956469179597</v>
      </c>
      <c r="D105" s="9">
        <f t="shared" si="112"/>
        <v>0.58752252407094641</v>
      </c>
      <c r="E105" s="9">
        <f t="shared" ref="E105" si="165">$E104*$BA$12+U104*$BD$12+$BG$12</f>
        <v>0.51801615052034589</v>
      </c>
      <c r="F105" s="9">
        <f t="shared" ref="F105" si="166">$F104*$BA$13+$F103*$BB$13+$V104*$BD$13+$BG$13+V103*$BE$13</f>
        <v>0.53694500809745538</v>
      </c>
      <c r="G105" s="9">
        <f t="shared" si="119"/>
        <v>0.57357201329222685</v>
      </c>
      <c r="H105" s="9">
        <f t="shared" ref="H105" si="167">H104*$BA$15+$BB$15*H103+$BD$15*X104+$BG$15</f>
        <v>0.56374113985641428</v>
      </c>
      <c r="I105" s="9">
        <f t="shared" ref="I105" si="168">Y104*$BD$16+$BE$16*Y103+$BG$16</f>
        <v>0.58362319402417939</v>
      </c>
      <c r="J105" s="9">
        <f t="shared" ref="J105" si="169">$BA$17*J104+$BD$17*Z104+$BE$17*Z103+$BG$17</f>
        <v>0.58241284072922239</v>
      </c>
      <c r="K105" s="9">
        <f t="shared" ref="K105" si="170">K104*$BA$18+K103*$BB$18+$BC$18*K102+$BD$18*AA104+$BG$18</f>
        <v>0.43973942659921039</v>
      </c>
      <c r="L105" s="9">
        <f t="shared" si="121"/>
        <v>0.59146754333813645</v>
      </c>
      <c r="M105" s="9">
        <f t="shared" ref="M105" si="171">AC104*$BD$20+$BE$20*AC103+$BF$20*AC102+$BG$20</f>
        <v>0.57852070005551559</v>
      </c>
      <c r="N105" s="9">
        <f t="shared" ref="N105" si="172">N104*$BA$21+N103*$BB$21+$BC$21*N102+$BG$21+$BD$21*AD104+$BE$21*AD103</f>
        <v>0.42198076217221681</v>
      </c>
      <c r="O105" s="9">
        <f t="shared" ref="O105" si="173">O104*$BA$22+O103*$BB$22+$BC$22*O102+$BG$22+$BD$22*AE104+$BE$22*AE103+$BF$22*AE102</f>
        <v>0.57941575478861451</v>
      </c>
      <c r="P105" s="9">
        <f t="shared" ref="P105" si="174">P104*$BA$23+P103*$BB$23+$BG$23+$BD$23*AF104+$BE$23*AF103+$BF$23*AF102</f>
        <v>0.55617959743084144</v>
      </c>
      <c r="Q105" s="9">
        <f t="shared" ref="Q105" si="175">Q104*$BA$24+$BG$24+$BD$24*AG104+$BE$24*AG103+$BF$24*AG102</f>
        <v>0.47186957490603387</v>
      </c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</row>
    <row r="106" spans="1:49" x14ac:dyDescent="0.15">
      <c r="A106" s="8">
        <v>44561</v>
      </c>
      <c r="B106" s="3"/>
      <c r="C106" s="9">
        <f t="shared" si="111"/>
        <v>0.57837956469148399</v>
      </c>
      <c r="D106" s="9">
        <f t="shared" si="112"/>
        <v>0.58752252407094641</v>
      </c>
      <c r="E106" s="9">
        <f t="shared" si="113"/>
        <v>0.6216237632543522</v>
      </c>
      <c r="F106" s="9">
        <f t="shared" si="118"/>
        <v>0.47883285614426718</v>
      </c>
      <c r="G106" s="9">
        <f t="shared" si="119"/>
        <v>0.57357243377485934</v>
      </c>
      <c r="H106" s="9">
        <f t="shared" si="116"/>
        <v>0.58188746756168674</v>
      </c>
      <c r="I106" s="9">
        <f t="shared" si="107"/>
        <v>0.58362319402417939</v>
      </c>
      <c r="J106" s="9">
        <f t="shared" si="114"/>
        <v>0.5824128228010611</v>
      </c>
      <c r="K106" s="9">
        <f t="shared" si="120"/>
        <v>0.42191459522589869</v>
      </c>
      <c r="L106" s="9">
        <f t="shared" si="121"/>
        <v>0.59146762417449184</v>
      </c>
      <c r="M106" s="9">
        <f t="shared" si="108"/>
        <v>0.57852070005551559</v>
      </c>
      <c r="N106" s="9">
        <f t="shared" si="122"/>
        <v>0.43779143048002267</v>
      </c>
      <c r="O106" s="9">
        <f t="shared" si="123"/>
        <v>0.66136759444060433</v>
      </c>
      <c r="P106" s="9">
        <f t="shared" si="117"/>
        <v>0.53771880255480053</v>
      </c>
      <c r="Q106" s="9">
        <f t="shared" si="115"/>
        <v>0.58898550055126786</v>
      </c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</row>
    <row r="107" spans="1:49" x14ac:dyDescent="0.15">
      <c r="A107" s="8">
        <v>44651</v>
      </c>
      <c r="B107" s="3"/>
      <c r="C107" s="9">
        <f t="shared" si="111"/>
        <v>0.57837956469171692</v>
      </c>
      <c r="D107" s="9">
        <f t="shared" si="112"/>
        <v>0.58752252407094641</v>
      </c>
      <c r="E107" s="9">
        <f t="shared" si="113"/>
        <v>0.54035212973887659</v>
      </c>
      <c r="F107" s="9">
        <f t="shared" si="118"/>
        <v>0.58420903640741795</v>
      </c>
      <c r="G107" s="9">
        <f t="shared" si="119"/>
        <v>0.57357193929282624</v>
      </c>
      <c r="H107" s="9">
        <f t="shared" si="116"/>
        <v>0.56745746805092945</v>
      </c>
      <c r="I107" s="9">
        <f t="shared" si="107"/>
        <v>0.58362319402417939</v>
      </c>
      <c r="J107" s="9">
        <f t="shared" si="114"/>
        <v>0.58241282365382196</v>
      </c>
      <c r="K107" s="9">
        <f t="shared" si="120"/>
        <v>0.4726338116725205</v>
      </c>
      <c r="L107" s="9">
        <f t="shared" si="121"/>
        <v>0.59146753178264078</v>
      </c>
      <c r="M107" s="9">
        <f t="shared" si="108"/>
        <v>0.57852070005551559</v>
      </c>
      <c r="N107" s="9">
        <f t="shared" si="122"/>
        <v>0.45602471674259881</v>
      </c>
      <c r="O107" s="9">
        <f t="shared" si="123"/>
        <v>0.49843917150859163</v>
      </c>
      <c r="P107" s="9">
        <f t="shared" si="117"/>
        <v>0.56326921396523399</v>
      </c>
      <c r="Q107" s="9">
        <f t="shared" si="115"/>
        <v>0.50229710583903575</v>
      </c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</row>
    <row r="108" spans="1:49" x14ac:dyDescent="0.15">
      <c r="A108" s="8">
        <v>44742</v>
      </c>
      <c r="B108" s="3"/>
      <c r="C108" s="9">
        <f t="shared" si="111"/>
        <v>0.57837956469154306</v>
      </c>
      <c r="D108" s="9">
        <f t="shared" si="112"/>
        <v>0.58752252407094641</v>
      </c>
      <c r="E108" s="9">
        <f t="shared" si="113"/>
        <v>0.6041030283454405</v>
      </c>
      <c r="F108" s="9">
        <f t="shared" si="118"/>
        <v>0.50331288462271551</v>
      </c>
      <c r="G108" s="9">
        <f t="shared" si="119"/>
        <v>0.57357226595458566</v>
      </c>
      <c r="H108" s="9">
        <f t="shared" si="116"/>
        <v>0.57265580064255794</v>
      </c>
      <c r="I108" s="9">
        <f t="shared" si="107"/>
        <v>0.58362319402417939</v>
      </c>
      <c r="J108" s="9">
        <f t="shared" si="114"/>
        <v>0.58241282361325997</v>
      </c>
      <c r="K108" s="9">
        <f t="shared" si="120"/>
        <v>0.42763236171214158</v>
      </c>
      <c r="L108" s="9">
        <f t="shared" si="121"/>
        <v>0.59146757694667973</v>
      </c>
      <c r="M108" s="9">
        <f t="shared" si="108"/>
        <v>0.57852070005551559</v>
      </c>
      <c r="N108" s="9">
        <f t="shared" si="122"/>
        <v>0.44291017812225603</v>
      </c>
      <c r="O108" s="9">
        <f t="shared" si="123"/>
        <v>0.66740626547158777</v>
      </c>
      <c r="P108" s="9">
        <f t="shared" si="117"/>
        <v>0.54390372206645288</v>
      </c>
      <c r="Q108" s="9">
        <f t="shared" si="115"/>
        <v>0.56646325349471605</v>
      </c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</row>
    <row r="109" spans="1:49" x14ac:dyDescent="0.15">
      <c r="A109" s="8">
        <v>44834</v>
      </c>
      <c r="B109" s="3"/>
      <c r="C109" s="9">
        <f t="shared" si="111"/>
        <v>0.57837956469167295</v>
      </c>
      <c r="D109" s="9">
        <f t="shared" si="112"/>
        <v>0.58752252407094641</v>
      </c>
      <c r="E109" s="9">
        <f t="shared" si="113"/>
        <v>0.55409570232841765</v>
      </c>
      <c r="F109" s="9">
        <f t="shared" si="118"/>
        <v>0.51876232992368898</v>
      </c>
      <c r="G109" s="9">
        <f t="shared" si="119"/>
        <v>0.57357220863907821</v>
      </c>
      <c r="H109" s="9">
        <f t="shared" si="116"/>
        <v>0.57658231770876878</v>
      </c>
      <c r="I109" s="9">
        <f t="shared" si="107"/>
        <v>0.58362319402417939</v>
      </c>
      <c r="J109" s="9">
        <f t="shared" si="114"/>
        <v>0.58241282361518931</v>
      </c>
      <c r="K109" s="9">
        <f t="shared" si="120"/>
        <v>0.47834005549460235</v>
      </c>
      <c r="L109" s="9">
        <f t="shared" si="121"/>
        <v>0.59146759216914502</v>
      </c>
      <c r="M109" s="9">
        <f t="shared" si="108"/>
        <v>0.57852070005551559</v>
      </c>
      <c r="N109" s="9">
        <f t="shared" si="122"/>
        <v>0.47083474449875329</v>
      </c>
      <c r="O109" s="9">
        <f t="shared" si="123"/>
        <v>0.56985005073218331</v>
      </c>
      <c r="P109" s="9">
        <f t="shared" si="117"/>
        <v>0.55024415210497035</v>
      </c>
      <c r="Q109" s="9">
        <f t="shared" si="115"/>
        <v>0.5189679166778538</v>
      </c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</row>
    <row r="110" spans="1:49" x14ac:dyDescent="0.15">
      <c r="A110" s="8">
        <v>44926</v>
      </c>
      <c r="B110" s="3"/>
      <c r="C110" s="9">
        <f t="shared" si="111"/>
        <v>0.57837956469157592</v>
      </c>
      <c r="D110" s="9">
        <f t="shared" si="112"/>
        <v>0.58752252407094641</v>
      </c>
      <c r="E110" s="9">
        <f t="shared" si="113"/>
        <v>0.59332232830597409</v>
      </c>
      <c r="F110" s="9">
        <f t="shared" si="118"/>
        <v>0.56247117322586049</v>
      </c>
      <c r="G110" s="9">
        <f t="shared" si="119"/>
        <v>0.57357204325031397</v>
      </c>
      <c r="H110" s="9">
        <f t="shared" si="116"/>
        <v>0.56772044940031963</v>
      </c>
      <c r="I110" s="9">
        <f t="shared" si="107"/>
        <v>0.58362319402417939</v>
      </c>
      <c r="J110" s="9">
        <f t="shared" si="114"/>
        <v>0.58241282361509761</v>
      </c>
      <c r="K110" s="9">
        <f t="shared" si="120"/>
        <v>0.44636230956162037</v>
      </c>
      <c r="L110" s="9">
        <f t="shared" si="121"/>
        <v>0.59146754347319752</v>
      </c>
      <c r="M110" s="9">
        <f t="shared" si="108"/>
        <v>0.57852070005551559</v>
      </c>
      <c r="N110" s="9">
        <f t="shared" si="122"/>
        <v>0.45641012963647082</v>
      </c>
      <c r="O110" s="9">
        <f t="shared" si="123"/>
        <v>0.5605083372559363</v>
      </c>
      <c r="P110" s="9">
        <f t="shared" si="117"/>
        <v>0.55610283102064328</v>
      </c>
      <c r="Q110" s="9">
        <f t="shared" si="115"/>
        <v>0.55412363510202967</v>
      </c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</row>
    <row r="111" spans="1:49" x14ac:dyDescent="0.15">
      <c r="A111" s="8">
        <v>45016</v>
      </c>
      <c r="B111" s="3"/>
      <c r="C111" s="9">
        <f t="shared" si="111"/>
        <v>0.57837956469164831</v>
      </c>
      <c r="D111" s="9">
        <f t="shared" si="112"/>
        <v>0.58752252407094641</v>
      </c>
      <c r="E111" s="9">
        <f t="shared" si="113"/>
        <v>0.56255227303328637</v>
      </c>
      <c r="F111" s="9">
        <f t="shared" si="118"/>
        <v>0.49854770296170381</v>
      </c>
      <c r="G111" s="9">
        <f t="shared" si="119"/>
        <v>0.5735722972768329</v>
      </c>
      <c r="H111" s="9">
        <f t="shared" si="116"/>
        <v>0.57621596749743853</v>
      </c>
      <c r="I111" s="9">
        <f t="shared" si="107"/>
        <v>0.58362319402417939</v>
      </c>
      <c r="J111" s="9">
        <f t="shared" si="114"/>
        <v>0.58241282361510194</v>
      </c>
      <c r="K111" s="9">
        <f t="shared" si="120"/>
        <v>0.47666180017974269</v>
      </c>
      <c r="L111" s="9">
        <f t="shared" si="121"/>
        <v>0.5914675865938217</v>
      </c>
      <c r="M111" s="9">
        <f t="shared" si="108"/>
        <v>0.57852070005551559</v>
      </c>
      <c r="N111" s="9">
        <f t="shared" si="122"/>
        <v>0.47810641747560068</v>
      </c>
      <c r="O111" s="9">
        <f t="shared" si="123"/>
        <v>0.66410057475602158</v>
      </c>
      <c r="P111" s="9">
        <f t="shared" si="117"/>
        <v>0.54403547009954312</v>
      </c>
      <c r="Q111" s="9">
        <f t="shared" si="115"/>
        <v>0.52810161650501342</v>
      </c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</row>
    <row r="112" spans="1:49" x14ac:dyDescent="0.15">
      <c r="A112" s="8">
        <v>45107</v>
      </c>
      <c r="B112" s="3"/>
      <c r="C112" s="9">
        <f t="shared" si="111"/>
        <v>0.57837956469159435</v>
      </c>
      <c r="D112" s="9">
        <f t="shared" si="112"/>
        <v>0.58752252407094641</v>
      </c>
      <c r="E112" s="9">
        <f t="shared" si="113"/>
        <v>0.5866888455242768</v>
      </c>
      <c r="F112" s="9">
        <f t="shared" si="118"/>
        <v>0.54112810540702139</v>
      </c>
      <c r="G112" s="9">
        <f t="shared" si="119"/>
        <v>0.57357209244182439</v>
      </c>
      <c r="H112" s="9">
        <f t="shared" si="116"/>
        <v>0.571817103690206</v>
      </c>
      <c r="I112" s="9">
        <f t="shared" si="107"/>
        <v>0.58362319402417939</v>
      </c>
      <c r="J112" s="9">
        <f t="shared" si="114"/>
        <v>0.58241282361510172</v>
      </c>
      <c r="K112" s="9">
        <f t="shared" si="120"/>
        <v>0.46432686168120607</v>
      </c>
      <c r="L112" s="9">
        <f t="shared" si="121"/>
        <v>0.59146757325244925</v>
      </c>
      <c r="M112" s="9">
        <f t="shared" si="108"/>
        <v>0.57852070005551559</v>
      </c>
      <c r="N112" s="9">
        <f t="shared" si="122"/>
        <v>0.47044547430992367</v>
      </c>
      <c r="O112" s="9">
        <f t="shared" si="123"/>
        <v>0.52064971086006762</v>
      </c>
      <c r="P112" s="9">
        <f t="shared" si="117"/>
        <v>0.55524490307625896</v>
      </c>
      <c r="Q112" s="9">
        <f t="shared" si="115"/>
        <v>0.5473629339297712</v>
      </c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</row>
    <row r="113" spans="1:49" x14ac:dyDescent="0.15">
      <c r="A113" s="8">
        <v>45199</v>
      </c>
      <c r="B113" s="3"/>
      <c r="C113" s="9">
        <f t="shared" si="111"/>
        <v>0.57837956469163454</v>
      </c>
      <c r="D113" s="9">
        <f t="shared" si="112"/>
        <v>0.58752252407094641</v>
      </c>
      <c r="E113" s="9">
        <f t="shared" si="113"/>
        <v>0.56775569358645939</v>
      </c>
      <c r="F113" s="9">
        <f t="shared" si="118"/>
        <v>0.53948990074053604</v>
      </c>
      <c r="G113" s="9">
        <f t="shared" si="119"/>
        <v>0.57357216936602473</v>
      </c>
      <c r="H113" s="9">
        <f t="shared" si="116"/>
        <v>0.57122418557592591</v>
      </c>
      <c r="I113" s="9">
        <f t="shared" si="107"/>
        <v>0.58362319402417939</v>
      </c>
      <c r="J113" s="9">
        <f t="shared" si="114"/>
        <v>0.58241282361510172</v>
      </c>
      <c r="K113" s="9">
        <f t="shared" si="120"/>
        <v>0.47653471874074083</v>
      </c>
      <c r="L113" s="9">
        <f t="shared" si="121"/>
        <v>0.59146755759022351</v>
      </c>
      <c r="M113" s="9">
        <f t="shared" si="108"/>
        <v>0.57852070005551559</v>
      </c>
      <c r="N113" s="9">
        <f t="shared" si="122"/>
        <v>0.48351557800593215</v>
      </c>
      <c r="O113" s="9">
        <f t="shared" si="123"/>
        <v>0.63743074363286434</v>
      </c>
      <c r="P113" s="9">
        <f t="shared" si="117"/>
        <v>0.54961131017635756</v>
      </c>
      <c r="Q113" s="9">
        <f t="shared" si="115"/>
        <v>0.53310584055501598</v>
      </c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</row>
    <row r="114" spans="1:49" x14ac:dyDescent="0.15">
      <c r="A114" s="8">
        <v>45291</v>
      </c>
      <c r="B114" s="3"/>
      <c r="C114" s="9">
        <f t="shared" si="111"/>
        <v>0.57837956469160456</v>
      </c>
      <c r="D114" s="9">
        <f t="shared" si="112"/>
        <v>0.58752252407094641</v>
      </c>
      <c r="E114" s="9">
        <f t="shared" si="113"/>
        <v>0.5826071909328322</v>
      </c>
      <c r="F114" s="9">
        <f t="shared" si="118"/>
        <v>0.50874865709941752</v>
      </c>
      <c r="G114" s="9">
        <f t="shared" si="119"/>
        <v>0.57357222051188939</v>
      </c>
      <c r="H114" s="9">
        <f t="shared" si="116"/>
        <v>0.57521762287949962</v>
      </c>
      <c r="I114" s="9">
        <f t="shared" si="107"/>
        <v>0.58362319402417939</v>
      </c>
      <c r="J114" s="9">
        <f t="shared" si="114"/>
        <v>0.58241282361510172</v>
      </c>
      <c r="K114" s="9">
        <f t="shared" si="120"/>
        <v>0.47712150794068375</v>
      </c>
      <c r="L114" s="9">
        <f t="shared" si="121"/>
        <v>0.59146758432425606</v>
      </c>
      <c r="M114" s="9">
        <f t="shared" si="108"/>
        <v>0.57852070005551559</v>
      </c>
      <c r="N114" s="9">
        <f t="shared" si="122"/>
        <v>0.48207757014800501</v>
      </c>
      <c r="O114" s="9">
        <f t="shared" si="123"/>
        <v>0.59669897771099267</v>
      </c>
      <c r="P114" s="9">
        <f t="shared" si="117"/>
        <v>0.54873165777738842</v>
      </c>
      <c r="Q114" s="9">
        <f t="shared" si="115"/>
        <v>0.54365884204572512</v>
      </c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</row>
    <row r="115" spans="1:49" x14ac:dyDescent="0.15">
      <c r="A115" s="8">
        <v>45382</v>
      </c>
      <c r="B115" s="3"/>
      <c r="C115" s="9">
        <f t="shared" si="111"/>
        <v>0.57837956469162699</v>
      </c>
      <c r="D115" s="9">
        <f t="shared" si="112"/>
        <v>0.58752252407094641</v>
      </c>
      <c r="E115" s="9">
        <f t="shared" si="113"/>
        <v>0.57095741522967769</v>
      </c>
      <c r="F115" s="9">
        <f t="shared" si="118"/>
        <v>0.54662236974281009</v>
      </c>
      <c r="G115" s="9">
        <f t="shared" si="119"/>
        <v>0.5735720986610362</v>
      </c>
      <c r="H115" s="9">
        <f t="shared" si="116"/>
        <v>0.57052486075556619</v>
      </c>
      <c r="I115" s="9">
        <f t="shared" si="107"/>
        <v>0.58362319402417939</v>
      </c>
      <c r="J115" s="9">
        <f t="shared" si="114"/>
        <v>0.58241282361510172</v>
      </c>
      <c r="K115" s="9">
        <f t="shared" si="120"/>
        <v>0.47966235503236521</v>
      </c>
      <c r="L115" s="9">
        <f t="shared" si="121"/>
        <v>0.59146756580422832</v>
      </c>
      <c r="M115" s="9">
        <f t="shared" si="108"/>
        <v>0.57852070005551559</v>
      </c>
      <c r="N115" s="9">
        <f t="shared" si="122"/>
        <v>0.48892908204378016</v>
      </c>
      <c r="O115" s="9">
        <f t="shared" si="123"/>
        <v>0.55011423948319904</v>
      </c>
      <c r="P115" s="9">
        <f t="shared" si="117"/>
        <v>0.55392046122540961</v>
      </c>
      <c r="Q115" s="9">
        <f t="shared" si="115"/>
        <v>0.53584758364013019</v>
      </c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</row>
    <row r="116" spans="1:49" x14ac:dyDescent="0.15">
      <c r="A116" s="8">
        <v>45473</v>
      </c>
      <c r="B116" s="3"/>
      <c r="C116" s="9">
        <f t="shared" si="111"/>
        <v>0.57837956469161023</v>
      </c>
      <c r="D116" s="9">
        <f t="shared" si="112"/>
        <v>0.58752252407094641</v>
      </c>
      <c r="E116" s="9">
        <f t="shared" si="113"/>
        <v>0.58009570416907241</v>
      </c>
      <c r="F116" s="9">
        <f t="shared" si="118"/>
        <v>0.5251135572507073</v>
      </c>
      <c r="G116" s="9">
        <f t="shared" si="119"/>
        <v>0.57357221752997134</v>
      </c>
      <c r="H116" s="9">
        <f t="shared" si="116"/>
        <v>0.57361721389663067</v>
      </c>
      <c r="I116" s="9">
        <f t="shared" si="107"/>
        <v>0.58362319402417939</v>
      </c>
      <c r="J116" s="9">
        <f t="shared" si="114"/>
        <v>0.58241282361510172</v>
      </c>
      <c r="K116" s="9">
        <f t="shared" si="120"/>
        <v>0.48524772417480233</v>
      </c>
      <c r="L116" s="9">
        <f t="shared" si="121"/>
        <v>0.59146756742912032</v>
      </c>
      <c r="M116" s="9">
        <f t="shared" si="108"/>
        <v>0.57852070005551559</v>
      </c>
      <c r="N116" s="9">
        <f t="shared" si="122"/>
        <v>0.49096698929217575</v>
      </c>
      <c r="O116" s="9">
        <f t="shared" si="123"/>
        <v>0.65589901747529367</v>
      </c>
      <c r="P116" s="9">
        <f t="shared" si="117"/>
        <v>0.54791794693704809</v>
      </c>
      <c r="Q116" s="9">
        <f t="shared" si="115"/>
        <v>0.54162942285740834</v>
      </c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</row>
    <row r="117" spans="1:49" x14ac:dyDescent="0.15">
      <c r="A117" s="8">
        <v>45565</v>
      </c>
      <c r="B117" s="3"/>
      <c r="C117" s="9">
        <f t="shared" si="111"/>
        <v>0.57837956469162277</v>
      </c>
      <c r="D117" s="9">
        <f t="shared" si="112"/>
        <v>0.58752252407094641</v>
      </c>
      <c r="E117" s="9">
        <f t="shared" si="113"/>
        <v>0.57292746961523022</v>
      </c>
      <c r="F117" s="9">
        <f t="shared" si="118"/>
        <v>0.52165393161601759</v>
      </c>
      <c r="G117" s="9">
        <f t="shared" si="119"/>
        <v>0.57357215419359697</v>
      </c>
      <c r="H117" s="9">
        <f t="shared" si="116"/>
        <v>0.57309393725338875</v>
      </c>
      <c r="I117" s="9">
        <f t="shared" si="107"/>
        <v>0.58362319402417939</v>
      </c>
      <c r="J117" s="9">
        <f t="shared" si="114"/>
        <v>0.58241282361510172</v>
      </c>
      <c r="K117" s="9">
        <f t="shared" si="120"/>
        <v>0.48480045410584438</v>
      </c>
      <c r="L117" s="9">
        <f t="shared" si="121"/>
        <v>0.59146757869632416</v>
      </c>
      <c r="M117" s="9">
        <f t="shared" si="108"/>
        <v>0.57852070005551559</v>
      </c>
      <c r="N117" s="9">
        <f t="shared" si="122"/>
        <v>0.49448340537380742</v>
      </c>
      <c r="O117" s="9">
        <f t="shared" si="123"/>
        <v>0.5427951034580567</v>
      </c>
      <c r="P117" s="9">
        <f t="shared" si="117"/>
        <v>0.55185299722663639</v>
      </c>
      <c r="Q117" s="9">
        <f t="shared" si="115"/>
        <v>0.53734974562761506</v>
      </c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</row>
    <row r="118" spans="1:49" x14ac:dyDescent="0.15">
      <c r="A118" s="8">
        <v>45657</v>
      </c>
      <c r="B118" s="3"/>
      <c r="C118" s="9">
        <f t="shared" si="111"/>
        <v>0.57837956469161345</v>
      </c>
      <c r="D118" s="9">
        <f t="shared" si="112"/>
        <v>0.58752252407094641</v>
      </c>
      <c r="E118" s="9">
        <f t="shared" si="113"/>
        <v>0.57855035886284245</v>
      </c>
      <c r="F118" s="9">
        <f t="shared" si="118"/>
        <v>0.54228879674015285</v>
      </c>
      <c r="G118" s="9">
        <f t="shared" si="119"/>
        <v>0.57357214849047455</v>
      </c>
      <c r="H118" s="9">
        <f t="shared" si="116"/>
        <v>0.57149386690290727</v>
      </c>
      <c r="I118" s="9">
        <f t="shared" si="107"/>
        <v>0.58362319402417939</v>
      </c>
      <c r="J118" s="9">
        <f t="shared" si="114"/>
        <v>0.58241282361510172</v>
      </c>
      <c r="K118" s="9">
        <f t="shared" si="120"/>
        <v>0.49056921560032973</v>
      </c>
      <c r="L118" s="9">
        <f t="shared" si="121"/>
        <v>0.59146756508830922</v>
      </c>
      <c r="M118" s="9">
        <f t="shared" si="108"/>
        <v>0.57852070005551559</v>
      </c>
      <c r="N118" s="9">
        <f t="shared" si="122"/>
        <v>0.49770797949259693</v>
      </c>
      <c r="O118" s="9">
        <f t="shared" si="123"/>
        <v>0.61267224172771906</v>
      </c>
      <c r="P118" s="9">
        <f t="shared" si="117"/>
        <v>0.55114939914535044</v>
      </c>
      <c r="Q118" s="9">
        <f t="shared" si="115"/>
        <v>0.54051753298781657</v>
      </c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</row>
    <row r="119" spans="1:49" x14ac:dyDescent="0.15">
      <c r="A119" s="8">
        <v>45747</v>
      </c>
      <c r="B119" s="3"/>
      <c r="C119" s="9">
        <f t="shared" si="111"/>
        <v>0.57837956469162033</v>
      </c>
      <c r="D119" s="9">
        <f t="shared" si="112"/>
        <v>0.58752252407094641</v>
      </c>
      <c r="E119" s="9">
        <f t="shared" si="113"/>
        <v>0.57413966565052754</v>
      </c>
      <c r="F119" s="9">
        <f t="shared" si="118"/>
        <v>0.52036682958497504</v>
      </c>
      <c r="G119" s="9">
        <f t="shared" si="119"/>
        <v>0.57357220212412141</v>
      </c>
      <c r="H119" s="9">
        <f t="shared" si="116"/>
        <v>0.57393315943332013</v>
      </c>
      <c r="I119" s="9">
        <f t="shared" si="107"/>
        <v>0.58362319402417939</v>
      </c>
      <c r="J119" s="9">
        <f t="shared" si="114"/>
        <v>0.58241282361510172</v>
      </c>
      <c r="K119" s="9">
        <f t="shared" si="120"/>
        <v>0.49037427777057296</v>
      </c>
      <c r="L119" s="9">
        <f t="shared" si="121"/>
        <v>0.59146757219099122</v>
      </c>
      <c r="M119" s="9">
        <f t="shared" si="108"/>
        <v>0.57852070005551559</v>
      </c>
      <c r="N119" s="9">
        <f t="shared" si="122"/>
        <v>0.49982960155748452</v>
      </c>
      <c r="O119" s="9">
        <f t="shared" si="123"/>
        <v>0.61311193757215854</v>
      </c>
      <c r="P119" s="9">
        <f t="shared" si="117"/>
        <v>0.54921093646722174</v>
      </c>
      <c r="Q119" s="9">
        <f t="shared" si="115"/>
        <v>0.53817275878624971</v>
      </c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</row>
    <row r="120" spans="1:49" x14ac:dyDescent="0.15">
      <c r="A120" s="8">
        <v>45838</v>
      </c>
      <c r="B120" s="3"/>
      <c r="C120" s="9">
        <f t="shared" si="111"/>
        <v>0.57837956469161522</v>
      </c>
      <c r="D120" s="9">
        <f t="shared" si="112"/>
        <v>0.58752252407094641</v>
      </c>
      <c r="E120" s="9">
        <f t="shared" si="113"/>
        <v>0.57759949097456753</v>
      </c>
      <c r="F120" s="9">
        <f t="shared" si="118"/>
        <v>0.53063500767604754</v>
      </c>
      <c r="G120" s="9">
        <f t="shared" si="119"/>
        <v>0.57357213751005509</v>
      </c>
      <c r="H120" s="9">
        <f t="shared" si="116"/>
        <v>0.57197623313952684</v>
      </c>
      <c r="I120" s="9">
        <f t="shared" si="107"/>
        <v>0.58362319402417939</v>
      </c>
      <c r="J120" s="9">
        <f t="shared" si="114"/>
        <v>0.58241282361510172</v>
      </c>
      <c r="K120" s="9">
        <f t="shared" si="120"/>
        <v>0.49460451144153139</v>
      </c>
      <c r="L120" s="9">
        <f t="shared" si="121"/>
        <v>0.59146757393460825</v>
      </c>
      <c r="M120" s="9">
        <f t="shared" si="108"/>
        <v>0.57852070005551559</v>
      </c>
      <c r="N120" s="9">
        <f t="shared" si="122"/>
        <v>0.50298670153864589</v>
      </c>
      <c r="O120" s="9">
        <f t="shared" si="123"/>
        <v>0.5486795433576559</v>
      </c>
      <c r="P120" s="9">
        <f t="shared" si="117"/>
        <v>0.55219795560692853</v>
      </c>
      <c r="Q120" s="9">
        <f t="shared" si="115"/>
        <v>0.53990834436418567</v>
      </c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</row>
    <row r="121" spans="1:49" x14ac:dyDescent="0.15">
      <c r="A121" s="8">
        <v>45930</v>
      </c>
      <c r="B121" s="3"/>
      <c r="C121" s="9">
        <f t="shared" si="111"/>
        <v>0.578379564691619</v>
      </c>
      <c r="D121" s="9">
        <f t="shared" si="112"/>
        <v>0.58752252407094641</v>
      </c>
      <c r="E121" s="9">
        <f t="shared" si="113"/>
        <v>0.57488554314445173</v>
      </c>
      <c r="F121" s="9">
        <f t="shared" si="118"/>
        <v>0.53523588482356033</v>
      </c>
      <c r="G121" s="9">
        <f t="shared" si="119"/>
        <v>0.57357218115370778</v>
      </c>
      <c r="H121" s="9">
        <f t="shared" si="116"/>
        <v>0.57269709372893818</v>
      </c>
      <c r="I121" s="9">
        <f t="shared" si="107"/>
        <v>0.58362319402417939</v>
      </c>
      <c r="J121" s="9">
        <f t="shared" si="114"/>
        <v>0.58241282361510172</v>
      </c>
      <c r="K121" s="9">
        <f t="shared" si="120"/>
        <v>0.4954337968028274</v>
      </c>
      <c r="L121" s="9">
        <f t="shared" si="121"/>
        <v>0.59146756699576408</v>
      </c>
      <c r="M121" s="9">
        <f t="shared" si="108"/>
        <v>0.57852070005551559</v>
      </c>
      <c r="N121" s="9">
        <f t="shared" si="122"/>
        <v>0.50466482948665503</v>
      </c>
      <c r="O121" s="9">
        <f t="shared" si="123"/>
        <v>0.64309315557229163</v>
      </c>
      <c r="P121" s="9">
        <f t="shared" si="117"/>
        <v>0.54977549902269485</v>
      </c>
      <c r="Q121" s="9">
        <f t="shared" si="115"/>
        <v>0.53862367597422889</v>
      </c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</row>
    <row r="122" spans="1:49" x14ac:dyDescent="0.15">
      <c r="A122" s="8">
        <v>46022</v>
      </c>
      <c r="B122" s="3"/>
      <c r="C122" s="9">
        <f t="shared" si="111"/>
        <v>0.57837956469161611</v>
      </c>
      <c r="D122" s="9">
        <f t="shared" si="112"/>
        <v>0.58752252407094641</v>
      </c>
      <c r="E122" s="9">
        <f t="shared" si="113"/>
        <v>0.57701441155101907</v>
      </c>
      <c r="F122" s="9">
        <f t="shared" si="118"/>
        <v>0.52187204232009554</v>
      </c>
      <c r="G122" s="9">
        <f t="shared" si="119"/>
        <v>0.57357217243475689</v>
      </c>
      <c r="H122" s="9">
        <f t="shared" si="116"/>
        <v>0.57320918534209486</v>
      </c>
      <c r="I122" s="9">
        <f t="shared" si="107"/>
        <v>0.58362319402417939</v>
      </c>
      <c r="J122" s="9">
        <f t="shared" si="114"/>
        <v>0.58241282361510172</v>
      </c>
      <c r="K122" s="9">
        <f t="shared" si="120"/>
        <v>0.49813904901985839</v>
      </c>
      <c r="L122" s="9">
        <f t="shared" si="121"/>
        <v>0.59146757344030498</v>
      </c>
      <c r="M122" s="9">
        <f t="shared" si="108"/>
        <v>0.57852070005551559</v>
      </c>
      <c r="N122" s="9">
        <f t="shared" si="122"/>
        <v>0.50729834085897862</v>
      </c>
      <c r="O122" s="9">
        <f t="shared" si="123"/>
        <v>0.56298709055392226</v>
      </c>
      <c r="P122" s="9">
        <f t="shared" si="117"/>
        <v>0.55071947355744477</v>
      </c>
      <c r="Q122" s="9">
        <f t="shared" si="115"/>
        <v>0.53957457859357238</v>
      </c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</row>
    <row r="123" spans="1:49" x14ac:dyDescent="0.15">
      <c r="A123" s="8"/>
      <c r="B123" s="3"/>
      <c r="C123" s="9"/>
      <c r="D123" s="9"/>
      <c r="E123" s="9"/>
      <c r="F123" s="9"/>
      <c r="G123" s="9"/>
      <c r="H123" s="3"/>
      <c r="I123" s="3"/>
      <c r="J123" s="3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</row>
    <row r="124" spans="1:49" x14ac:dyDescent="0.15">
      <c r="A124" s="8"/>
      <c r="B124" s="3"/>
      <c r="C124" s="9"/>
      <c r="D124" s="9"/>
      <c r="E124" s="9"/>
      <c r="F124" s="9"/>
      <c r="G124" s="9"/>
      <c r="H124" s="3"/>
      <c r="I124" s="3"/>
      <c r="J124" s="3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</row>
    <row r="125" spans="1:49" x14ac:dyDescent="0.15">
      <c r="A125" s="8"/>
      <c r="B125" s="3"/>
      <c r="C125" s="9"/>
      <c r="D125" s="9"/>
      <c r="E125" s="9"/>
      <c r="F125" s="9"/>
      <c r="G125" s="9"/>
      <c r="H125" s="3"/>
      <c r="I125" s="3"/>
      <c r="J125" s="3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</row>
    <row r="126" spans="1:49" x14ac:dyDescent="0.15">
      <c r="A126" s="8"/>
      <c r="B126" s="3"/>
      <c r="C126" s="9"/>
      <c r="D126" s="9"/>
      <c r="E126" s="9"/>
      <c r="F126" s="9"/>
      <c r="G126" s="9"/>
      <c r="H126" s="3"/>
      <c r="I126" s="3"/>
      <c r="J126" s="3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olvemodels">
                <anchor moveWithCells="1" sizeWithCells="1">
                  <from>
                    <xdr:col>60</xdr:col>
                    <xdr:colOff>495300</xdr:colOff>
                    <xdr:row>4</xdr:row>
                    <xdr:rowOff>101600</xdr:rowOff>
                  </from>
                  <to>
                    <xdr:col>62</xdr:col>
                    <xdr:colOff>558800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644EA-890A-42C1-8A85-AA26CB3623D1}">
  <sheetPr codeName="Sheet5">
    <tabColor theme="0" tint="-0.34998626667073579"/>
  </sheetPr>
  <dimension ref="A1:AA50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4" sqref="B4"/>
    </sheetView>
  </sheetViews>
  <sheetFormatPr baseColWidth="10" defaultColWidth="8.83203125" defaultRowHeight="11" x14ac:dyDescent="0.15"/>
  <cols>
    <col min="1" max="1" width="8.83203125" style="2"/>
    <col min="2" max="5" width="11" style="2" customWidth="1"/>
    <col min="6" max="6" width="2.6640625" style="2" customWidth="1"/>
    <col min="7" max="9" width="13.33203125" style="2" bestFit="1" customWidth="1"/>
    <col min="10" max="10" width="1.5" style="2" customWidth="1"/>
    <col min="11" max="14" width="11" style="2" customWidth="1"/>
    <col min="15" max="15" width="2.6640625" style="2" customWidth="1"/>
    <col min="16" max="18" width="13.33203125" style="2" bestFit="1" customWidth="1"/>
    <col min="19" max="19" width="1.5" style="2" customWidth="1"/>
    <col min="20" max="23" width="11" style="2" customWidth="1"/>
    <col min="24" max="24" width="2.6640625" style="2" customWidth="1"/>
    <col min="25" max="27" width="13.33203125" style="2" bestFit="1" customWidth="1"/>
    <col min="28" max="16384" width="8.83203125" style="2"/>
  </cols>
  <sheetData>
    <row r="1" spans="1:27" x14ac:dyDescent="0.15">
      <c r="A1" s="7"/>
      <c r="B1" s="1" t="s">
        <v>125</v>
      </c>
      <c r="C1" s="1" t="s">
        <v>118</v>
      </c>
      <c r="D1" s="1" t="s">
        <v>119</v>
      </c>
      <c r="E1" s="1" t="s">
        <v>120</v>
      </c>
      <c r="G1" s="3" t="str">
        <f>"Resíduo - "&amp;C1</f>
        <v>Resíduo - Modelo 1</v>
      </c>
      <c r="H1" s="3" t="str">
        <f t="shared" ref="H1:I1" si="0">"Resíduo - "&amp;D1</f>
        <v>Resíduo - Modelo 2</v>
      </c>
      <c r="I1" s="3" t="str">
        <f t="shared" si="0"/>
        <v>Resíduo - Modelo 3</v>
      </c>
      <c r="K1" s="1" t="s">
        <v>125</v>
      </c>
      <c r="L1" s="1" t="s">
        <v>118</v>
      </c>
      <c r="M1" s="1" t="s">
        <v>119</v>
      </c>
      <c r="N1" s="1" t="s">
        <v>120</v>
      </c>
      <c r="P1" s="3" t="str">
        <f>"Resíduo - "&amp;L1</f>
        <v>Resíduo - Modelo 1</v>
      </c>
      <c r="Q1" s="3" t="str">
        <f t="shared" ref="Q1" si="1">"Resíduo - "&amp;M1</f>
        <v>Resíduo - Modelo 2</v>
      </c>
      <c r="R1" s="3" t="str">
        <f t="shared" ref="R1" si="2">"Resíduo - "&amp;N1</f>
        <v>Resíduo - Modelo 3</v>
      </c>
      <c r="T1" s="1" t="s">
        <v>125</v>
      </c>
      <c r="U1" s="1" t="s">
        <v>118</v>
      </c>
      <c r="V1" s="1" t="s">
        <v>119</v>
      </c>
      <c r="W1" s="1" t="s">
        <v>120</v>
      </c>
      <c r="Y1" s="3" t="str">
        <f>"Resíduo - "&amp;U1</f>
        <v>Resíduo - Modelo 1</v>
      </c>
      <c r="Z1" s="3" t="str">
        <f t="shared" ref="Z1" si="3">"Resíduo - "&amp;V1</f>
        <v>Resíduo - Modelo 2</v>
      </c>
      <c r="AA1" s="3" t="str">
        <f t="shared" ref="AA1" si="4">"Resíduo - "&amp;W1</f>
        <v>Resíduo - Modelo 3</v>
      </c>
    </row>
    <row r="2" spans="1:27" x14ac:dyDescent="0.15">
      <c r="A2" s="3" t="s">
        <v>111</v>
      </c>
      <c r="B2" s="6" t="s">
        <v>108</v>
      </c>
      <c r="C2" s="6" t="str">
        <f t="array" ref="C2:E2">TRANSPOSE(Modelos!BM43:BM45)</f>
        <v>ARMA(2,3)</v>
      </c>
      <c r="D2" s="6" t="str">
        <v>ARMA(3,1)</v>
      </c>
      <c r="E2" s="6" t="str">
        <v>ARMA(3,3)</v>
      </c>
      <c r="G2" s="6" t="str">
        <f>C2</f>
        <v>ARMA(2,3)</v>
      </c>
      <c r="H2" s="6" t="str">
        <f t="shared" ref="H2:I2" si="5">D2</f>
        <v>ARMA(3,1)</v>
      </c>
      <c r="I2" s="6" t="str">
        <f t="shared" si="5"/>
        <v>ARMA(3,3)</v>
      </c>
      <c r="K2" s="3" t="s">
        <v>116</v>
      </c>
      <c r="L2" s="6" t="str">
        <f t="array" ref="L2:N2">TRANSPOSE(Modelos!BM62:BM64)</f>
        <v>ARMA(0,3)</v>
      </c>
      <c r="M2" s="6" t="str">
        <v>ARMA(3,1)</v>
      </c>
      <c r="N2" s="6" t="str">
        <v>ARMA(3,2)</v>
      </c>
      <c r="P2" s="6" t="str">
        <f>L2</f>
        <v>ARMA(0,3)</v>
      </c>
      <c r="Q2" s="6" t="str">
        <f t="shared" ref="Q2" si="6">M2</f>
        <v>ARMA(3,1)</v>
      </c>
      <c r="R2" s="6" t="str">
        <f t="shared" ref="R2" si="7">N2</f>
        <v>ARMA(3,2)</v>
      </c>
      <c r="T2" s="3" t="s">
        <v>109</v>
      </c>
      <c r="U2" s="6" t="str">
        <f t="array" ref="U2:W2">TRANSPOSE(Modelos!BM81:BM83)</f>
        <v>ARMA(1,2)</v>
      </c>
      <c r="V2" s="6" t="str">
        <v>ARMA(0,2)</v>
      </c>
      <c r="W2" s="6" t="str">
        <v>ARMA(3,3)</v>
      </c>
      <c r="Y2" s="6" t="str">
        <f>U2</f>
        <v>ARMA(1,2)</v>
      </c>
      <c r="Z2" s="6" t="str">
        <f t="shared" ref="Z2" si="8">V2</f>
        <v>ARMA(0,2)</v>
      </c>
      <c r="AA2" s="6" t="str">
        <f t="shared" ref="AA2" si="9">W2</f>
        <v>ARMA(3,3)</v>
      </c>
    </row>
    <row r="3" spans="1:27" x14ac:dyDescent="0.15">
      <c r="A3" s="8">
        <v>42094</v>
      </c>
      <c r="B3" s="6">
        <f ca="1">INDEX(Dados!$I:$N,MATCH($A3,Dados!$A:$A,0),MATCH(B$2,Dados!$I$2:$N$2,0))</f>
        <v>2.3723636515351032</v>
      </c>
      <c r="C3" s="5"/>
      <c r="D3" s="5"/>
      <c r="E3" s="5"/>
      <c r="G3" s="3">
        <v>0</v>
      </c>
      <c r="H3" s="3">
        <v>0</v>
      </c>
      <c r="I3" s="3">
        <v>0</v>
      </c>
      <c r="K3" s="6">
        <f ca="1">INDEX(Dados!$I:$N,MATCH($A3,Dados!$A:$A,0),MATCH(K$2,Dados!$I$2:$N$2,0))</f>
        <v>-1.8431235783484712</v>
      </c>
      <c r="L3" s="5"/>
      <c r="M3" s="5"/>
      <c r="N3" s="5"/>
      <c r="P3" s="3">
        <v>0</v>
      </c>
      <c r="Q3" s="3">
        <v>0</v>
      </c>
      <c r="R3" s="3">
        <v>0</v>
      </c>
      <c r="T3" s="6">
        <f ca="1">INDEX(Dados!$I:$N,MATCH($A3,Dados!$A:$A,0),MATCH(T$2,Dados!$I$2:$N$2,0))</f>
        <v>-0.64504226356822958</v>
      </c>
      <c r="U3" s="5"/>
      <c r="V3" s="5"/>
      <c r="W3" s="5"/>
      <c r="Y3" s="3">
        <v>0</v>
      </c>
      <c r="Z3" s="3">
        <v>0</v>
      </c>
      <c r="AA3" s="3">
        <v>0</v>
      </c>
    </row>
    <row r="4" spans="1:27" x14ac:dyDescent="0.15">
      <c r="A4" s="8">
        <f>EOMONTH(A3,3)</f>
        <v>42185</v>
      </c>
      <c r="B4" s="6">
        <f ca="1">INDEX(Dados!$I:$N,MATCH($A4,Dados!$A:$A,0),MATCH(B$2,Dados!$I$2:$N$2,0))</f>
        <v>-2.9381451038601125</v>
      </c>
      <c r="C4" s="5"/>
      <c r="D4" s="5"/>
      <c r="E4" s="5"/>
      <c r="G4" s="3">
        <v>0</v>
      </c>
      <c r="H4" s="3">
        <v>0</v>
      </c>
      <c r="I4" s="3">
        <v>0</v>
      </c>
      <c r="K4" s="6">
        <f ca="1">INDEX(Dados!$I:$N,MATCH($A4,Dados!$A:$A,0),MATCH(K$2,Dados!$I$2:$N$2,0))</f>
        <v>-3.2511530887383011</v>
      </c>
      <c r="L4" s="5"/>
      <c r="M4" s="5"/>
      <c r="N4" s="5"/>
      <c r="P4" s="3">
        <v>0</v>
      </c>
      <c r="Q4" s="3">
        <v>0</v>
      </c>
      <c r="R4" s="3">
        <v>0</v>
      </c>
      <c r="T4" s="6">
        <f ca="1">INDEX(Dados!$I:$N,MATCH($A4,Dados!$A:$A,0),MATCH(T$2,Dados!$I$2:$N$2,0))</f>
        <v>-1.8829282265771297</v>
      </c>
      <c r="U4" s="5"/>
      <c r="V4" s="5"/>
      <c r="W4" s="5"/>
      <c r="Y4" s="3">
        <v>0</v>
      </c>
      <c r="Z4" s="3">
        <v>0</v>
      </c>
      <c r="AA4" s="3">
        <v>0</v>
      </c>
    </row>
    <row r="5" spans="1:27" x14ac:dyDescent="0.15">
      <c r="A5" s="8">
        <f t="shared" ref="A5:A50" si="10">EOMONTH(A4,3)</f>
        <v>42277</v>
      </c>
      <c r="B5" s="6">
        <f ca="1">INDEX(Dados!$I:$N,MATCH($A5,Dados!$A:$A,0),MATCH(B$2,Dados!$I$2:$N$2,0))</f>
        <v>-0.75065261529536631</v>
      </c>
      <c r="C5" s="5"/>
      <c r="D5" s="5"/>
      <c r="E5" s="5"/>
      <c r="G5" s="3">
        <v>0</v>
      </c>
      <c r="H5" s="3">
        <v>0</v>
      </c>
      <c r="I5" s="3">
        <v>0</v>
      </c>
      <c r="K5" s="6">
        <f ca="1">INDEX(Dados!$I:$N,MATCH($A5,Dados!$A:$A,0),MATCH(K$2,Dados!$I$2:$N$2,0))</f>
        <v>-1.7464586240579894</v>
      </c>
      <c r="L5" s="5"/>
      <c r="M5" s="5"/>
      <c r="N5" s="5"/>
      <c r="P5" s="3">
        <v>0</v>
      </c>
      <c r="Q5" s="3">
        <v>0</v>
      </c>
      <c r="R5" s="3">
        <v>0</v>
      </c>
      <c r="T5" s="6">
        <f ca="1">INDEX(Dados!$I:$N,MATCH($A5,Dados!$A:$A,0),MATCH(T$2,Dados!$I$2:$N$2,0))</f>
        <v>-1.0818503065371354</v>
      </c>
      <c r="U5" s="5"/>
      <c r="V5" s="5"/>
      <c r="W5" s="5"/>
      <c r="Y5" s="3">
        <v>0</v>
      </c>
      <c r="Z5" s="3">
        <v>0</v>
      </c>
      <c r="AA5" s="3">
        <v>0</v>
      </c>
    </row>
    <row r="6" spans="1:27" x14ac:dyDescent="0.15">
      <c r="A6" s="8">
        <f t="shared" si="10"/>
        <v>42369</v>
      </c>
      <c r="B6" s="6">
        <f ca="1">INDEX(Dados!$I:$N,MATCH($A6,Dados!$A:$A,0),MATCH(B$2,Dados!$I$2:$N$2,0))</f>
        <v>2.184433863011126</v>
      </c>
      <c r="C6" s="19">
        <f ca="1">INDEX(Modelos!$AY$30:$BG$45,MATCH(Projeçao!C$2,Modelos!$AZ$49:$AZ$64,0),MATCH("β1",Modelos!$AY$30:$BG$30,0))*$B5+INDEX(Modelos!$AY$30:$BG$45,MATCH(Projeçao!C$2,Modelos!$AZ$49:$AZ$64,0),MATCH("β2",Modelos!$AY$30:$BG$30,0))*$B4+INDEX(Modelos!$AY$30:$BG$45,MATCH(Projeçao!C$2,Modelos!$AZ$49:$AZ$64,0),MATCH("β3",Modelos!$AY$30:$BG$30,0))*$B3+INDEX(Modelos!$AY$30:$BG$45,MATCH(Projeçao!C$2,Modelos!$AZ$49:$AZ$64,0),MATCH("θ1",Modelos!$AY$30:$BG$30,0))*G5+INDEX(Modelos!$AY$30:$BG$45,MATCH(Projeçao!C$2,Modelos!$AZ$49:$AZ$64,0),MATCH("θ2",Modelos!$AY$30:$BG$30,0))*G4+INDEX(Modelos!$AY$30:$BG$45,MATCH(Projeçao!C$2,Modelos!$AZ$49:$AZ$64,0),MATCH("θ3",Modelos!$AY$30:$BG$30,0))*G3+INDEX(Modelos!$AY$30:$BG$45,MATCH(Projeçao!C$2,Modelos!$AZ$49:$AZ$64,0),MATCH("c",Modelos!$AY$30:$BG$30,0))</f>
        <v>2.7838364657786707</v>
      </c>
      <c r="D6" s="19">
        <f ca="1">INDEX(Modelos!$AY$30:$BG$45,MATCH(Projeçao!D$2,Modelos!$AZ$49:$AZ$64,0),MATCH("β1",Modelos!$AY$30:$BG$30,0))*$B5+INDEX(Modelos!$AY$30:$BG$45,MATCH(Projeçao!D$2,Modelos!$AZ$49:$AZ$64,0),MATCH("β2",Modelos!$AY$30:$BG$30,0))*$B4+INDEX(Modelos!$AY$30:$BG$45,MATCH(Projeçao!D$2,Modelos!$AZ$49:$AZ$64,0),MATCH("β3",Modelos!$AY$30:$BG$30,0))*$B3+INDEX(Modelos!$AY$30:$BG$45,MATCH(Projeçao!D$2,Modelos!$AZ$49:$AZ$64,0),MATCH("θ1",Modelos!$AY$30:$BG$30,0))*H5+INDEX(Modelos!$AY$30:$BG$45,MATCH(Projeçao!D$2,Modelos!$AZ$49:$AZ$64,0),MATCH("θ2",Modelos!$AY$30:$BG$30,0))*H4+INDEX(Modelos!$AY$30:$BG$45,MATCH(Projeçao!D$2,Modelos!$AZ$49:$AZ$64,0),MATCH("θ3",Modelos!$AY$30:$BG$30,0))*H3+INDEX(Modelos!$AY$30:$BG$45,MATCH(Projeçao!D$2,Modelos!$AZ$49:$AZ$64,0),MATCH("c",Modelos!$AY$30:$BG$30,0))</f>
        <v>0.10231644555042624</v>
      </c>
      <c r="E6" s="19">
        <f ca="1">INDEX(Modelos!$AY$30:$BG$45,MATCH(Projeçao!E$2,Modelos!$AZ$49:$AZ$64,0),MATCH("β1",Modelos!$AY$30:$BG$30,0))*$B5+INDEX(Modelos!$AY$30:$BG$45,MATCH(Projeçao!E$2,Modelos!$AZ$49:$AZ$64,0),MATCH("β2",Modelos!$AY$30:$BG$30,0))*$B4+INDEX(Modelos!$AY$30:$BG$45,MATCH(Projeçao!E$2,Modelos!$AZ$49:$AZ$64,0),MATCH("β3",Modelos!$AY$30:$BG$30,0))*$B3+INDEX(Modelos!$AY$30:$BG$45,MATCH(Projeçao!E$2,Modelos!$AZ$49:$AZ$64,0),MATCH("θ1",Modelos!$AY$30:$BG$30,0))*I5+INDEX(Modelos!$AY$30:$BG$45,MATCH(Projeçao!E$2,Modelos!$AZ$49:$AZ$64,0),MATCH("θ2",Modelos!$AY$30:$BG$30,0))*I4+INDEX(Modelos!$AY$30:$BG$45,MATCH(Projeçao!E$2,Modelos!$AZ$49:$AZ$64,0),MATCH("θ3",Modelos!$AY$30:$BG$30,0))*I3+INDEX(Modelos!$AY$30:$BG$45,MATCH(Projeçao!E$2,Modelos!$AZ$49:$AZ$64,0),MATCH("c",Modelos!$AY$30:$BG$30,0))</f>
        <v>1.2891317670613689</v>
      </c>
      <c r="G6" s="6">
        <f ca="1">$B6-C6</f>
        <v>-0.59940260276754476</v>
      </c>
      <c r="H6" s="6">
        <f t="shared" ref="H6:H23" ca="1" si="11">$B6-D6</f>
        <v>2.0821174174606996</v>
      </c>
      <c r="I6" s="6">
        <f t="shared" ref="I6:I23" ca="1" si="12">$B6-E6</f>
        <v>0.89530209594975707</v>
      </c>
      <c r="K6" s="6">
        <f ca="1">INDEX(Dados!$I:$N,MATCH($A6,Dados!$A:$A,0),MATCH(K$2,Dados!$I$2:$N$2,0))</f>
        <v>-1.7618192635497576</v>
      </c>
      <c r="L6" s="6">
        <f ca="1">INDEX(Modelos!$AY$49:$BG$64,MATCH(Projeçao!L$2,Modelos!$AZ$49:$AZ$64,0),MATCH("β1",Modelos!$AY$49:$BG$49,0))*$K5+INDEX(Modelos!$AY$49:$BG$64,MATCH(Projeçao!L$2,Modelos!$AZ$49:$AZ$64,0),MATCH("β2",Modelos!$AY$49:$BG$49,0))*$K4+INDEX(Modelos!$AY$49:$BG$64,MATCH(Projeçao!L$2,Modelos!$AZ$49:$AZ$64,0),MATCH("β3",Modelos!$AY$49:$BG$49,0))*$K3+INDEX(Modelos!$AY$49:$BG$64,MATCH(Projeçao!L$2,Modelos!$AZ$49:$AZ$64,0),MATCH("θ1",Modelos!$AY$49:$BG$49,0))*P5+INDEX(Modelos!$AY$49:$BG$64,MATCH(Projeçao!L$2,Modelos!$AZ$49:$AZ$64,0),MATCH("θ2",Modelos!$AY$49:$BG$49,0))*P4+INDEX(Modelos!$AY$49:$BG$64,MATCH(Projeçao!L$2,Modelos!$AZ$49:$AZ$64,0),MATCH("θ3",Modelos!$AY$49:$BG$49,0))*P3+INDEX(Modelos!$AY$49:$BG$64,MATCH(Projeçao!L$2,Modelos!$AZ$49:$AZ$64,0),MATCH("c",Modelos!$AY$49:$BG$49,0))</f>
        <v>0.25551045166171038</v>
      </c>
      <c r="M6" s="6">
        <f ca="1">INDEX(Modelos!$AY$49:$BG$64,MATCH(Projeçao!M$2,Modelos!$AZ$49:$AZ$64,0),MATCH("β1",Modelos!$AY$49:$BG$49,0))*$K5+INDEX(Modelos!$AY$49:$BG$64,MATCH(Projeçao!M$2,Modelos!$AZ$49:$AZ$64,0),MATCH("β2",Modelos!$AY$49:$BG$49,0))*$K4+INDEX(Modelos!$AY$49:$BG$64,MATCH(Projeçao!M$2,Modelos!$AZ$49:$AZ$64,0),MATCH("β3",Modelos!$AY$49:$BG$49,0))*$K3+INDEX(Modelos!$AY$49:$BG$64,MATCH(Projeçao!M$2,Modelos!$AZ$49:$AZ$64,0),MATCH("θ1",Modelos!$AY$49:$BG$49,0))*Q5+INDEX(Modelos!$AY$49:$BG$64,MATCH(Projeçao!M$2,Modelos!$AZ$49:$AZ$64,0),MATCH("θ2",Modelos!$AY$49:$BG$49,0))*Q4+INDEX(Modelos!$AY$49:$BG$64,MATCH(Projeçao!M$2,Modelos!$AZ$49:$AZ$64,0),MATCH("θ3",Modelos!$AY$49:$BG$49,0))*Q3+INDEX(Modelos!$AY$49:$BG$64,MATCH(Projeçao!M$2,Modelos!$AZ$49:$AZ$64,0),MATCH("c",Modelos!$AY$49:$BG$49,0))</f>
        <v>0.20096413153869644</v>
      </c>
      <c r="N6" s="6">
        <f ca="1">INDEX(Modelos!$AY$49:$BG$64,MATCH(Projeçao!N$2,Modelos!$AZ$49:$AZ$64,0),MATCH("β1",Modelos!$AY$49:$BG$49,0))*$K5+INDEX(Modelos!$AY$49:$BG$64,MATCH(Projeçao!N$2,Modelos!$AZ$49:$AZ$64,0),MATCH("β2",Modelos!$AY$49:$BG$49,0))*$K4+INDEX(Modelos!$AY$49:$BG$64,MATCH(Projeçao!N$2,Modelos!$AZ$49:$AZ$64,0),MATCH("β3",Modelos!$AY$49:$BG$49,0))*$K3+INDEX(Modelos!$AY$49:$BG$64,MATCH(Projeçao!N$2,Modelos!$AZ$49:$AZ$64,0),MATCH("θ1",Modelos!$AY$49:$BG$49,0))*R5+INDEX(Modelos!$AY$49:$BG$64,MATCH(Projeçao!N$2,Modelos!$AZ$49:$AZ$64,0),MATCH("θ2",Modelos!$AY$49:$BG$49,0))*R4+INDEX(Modelos!$AY$49:$BG$64,MATCH(Projeçao!N$2,Modelos!$AZ$49:$AZ$64,0),MATCH("θ3",Modelos!$AY$49:$BG$49,0))*R3+INDEX(Modelos!$AY$49:$BG$64,MATCH(Projeçao!N$2,Modelos!$AZ$49:$AZ$64,0),MATCH("c",Modelos!$AY$49:$BG$49,0))</f>
        <v>0.43397327825825954</v>
      </c>
      <c r="P6" s="6">
        <f ca="1">$K6-L6</f>
        <v>-2.017329715211468</v>
      </c>
      <c r="Q6" s="6">
        <f t="shared" ref="Q6:R6" ca="1" si="13">$K6-M6</f>
        <v>-1.9627833950884541</v>
      </c>
      <c r="R6" s="6">
        <f t="shared" ca="1" si="13"/>
        <v>-2.1957925418080171</v>
      </c>
      <c r="T6" s="6">
        <f ca="1">INDEX(Dados!$I:$N,MATCH($A6,Dados!$A:$A,0),MATCH(T$2,Dados!$I$2:$N$2,0))</f>
        <v>-0.45792565515745398</v>
      </c>
      <c r="U6" s="6">
        <f ca="1">INDEX(Modelos!$AY$68:$BG$83,MATCH(Projeçao!U$2,Modelos!$AZ$68:$AZ$83,0),MATCH("β1",Modelos!$AY$68:$BG$68,0))*$T5+INDEX(Modelos!$AY$68:$BG$83,MATCH(Projeçao!U$2,Modelos!$AZ$68:$AZ$83,0),MATCH("β2",Modelos!$AY$68:$BG$68,0))*$T4+INDEX(Modelos!$AY$68:$BG$83,MATCH(Projeçao!U$2,Modelos!$AZ$68:$AZ$83,0),MATCH("β3",Modelos!$AY$68:$BG$68,0))*$T3+INDEX(Modelos!$AY$68:$BG$83,MATCH(Projeçao!U$2,Modelos!$AZ$68:$AZ$83,0),MATCH("θ1",Modelos!$AY$68:$BG$68,0))*Y5+INDEX(Modelos!$AY$68:$BG$83,MATCH(Projeçao!U$2,Modelos!$AZ$68:$AZ$83,0),MATCH("θ2",Modelos!$AY$68:$BG$68,0))*Y4+INDEX(Modelos!$AY$68:$BG$83,MATCH(Projeçao!U$2,Modelos!$AZ$68:$AZ$83,0),MATCH("θ3",Modelos!$AY$68:$BG$68,0))*Y3+INDEX(Modelos!$AY$68:$BG$83,MATCH(Projeçao!U$2,Modelos!$AZ$68:$AZ$83,0),MATCH("c",Modelos!$AY$68:$BG$68,0))</f>
        <v>0.66157422432238588</v>
      </c>
      <c r="V6" s="6">
        <f ca="1">INDEX(Modelos!$AY$68:$BG$83,MATCH(Projeçao!V$2,Modelos!$AZ$68:$AZ$83,0),MATCH("β1",Modelos!$AY$68:$BG$68,0))*$T5+INDEX(Modelos!$AY$68:$BG$83,MATCH(Projeçao!V$2,Modelos!$AZ$68:$AZ$83,0),MATCH("β2",Modelos!$AY$68:$BG$68,0))*$T4+INDEX(Modelos!$AY$68:$BG$83,MATCH(Projeçao!V$2,Modelos!$AZ$68:$AZ$83,0),MATCH("β3",Modelos!$AY$68:$BG$68,0))*$T3+INDEX(Modelos!$AY$68:$BG$83,MATCH(Projeçao!V$2,Modelos!$AZ$68:$AZ$83,0),MATCH("θ1",Modelos!$AY$68:$BG$68,0))*Z5+INDEX(Modelos!$AY$68:$BG$83,MATCH(Projeçao!V$2,Modelos!$AZ$68:$AZ$83,0),MATCH("θ2",Modelos!$AY$68:$BG$68,0))*Z4+INDEX(Modelos!$AY$68:$BG$83,MATCH(Projeçao!V$2,Modelos!$AZ$68:$AZ$83,0),MATCH("θ3",Modelos!$AY$68:$BG$68,0))*Z3+INDEX(Modelos!$AY$68:$BG$83,MATCH(Projeçao!V$2,Modelos!$AZ$68:$AZ$83,0),MATCH("c",Modelos!$AY$68:$BG$68,0))</f>
        <v>-0.3900420818592425</v>
      </c>
      <c r="W6" s="6">
        <f ca="1">INDEX(Modelos!$AY$68:$BG$83,MATCH(Projeçao!W$2,Modelos!$AZ$68:$AZ$83,0),MATCH("β1",Modelos!$AY$68:$BG$68,0))*$T5+INDEX(Modelos!$AY$68:$BG$83,MATCH(Projeçao!W$2,Modelos!$AZ$68:$AZ$83,0),MATCH("β2",Modelos!$AY$68:$BG$68,0))*$T4+INDEX(Modelos!$AY$68:$BG$83,MATCH(Projeçao!W$2,Modelos!$AZ$68:$AZ$83,0),MATCH("β3",Modelos!$AY$68:$BG$68,0))*$T3+INDEX(Modelos!$AY$68:$BG$83,MATCH(Projeçao!W$2,Modelos!$AZ$68:$AZ$83,0),MATCH("θ1",Modelos!$AY$68:$BG$68,0))*AA5+INDEX(Modelos!$AY$68:$BG$83,MATCH(Projeçao!W$2,Modelos!$AZ$68:$AZ$83,0),MATCH("θ2",Modelos!$AY$68:$BG$68,0))*AA4+INDEX(Modelos!$AY$68:$BG$83,MATCH(Projeçao!W$2,Modelos!$AZ$68:$AZ$83,0),MATCH("θ3",Modelos!$AY$68:$BG$68,0))*AA3+INDEX(Modelos!$AY$68:$BG$83,MATCH(Projeçao!W$2,Modelos!$AZ$68:$AZ$83,0),MATCH("c",Modelos!$AY$68:$BG$68,0))</f>
        <v>1.5801255687189539</v>
      </c>
      <c r="Y6" s="6">
        <f ca="1">$T6-U6</f>
        <v>-1.1194998794798399</v>
      </c>
      <c r="Z6" s="6">
        <f t="shared" ref="Z6:AA6" ca="1" si="14">$T6-V6</f>
        <v>-6.7883573298211486E-2</v>
      </c>
      <c r="AA6" s="6">
        <f t="shared" ca="1" si="14"/>
        <v>-2.0380512238764079</v>
      </c>
    </row>
    <row r="7" spans="1:27" x14ac:dyDescent="0.15">
      <c r="A7" s="8">
        <f t="shared" si="10"/>
        <v>42460</v>
      </c>
      <c r="B7" s="6">
        <f ca="1">INDEX(Dados!$I:$N,MATCH($A7,Dados!$A:$A,0),MATCH(B$2,Dados!$I$2:$N$2,0))</f>
        <v>-7.1203586681774622</v>
      </c>
      <c r="C7" s="19">
        <f ca="1">INDEX(Modelos!$AY$30:$BG$45,MATCH(Projeçao!C$2,Modelos!$AZ$49:$AZ$64,0),MATCH("β1",Modelos!$AY$30:$BG$30,0))*$B6+INDEX(Modelos!$AY$30:$BG$45,MATCH(Projeçao!C$2,Modelos!$AZ$49:$AZ$64,0),MATCH("β2",Modelos!$AY$30:$BG$30,0))*$B5+INDEX(Modelos!$AY$30:$BG$45,MATCH(Projeçao!C$2,Modelos!$AZ$49:$AZ$64,0),MATCH("β3",Modelos!$AY$30:$BG$30,0))*$B4+INDEX(Modelos!$AY$30:$BG$45,MATCH(Projeçao!C$2,Modelos!$AZ$49:$AZ$64,0),MATCH("θ1",Modelos!$AY$30:$BG$30,0))*G6+INDEX(Modelos!$AY$30:$BG$45,MATCH(Projeçao!C$2,Modelos!$AZ$49:$AZ$64,0),MATCH("θ2",Modelos!$AY$30:$BG$30,0))*G5+INDEX(Modelos!$AY$30:$BG$45,MATCH(Projeçao!C$2,Modelos!$AZ$49:$AZ$64,0),MATCH("θ3",Modelos!$AY$30:$BG$30,0))*G4+INDEX(Modelos!$AY$30:$BG$45,MATCH(Projeçao!C$2,Modelos!$AZ$49:$AZ$64,0),MATCH("c",Modelos!$AY$30:$BG$30,0))</f>
        <v>1.1326000283547677</v>
      </c>
      <c r="D7" s="19">
        <f ca="1">INDEX(Modelos!$AY$30:$BG$45,MATCH(Projeçao!D$2,Modelos!$AZ$49:$AZ$64,0),MATCH("β1",Modelos!$AY$30:$BG$30,0))*$B6+INDEX(Modelos!$AY$30:$BG$45,MATCH(Projeçao!D$2,Modelos!$AZ$49:$AZ$64,0),MATCH("β2",Modelos!$AY$30:$BG$30,0))*$B5+INDEX(Modelos!$AY$30:$BG$45,MATCH(Projeçao!D$2,Modelos!$AZ$49:$AZ$64,0),MATCH("β3",Modelos!$AY$30:$BG$30,0))*$B4+INDEX(Modelos!$AY$30:$BG$45,MATCH(Projeçao!D$2,Modelos!$AZ$49:$AZ$64,0),MATCH("θ1",Modelos!$AY$30:$BG$30,0))*H6+INDEX(Modelos!$AY$30:$BG$45,MATCH(Projeçao!D$2,Modelos!$AZ$49:$AZ$64,0),MATCH("θ2",Modelos!$AY$30:$BG$30,0))*H5+INDEX(Modelos!$AY$30:$BG$45,MATCH(Projeçao!D$2,Modelos!$AZ$49:$AZ$64,0),MATCH("θ3",Modelos!$AY$30:$BG$30,0))*H4+INDEX(Modelos!$AY$30:$BG$45,MATCH(Projeçao!D$2,Modelos!$AZ$49:$AZ$64,0),MATCH("c",Modelos!$AY$30:$BG$30,0))</f>
        <v>-0.31415402814898802</v>
      </c>
      <c r="E7" s="19">
        <f ca="1">INDEX(Modelos!$AY$30:$BG$45,MATCH(Projeçao!E$2,Modelos!$AZ$49:$AZ$64,0),MATCH("β1",Modelos!$AY$30:$BG$30,0))*$B6+INDEX(Modelos!$AY$30:$BG$45,MATCH(Projeçao!E$2,Modelos!$AZ$49:$AZ$64,0),MATCH("β2",Modelos!$AY$30:$BG$30,0))*$B5+INDEX(Modelos!$AY$30:$BG$45,MATCH(Projeçao!E$2,Modelos!$AZ$49:$AZ$64,0),MATCH("β3",Modelos!$AY$30:$BG$30,0))*$B4+INDEX(Modelos!$AY$30:$BG$45,MATCH(Projeçao!E$2,Modelos!$AZ$49:$AZ$64,0),MATCH("θ1",Modelos!$AY$30:$BG$30,0))*I6+INDEX(Modelos!$AY$30:$BG$45,MATCH(Projeçao!E$2,Modelos!$AZ$49:$AZ$64,0),MATCH("θ2",Modelos!$AY$30:$BG$30,0))*I5+INDEX(Modelos!$AY$30:$BG$45,MATCH(Projeçao!E$2,Modelos!$AZ$49:$AZ$64,0),MATCH("θ3",Modelos!$AY$30:$BG$30,0))*I4+INDEX(Modelos!$AY$30:$BG$45,MATCH(Projeçao!E$2,Modelos!$AZ$49:$AZ$64,0),MATCH("c",Modelos!$AY$30:$BG$30,0))</f>
        <v>0.25410280482291037</v>
      </c>
      <c r="G7" s="6">
        <f t="shared" ref="G7:G23" ca="1" si="15">$B7-C7</f>
        <v>-8.2529586965322306</v>
      </c>
      <c r="H7" s="6">
        <f t="shared" ca="1" si="11"/>
        <v>-6.8062046400284739</v>
      </c>
      <c r="I7" s="6">
        <f t="shared" ca="1" si="12"/>
        <v>-7.3744614730003724</v>
      </c>
      <c r="K7" s="6">
        <f ca="1">INDEX(Dados!$I:$N,MATCH($A7,Dados!$A:$A,0),MATCH(K$2,Dados!$I$2:$N$2,0))</f>
        <v>-0.28328367170193935</v>
      </c>
      <c r="L7" s="6">
        <f ca="1">INDEX(Modelos!$AY$49:$BG$64,MATCH(Projeçao!L$2,Modelos!$AZ$49:$AZ$64,0),MATCH("β1",Modelos!$AY$49:$BG$49,0))*$K6+INDEX(Modelos!$AY$49:$BG$64,MATCH(Projeçao!L$2,Modelos!$AZ$49:$AZ$64,0),MATCH("β2",Modelos!$AY$49:$BG$49,0))*$K5+INDEX(Modelos!$AY$49:$BG$64,MATCH(Projeçao!L$2,Modelos!$AZ$49:$AZ$64,0),MATCH("β3",Modelos!$AY$49:$BG$49,0))*$K4+INDEX(Modelos!$AY$49:$BG$64,MATCH(Projeçao!L$2,Modelos!$AZ$49:$AZ$64,0),MATCH("θ1",Modelos!$AY$49:$BG$49,0))*P6+INDEX(Modelos!$AY$49:$BG$64,MATCH(Projeçao!L$2,Modelos!$AZ$49:$AZ$64,0),MATCH("θ2",Modelos!$AY$49:$BG$49,0))*P5+INDEX(Modelos!$AY$49:$BG$64,MATCH(Projeçao!L$2,Modelos!$AZ$49:$AZ$64,0),MATCH("θ3",Modelos!$AY$49:$BG$49,0))*P4+INDEX(Modelos!$AY$49:$BG$64,MATCH(Projeçao!L$2,Modelos!$AZ$49:$AZ$64,0),MATCH("c",Modelos!$AY$49:$BG$49,0))</f>
        <v>7.5873224091349528E-2</v>
      </c>
      <c r="M7" s="6">
        <f ca="1">INDEX(Modelos!$AY$49:$BG$64,MATCH(Projeçao!M$2,Modelos!$AZ$49:$AZ$64,0),MATCH("β1",Modelos!$AY$49:$BG$49,0))*$K6+INDEX(Modelos!$AY$49:$BG$64,MATCH(Projeçao!M$2,Modelos!$AZ$49:$AZ$64,0),MATCH("β2",Modelos!$AY$49:$BG$49,0))*$K5+INDEX(Modelos!$AY$49:$BG$64,MATCH(Projeçao!M$2,Modelos!$AZ$49:$AZ$64,0),MATCH("β3",Modelos!$AY$49:$BG$49,0))*$K4+INDEX(Modelos!$AY$49:$BG$64,MATCH(Projeçao!M$2,Modelos!$AZ$49:$AZ$64,0),MATCH("θ1",Modelos!$AY$49:$BG$49,0))*Q6+INDEX(Modelos!$AY$49:$BG$64,MATCH(Projeçao!M$2,Modelos!$AZ$49:$AZ$64,0),MATCH("θ2",Modelos!$AY$49:$BG$49,0))*Q5+INDEX(Modelos!$AY$49:$BG$64,MATCH(Projeçao!M$2,Modelos!$AZ$49:$AZ$64,0),MATCH("θ3",Modelos!$AY$49:$BG$49,0))*Q4+INDEX(Modelos!$AY$49:$BG$64,MATCH(Projeçao!M$2,Modelos!$AZ$49:$AZ$64,0),MATCH("c",Modelos!$AY$49:$BG$49,0))</f>
        <v>-8.6250938630206581E-2</v>
      </c>
      <c r="N7" s="6">
        <f ca="1">INDEX(Modelos!$AY$49:$BG$64,MATCH(Projeçao!N$2,Modelos!$AZ$49:$AZ$64,0),MATCH("β1",Modelos!$AY$49:$BG$49,0))*$K6+INDEX(Modelos!$AY$49:$BG$64,MATCH(Projeçao!N$2,Modelos!$AZ$49:$AZ$64,0),MATCH("β2",Modelos!$AY$49:$BG$49,0))*$K5+INDEX(Modelos!$AY$49:$BG$64,MATCH(Projeçao!N$2,Modelos!$AZ$49:$AZ$64,0),MATCH("β3",Modelos!$AY$49:$BG$49,0))*$K4+INDEX(Modelos!$AY$49:$BG$64,MATCH(Projeçao!N$2,Modelos!$AZ$49:$AZ$64,0),MATCH("θ1",Modelos!$AY$49:$BG$49,0))*R6+INDEX(Modelos!$AY$49:$BG$64,MATCH(Projeçao!N$2,Modelos!$AZ$49:$AZ$64,0),MATCH("θ2",Modelos!$AY$49:$BG$49,0))*R5+INDEX(Modelos!$AY$49:$BG$64,MATCH(Projeçao!N$2,Modelos!$AZ$49:$AZ$64,0),MATCH("θ3",Modelos!$AY$49:$BG$49,0))*R4+INDEX(Modelos!$AY$49:$BG$64,MATCH(Projeçao!N$2,Modelos!$AZ$49:$AZ$64,0),MATCH("c",Modelos!$AY$49:$BG$49,0))</f>
        <v>0.27180089339203989</v>
      </c>
      <c r="P7" s="6">
        <f t="shared" ref="P7:P24" ca="1" si="16">$K7-L7</f>
        <v>-0.35915689579328891</v>
      </c>
      <c r="Q7" s="6">
        <f t="shared" ref="Q7:Q24" ca="1" si="17">$K7-M7</f>
        <v>-0.19703273307173277</v>
      </c>
      <c r="R7" s="6">
        <f t="shared" ref="R7:R24" ca="1" si="18">$K7-N7</f>
        <v>-0.5550845650939793</v>
      </c>
      <c r="T7" s="6">
        <f ca="1">INDEX(Dados!$I:$N,MATCH($A7,Dados!$A:$A,0),MATCH(T$2,Dados!$I$2:$N$2,0))</f>
        <v>-1.0063636496661199</v>
      </c>
      <c r="U7" s="6">
        <f ca="1">INDEX(Modelos!$AY$68:$BG$83,MATCH(Projeçao!U$2,Modelos!$AZ$68:$AZ$83,0),MATCH("β1",Modelos!$AY$68:$BG$68,0))*$T6+INDEX(Modelos!$AY$68:$BG$83,MATCH(Projeçao!U$2,Modelos!$AZ$68:$AZ$83,0),MATCH("β2",Modelos!$AY$68:$BG$68,0))*$T5+INDEX(Modelos!$AY$68:$BG$83,MATCH(Projeçao!U$2,Modelos!$AZ$68:$AZ$83,0),MATCH("β3",Modelos!$AY$68:$BG$68,0))*$T4+INDEX(Modelos!$AY$68:$BG$83,MATCH(Projeçao!U$2,Modelos!$AZ$68:$AZ$83,0),MATCH("θ1",Modelos!$AY$68:$BG$68,0))*Y6+INDEX(Modelos!$AY$68:$BG$83,MATCH(Projeçao!U$2,Modelos!$AZ$68:$AZ$83,0),MATCH("θ2",Modelos!$AY$68:$BG$68,0))*Y5+INDEX(Modelos!$AY$68:$BG$83,MATCH(Projeçao!U$2,Modelos!$AZ$68:$AZ$83,0),MATCH("θ3",Modelos!$AY$68:$BG$68,0))*Y4+INDEX(Modelos!$AY$68:$BG$83,MATCH(Projeçao!U$2,Modelos!$AZ$68:$AZ$83,0),MATCH("c",Modelos!$AY$68:$BG$68,0))</f>
        <v>0.5664065171162781</v>
      </c>
      <c r="V7" s="6">
        <f ca="1">INDEX(Modelos!$AY$68:$BG$83,MATCH(Projeçao!V$2,Modelos!$AZ$68:$AZ$83,0),MATCH("β1",Modelos!$AY$68:$BG$68,0))*$T6+INDEX(Modelos!$AY$68:$BG$83,MATCH(Projeçao!V$2,Modelos!$AZ$68:$AZ$83,0),MATCH("β2",Modelos!$AY$68:$BG$68,0))*$T5+INDEX(Modelos!$AY$68:$BG$83,MATCH(Projeçao!V$2,Modelos!$AZ$68:$AZ$83,0),MATCH("β3",Modelos!$AY$68:$BG$68,0))*$T4+INDEX(Modelos!$AY$68:$BG$83,MATCH(Projeçao!V$2,Modelos!$AZ$68:$AZ$83,0),MATCH("θ1",Modelos!$AY$68:$BG$68,0))*Z6+INDEX(Modelos!$AY$68:$BG$83,MATCH(Projeçao!V$2,Modelos!$AZ$68:$AZ$83,0),MATCH("θ2",Modelos!$AY$68:$BG$68,0))*Z5+INDEX(Modelos!$AY$68:$BG$83,MATCH(Projeçao!V$2,Modelos!$AZ$68:$AZ$83,0),MATCH("θ3",Modelos!$AY$68:$BG$68,0))*Z4+INDEX(Modelos!$AY$68:$BG$83,MATCH(Projeçao!V$2,Modelos!$AZ$68:$AZ$83,0),MATCH("c",Modelos!$AY$68:$BG$68,0))</f>
        <v>0.16728912606096225</v>
      </c>
      <c r="W7" s="6">
        <f ca="1">INDEX(Modelos!$AY$68:$BG$83,MATCH(Projeçao!W$2,Modelos!$AZ$68:$AZ$83,0),MATCH("β1",Modelos!$AY$68:$BG$68,0))*$T6+INDEX(Modelos!$AY$68:$BG$83,MATCH(Projeçao!W$2,Modelos!$AZ$68:$AZ$83,0),MATCH("β2",Modelos!$AY$68:$BG$68,0))*$T5+INDEX(Modelos!$AY$68:$BG$83,MATCH(Projeçao!W$2,Modelos!$AZ$68:$AZ$83,0),MATCH("β3",Modelos!$AY$68:$BG$68,0))*$T4+INDEX(Modelos!$AY$68:$BG$83,MATCH(Projeçao!W$2,Modelos!$AZ$68:$AZ$83,0),MATCH("θ1",Modelos!$AY$68:$BG$68,0))*AA6+INDEX(Modelos!$AY$68:$BG$83,MATCH(Projeçao!W$2,Modelos!$AZ$68:$AZ$83,0),MATCH("θ2",Modelos!$AY$68:$BG$68,0))*AA5+INDEX(Modelos!$AY$68:$BG$83,MATCH(Projeçao!W$2,Modelos!$AZ$68:$AZ$83,0),MATCH("θ3",Modelos!$AY$68:$BG$68,0))*AA4+INDEX(Modelos!$AY$68:$BG$83,MATCH(Projeçao!W$2,Modelos!$AZ$68:$AZ$83,0),MATCH("c",Modelos!$AY$68:$BG$68,0))</f>
        <v>-0.40999296940117236</v>
      </c>
      <c r="Y7" s="6">
        <f t="shared" ref="Y7:Y24" ca="1" si="19">$T7-U7</f>
        <v>-1.5727701667823979</v>
      </c>
      <c r="Z7" s="6">
        <f t="shared" ref="Z7:Z24" ca="1" si="20">$T7-V7</f>
        <v>-1.1736527757270823</v>
      </c>
      <c r="AA7" s="6">
        <f t="shared" ref="AA7:AA24" ca="1" si="21">$T7-W7</f>
        <v>-0.59637068026494755</v>
      </c>
    </row>
    <row r="8" spans="1:27" x14ac:dyDescent="0.15">
      <c r="A8" s="8">
        <f t="shared" si="10"/>
        <v>42551</v>
      </c>
      <c r="B8" s="6">
        <f ca="1">INDEX(Dados!$I:$N,MATCH($A8,Dados!$A:$A,0),MATCH(B$2,Dados!$I$2:$N$2,0))</f>
        <v>7.0030434499535055E-2</v>
      </c>
      <c r="C8" s="19">
        <f ca="1">INDEX(Modelos!$AY$30:$BG$45,MATCH(Projeçao!C$2,Modelos!$AZ$49:$AZ$64,0),MATCH("β1",Modelos!$AY$30:$BG$30,0))*$B7+INDEX(Modelos!$AY$30:$BG$45,MATCH(Projeçao!C$2,Modelos!$AZ$49:$AZ$64,0),MATCH("β2",Modelos!$AY$30:$BG$30,0))*$B6+INDEX(Modelos!$AY$30:$BG$45,MATCH(Projeçao!C$2,Modelos!$AZ$49:$AZ$64,0),MATCH("β3",Modelos!$AY$30:$BG$30,0))*$B5+INDEX(Modelos!$AY$30:$BG$45,MATCH(Projeçao!C$2,Modelos!$AZ$49:$AZ$64,0),MATCH("θ1",Modelos!$AY$30:$BG$30,0))*G7+INDEX(Modelos!$AY$30:$BG$45,MATCH(Projeçao!C$2,Modelos!$AZ$49:$AZ$64,0),MATCH("θ2",Modelos!$AY$30:$BG$30,0))*G6+INDEX(Modelos!$AY$30:$BG$45,MATCH(Projeçao!C$2,Modelos!$AZ$49:$AZ$64,0),MATCH("θ3",Modelos!$AY$30:$BG$30,0))*G5+INDEX(Modelos!$AY$30:$BG$45,MATCH(Projeçao!C$2,Modelos!$AZ$49:$AZ$64,0),MATCH("c",Modelos!$AY$30:$BG$30,0))</f>
        <v>0.31640007216791921</v>
      </c>
      <c r="D8" s="19">
        <f ca="1">INDEX(Modelos!$AY$30:$BG$45,MATCH(Projeçao!D$2,Modelos!$AZ$49:$AZ$64,0),MATCH("β1",Modelos!$AY$30:$BG$30,0))*$B7+INDEX(Modelos!$AY$30:$BG$45,MATCH(Projeçao!D$2,Modelos!$AZ$49:$AZ$64,0),MATCH("β2",Modelos!$AY$30:$BG$30,0))*$B6+INDEX(Modelos!$AY$30:$BG$45,MATCH(Projeçao!D$2,Modelos!$AZ$49:$AZ$64,0),MATCH("β3",Modelos!$AY$30:$BG$30,0))*$B5+INDEX(Modelos!$AY$30:$BG$45,MATCH(Projeçao!D$2,Modelos!$AZ$49:$AZ$64,0),MATCH("θ1",Modelos!$AY$30:$BG$30,0))*H7+INDEX(Modelos!$AY$30:$BG$45,MATCH(Projeçao!D$2,Modelos!$AZ$49:$AZ$64,0),MATCH("θ2",Modelos!$AY$30:$BG$30,0))*H6+INDEX(Modelos!$AY$30:$BG$45,MATCH(Projeçao!D$2,Modelos!$AZ$49:$AZ$64,0),MATCH("θ3",Modelos!$AY$30:$BG$30,0))*H5+INDEX(Modelos!$AY$30:$BG$45,MATCH(Projeçao!D$2,Modelos!$AZ$49:$AZ$64,0),MATCH("c",Modelos!$AY$30:$BG$30,0))</f>
        <v>-0.41373717671644045</v>
      </c>
      <c r="E8" s="19">
        <f ca="1">INDEX(Modelos!$AY$30:$BG$45,MATCH(Projeçao!E$2,Modelos!$AZ$49:$AZ$64,0),MATCH("β1",Modelos!$AY$30:$BG$30,0))*$B7+INDEX(Modelos!$AY$30:$BG$45,MATCH(Projeçao!E$2,Modelos!$AZ$49:$AZ$64,0),MATCH("β2",Modelos!$AY$30:$BG$30,0))*$B6+INDEX(Modelos!$AY$30:$BG$45,MATCH(Projeçao!E$2,Modelos!$AZ$49:$AZ$64,0),MATCH("β3",Modelos!$AY$30:$BG$30,0))*$B5+INDEX(Modelos!$AY$30:$BG$45,MATCH(Projeçao!E$2,Modelos!$AZ$49:$AZ$64,0),MATCH("θ1",Modelos!$AY$30:$BG$30,0))*I7+INDEX(Modelos!$AY$30:$BG$45,MATCH(Projeçao!E$2,Modelos!$AZ$49:$AZ$64,0),MATCH("θ2",Modelos!$AY$30:$BG$30,0))*I6+INDEX(Modelos!$AY$30:$BG$45,MATCH(Projeçao!E$2,Modelos!$AZ$49:$AZ$64,0),MATCH("θ3",Modelos!$AY$30:$BG$30,0))*I5+INDEX(Modelos!$AY$30:$BG$45,MATCH(Projeçao!E$2,Modelos!$AZ$49:$AZ$64,0),MATCH("c",Modelos!$AY$30:$BG$30,0))</f>
        <v>4.6249570330477834</v>
      </c>
      <c r="G8" s="6">
        <f t="shared" ca="1" si="15"/>
        <v>-0.24636963766838416</v>
      </c>
      <c r="H8" s="6">
        <f t="shared" ca="1" si="11"/>
        <v>0.4837676112159755</v>
      </c>
      <c r="I8" s="6">
        <f t="shared" ca="1" si="12"/>
        <v>-4.5549265985482483</v>
      </c>
      <c r="K8" s="6">
        <f ca="1">INDEX(Dados!$I:$N,MATCH($A8,Dados!$A:$A,0),MATCH(K$2,Dados!$I$2:$N$2,0))</f>
        <v>-0.48688500446166794</v>
      </c>
      <c r="L8" s="6">
        <f ca="1">INDEX(Modelos!$AY$49:$BG$64,MATCH(Projeçao!L$2,Modelos!$AZ$49:$AZ$64,0),MATCH("β1",Modelos!$AY$49:$BG$49,0))*$K7+INDEX(Modelos!$AY$49:$BG$64,MATCH(Projeçao!L$2,Modelos!$AZ$49:$AZ$64,0),MATCH("β2",Modelos!$AY$49:$BG$49,0))*$K6+INDEX(Modelos!$AY$49:$BG$64,MATCH(Projeçao!L$2,Modelos!$AZ$49:$AZ$64,0),MATCH("β3",Modelos!$AY$49:$BG$49,0))*$K5+INDEX(Modelos!$AY$49:$BG$64,MATCH(Projeçao!L$2,Modelos!$AZ$49:$AZ$64,0),MATCH("θ1",Modelos!$AY$49:$BG$49,0))*P7+INDEX(Modelos!$AY$49:$BG$64,MATCH(Projeçao!L$2,Modelos!$AZ$49:$AZ$64,0),MATCH("θ2",Modelos!$AY$49:$BG$49,0))*P6+INDEX(Modelos!$AY$49:$BG$64,MATCH(Projeçao!L$2,Modelos!$AZ$49:$AZ$64,0),MATCH("θ3",Modelos!$AY$49:$BG$49,0))*P5+INDEX(Modelos!$AY$49:$BG$64,MATCH(Projeçao!L$2,Modelos!$AZ$49:$AZ$64,0),MATCH("c",Modelos!$AY$49:$BG$49,0))</f>
        <v>0.44714503696396402</v>
      </c>
      <c r="M8" s="6">
        <f ca="1">INDEX(Modelos!$AY$49:$BG$64,MATCH(Projeçao!M$2,Modelos!$AZ$49:$AZ$64,0),MATCH("β1",Modelos!$AY$49:$BG$49,0))*$K7+INDEX(Modelos!$AY$49:$BG$64,MATCH(Projeçao!M$2,Modelos!$AZ$49:$AZ$64,0),MATCH("β2",Modelos!$AY$49:$BG$49,0))*$K6+INDEX(Modelos!$AY$49:$BG$64,MATCH(Projeçao!M$2,Modelos!$AZ$49:$AZ$64,0),MATCH("β3",Modelos!$AY$49:$BG$49,0))*$K5+INDEX(Modelos!$AY$49:$BG$64,MATCH(Projeçao!M$2,Modelos!$AZ$49:$AZ$64,0),MATCH("θ1",Modelos!$AY$49:$BG$49,0))*Q7+INDEX(Modelos!$AY$49:$BG$64,MATCH(Projeçao!M$2,Modelos!$AZ$49:$AZ$64,0),MATCH("θ2",Modelos!$AY$49:$BG$49,0))*Q6+INDEX(Modelos!$AY$49:$BG$64,MATCH(Projeçao!M$2,Modelos!$AZ$49:$AZ$64,0),MATCH("θ3",Modelos!$AY$49:$BG$49,0))*Q5+INDEX(Modelos!$AY$49:$BG$64,MATCH(Projeçao!M$2,Modelos!$AZ$49:$AZ$64,0),MATCH("c",Modelos!$AY$49:$BG$49,0))</f>
        <v>-0.2853013285467928</v>
      </c>
      <c r="N8" s="6">
        <f ca="1">INDEX(Modelos!$AY$49:$BG$64,MATCH(Projeçao!N$2,Modelos!$AZ$49:$AZ$64,0),MATCH("β1",Modelos!$AY$49:$BG$49,0))*$K7+INDEX(Modelos!$AY$49:$BG$64,MATCH(Projeçao!N$2,Modelos!$AZ$49:$AZ$64,0),MATCH("β2",Modelos!$AY$49:$BG$49,0))*$K6+INDEX(Modelos!$AY$49:$BG$64,MATCH(Projeçao!N$2,Modelos!$AZ$49:$AZ$64,0),MATCH("β3",Modelos!$AY$49:$BG$49,0))*$K5+INDEX(Modelos!$AY$49:$BG$64,MATCH(Projeçao!N$2,Modelos!$AZ$49:$AZ$64,0),MATCH("θ1",Modelos!$AY$49:$BG$49,0))*R7+INDEX(Modelos!$AY$49:$BG$64,MATCH(Projeçao!N$2,Modelos!$AZ$49:$AZ$64,0),MATCH("θ2",Modelos!$AY$49:$BG$49,0))*R6+INDEX(Modelos!$AY$49:$BG$64,MATCH(Projeçao!N$2,Modelos!$AZ$49:$AZ$64,0),MATCH("θ3",Modelos!$AY$49:$BG$49,0))*R5+INDEX(Modelos!$AY$49:$BG$64,MATCH(Projeçao!N$2,Modelos!$AZ$49:$AZ$64,0),MATCH("c",Modelos!$AY$49:$BG$49,0))</f>
        <v>0.17655493900358646</v>
      </c>
      <c r="P8" s="6">
        <f t="shared" ca="1" si="16"/>
        <v>-0.93403004142563195</v>
      </c>
      <c r="Q8" s="6">
        <f t="shared" ca="1" si="17"/>
        <v>-0.20158367591487514</v>
      </c>
      <c r="R8" s="6">
        <f t="shared" ca="1" si="18"/>
        <v>-0.66343994346525437</v>
      </c>
      <c r="T8" s="6">
        <f ca="1">INDEX(Dados!$I:$N,MATCH($A8,Dados!$A:$A,0),MATCH(T$2,Dados!$I$2:$N$2,0))</f>
        <v>0.43580229947193239</v>
      </c>
      <c r="U8" s="6">
        <f ca="1">INDEX(Modelos!$AY$68:$BG$83,MATCH(Projeçao!U$2,Modelos!$AZ$68:$AZ$83,0),MATCH("β1",Modelos!$AY$68:$BG$68,0))*$T7+INDEX(Modelos!$AY$68:$BG$83,MATCH(Projeçao!U$2,Modelos!$AZ$68:$AZ$83,0),MATCH("β2",Modelos!$AY$68:$BG$68,0))*$T6+INDEX(Modelos!$AY$68:$BG$83,MATCH(Projeçao!U$2,Modelos!$AZ$68:$AZ$83,0),MATCH("β3",Modelos!$AY$68:$BG$68,0))*$T5+INDEX(Modelos!$AY$68:$BG$83,MATCH(Projeçao!U$2,Modelos!$AZ$68:$AZ$83,0),MATCH("θ1",Modelos!$AY$68:$BG$68,0))*Y7+INDEX(Modelos!$AY$68:$BG$83,MATCH(Projeçao!U$2,Modelos!$AZ$68:$AZ$83,0),MATCH("θ2",Modelos!$AY$68:$BG$68,0))*Y6+INDEX(Modelos!$AY$68:$BG$83,MATCH(Projeçao!U$2,Modelos!$AZ$68:$AZ$83,0),MATCH("θ3",Modelos!$AY$68:$BG$68,0))*Y5+INDEX(Modelos!$AY$68:$BG$83,MATCH(Projeçao!U$2,Modelos!$AZ$68:$AZ$83,0),MATCH("c",Modelos!$AY$68:$BG$68,0))</f>
        <v>0.30051789344857238</v>
      </c>
      <c r="V8" s="6">
        <f ca="1">INDEX(Modelos!$AY$68:$BG$83,MATCH(Projeçao!V$2,Modelos!$AZ$68:$AZ$83,0),MATCH("β1",Modelos!$AY$68:$BG$68,0))*$T7+INDEX(Modelos!$AY$68:$BG$83,MATCH(Projeçao!V$2,Modelos!$AZ$68:$AZ$83,0),MATCH("β2",Modelos!$AY$68:$BG$68,0))*$T6+INDEX(Modelos!$AY$68:$BG$83,MATCH(Projeçao!V$2,Modelos!$AZ$68:$AZ$83,0),MATCH("β3",Modelos!$AY$68:$BG$68,0))*$T5+INDEX(Modelos!$AY$68:$BG$83,MATCH(Projeçao!V$2,Modelos!$AZ$68:$AZ$83,0),MATCH("θ1",Modelos!$AY$68:$BG$68,0))*Z7+INDEX(Modelos!$AY$68:$BG$83,MATCH(Projeçao!V$2,Modelos!$AZ$68:$AZ$83,0),MATCH("θ2",Modelos!$AY$68:$BG$68,0))*Z6+INDEX(Modelos!$AY$68:$BG$83,MATCH(Projeçao!V$2,Modelos!$AZ$68:$AZ$83,0),MATCH("θ3",Modelos!$AY$68:$BG$68,0))*Z5+INDEX(Modelos!$AY$68:$BG$83,MATCH(Projeçao!V$2,Modelos!$AZ$68:$AZ$83,0),MATCH("c",Modelos!$AY$68:$BG$68,0))</f>
        <v>-0.410878126012029</v>
      </c>
      <c r="W8" s="6">
        <f ca="1">INDEX(Modelos!$AY$68:$BG$83,MATCH(Projeçao!W$2,Modelos!$AZ$68:$AZ$83,0),MATCH("β1",Modelos!$AY$68:$BG$68,0))*$T7+INDEX(Modelos!$AY$68:$BG$83,MATCH(Projeçao!W$2,Modelos!$AZ$68:$AZ$83,0),MATCH("β2",Modelos!$AY$68:$BG$68,0))*$T6+INDEX(Modelos!$AY$68:$BG$83,MATCH(Projeçao!W$2,Modelos!$AZ$68:$AZ$83,0),MATCH("β3",Modelos!$AY$68:$BG$68,0))*$T5+INDEX(Modelos!$AY$68:$BG$83,MATCH(Projeçao!W$2,Modelos!$AZ$68:$AZ$83,0),MATCH("θ1",Modelos!$AY$68:$BG$68,0))*AA7+INDEX(Modelos!$AY$68:$BG$83,MATCH(Projeçao!W$2,Modelos!$AZ$68:$AZ$83,0),MATCH("θ2",Modelos!$AY$68:$BG$68,0))*AA6+INDEX(Modelos!$AY$68:$BG$83,MATCH(Projeçao!W$2,Modelos!$AZ$68:$AZ$83,0),MATCH("θ3",Modelos!$AY$68:$BG$68,0))*AA5+INDEX(Modelos!$AY$68:$BG$83,MATCH(Projeçao!W$2,Modelos!$AZ$68:$AZ$83,0),MATCH("c",Modelos!$AY$68:$BG$68,0))</f>
        <v>0.29458212018348995</v>
      </c>
      <c r="Y8" s="6">
        <f t="shared" ca="1" si="19"/>
        <v>0.13528440602336</v>
      </c>
      <c r="Z8" s="6">
        <f t="shared" ca="1" si="20"/>
        <v>0.84668042548396139</v>
      </c>
      <c r="AA8" s="6">
        <f t="shared" ca="1" si="21"/>
        <v>0.14122017928844244</v>
      </c>
    </row>
    <row r="9" spans="1:27" x14ac:dyDescent="0.15">
      <c r="A9" s="8">
        <f t="shared" si="10"/>
        <v>42643</v>
      </c>
      <c r="B9" s="6">
        <f ca="1">INDEX(Dados!$I:$N,MATCH($A9,Dados!$A:$A,0),MATCH(B$2,Dados!$I$2:$N$2,0))</f>
        <v>1.6812539452468744</v>
      </c>
      <c r="C9" s="19">
        <f ca="1">INDEX(Modelos!$AY$30:$BG$45,MATCH(Projeçao!C$2,Modelos!$AZ$49:$AZ$64,0),MATCH("β1",Modelos!$AY$30:$BG$30,0))*$B8+INDEX(Modelos!$AY$30:$BG$45,MATCH(Projeçao!C$2,Modelos!$AZ$49:$AZ$64,0),MATCH("β2",Modelos!$AY$30:$BG$30,0))*$B7+INDEX(Modelos!$AY$30:$BG$45,MATCH(Projeçao!C$2,Modelos!$AZ$49:$AZ$64,0),MATCH("β3",Modelos!$AY$30:$BG$30,0))*$B6+INDEX(Modelos!$AY$30:$BG$45,MATCH(Projeçao!C$2,Modelos!$AZ$49:$AZ$64,0),MATCH("θ1",Modelos!$AY$30:$BG$30,0))*G8+INDEX(Modelos!$AY$30:$BG$45,MATCH(Projeçao!C$2,Modelos!$AZ$49:$AZ$64,0),MATCH("θ2",Modelos!$AY$30:$BG$30,0))*G7+INDEX(Modelos!$AY$30:$BG$45,MATCH(Projeçao!C$2,Modelos!$AZ$49:$AZ$64,0),MATCH("θ3",Modelos!$AY$30:$BG$30,0))*G6+INDEX(Modelos!$AY$30:$BG$45,MATCH(Projeçao!C$2,Modelos!$AZ$49:$AZ$64,0),MATCH("c",Modelos!$AY$30:$BG$30,0))</f>
        <v>6.3633107145248191</v>
      </c>
      <c r="D9" s="19">
        <f ca="1">INDEX(Modelos!$AY$30:$BG$45,MATCH(Projeçao!D$2,Modelos!$AZ$49:$AZ$64,0),MATCH("β1",Modelos!$AY$30:$BG$30,0))*$B8+INDEX(Modelos!$AY$30:$BG$45,MATCH(Projeçao!D$2,Modelos!$AZ$49:$AZ$64,0),MATCH("β2",Modelos!$AY$30:$BG$30,0))*$B7+INDEX(Modelos!$AY$30:$BG$45,MATCH(Projeçao!D$2,Modelos!$AZ$49:$AZ$64,0),MATCH("β3",Modelos!$AY$30:$BG$30,0))*$B6+INDEX(Modelos!$AY$30:$BG$45,MATCH(Projeçao!D$2,Modelos!$AZ$49:$AZ$64,0),MATCH("θ1",Modelos!$AY$30:$BG$30,0))*H8+INDEX(Modelos!$AY$30:$BG$45,MATCH(Projeçao!D$2,Modelos!$AZ$49:$AZ$64,0),MATCH("θ2",Modelos!$AY$30:$BG$30,0))*H7+INDEX(Modelos!$AY$30:$BG$45,MATCH(Projeçao!D$2,Modelos!$AZ$49:$AZ$64,0),MATCH("θ3",Modelos!$AY$30:$BG$30,0))*H6+INDEX(Modelos!$AY$30:$BG$45,MATCH(Projeçao!D$2,Modelos!$AZ$49:$AZ$64,0),MATCH("c",Modelos!$AY$30:$BG$30,0))</f>
        <v>-0.10306737983696851</v>
      </c>
      <c r="E9" s="19">
        <f ca="1">INDEX(Modelos!$AY$30:$BG$45,MATCH(Projeçao!E$2,Modelos!$AZ$49:$AZ$64,0),MATCH("β1",Modelos!$AY$30:$BG$30,0))*$B8+INDEX(Modelos!$AY$30:$BG$45,MATCH(Projeçao!E$2,Modelos!$AZ$49:$AZ$64,0),MATCH("β2",Modelos!$AY$30:$BG$30,0))*$B7+INDEX(Modelos!$AY$30:$BG$45,MATCH(Projeçao!E$2,Modelos!$AZ$49:$AZ$64,0),MATCH("β3",Modelos!$AY$30:$BG$30,0))*$B6+INDEX(Modelos!$AY$30:$BG$45,MATCH(Projeçao!E$2,Modelos!$AZ$49:$AZ$64,0),MATCH("θ1",Modelos!$AY$30:$BG$30,0))*I8+INDEX(Modelos!$AY$30:$BG$45,MATCH(Projeçao!E$2,Modelos!$AZ$49:$AZ$64,0),MATCH("θ2",Modelos!$AY$30:$BG$30,0))*I7+INDEX(Modelos!$AY$30:$BG$45,MATCH(Projeçao!E$2,Modelos!$AZ$49:$AZ$64,0),MATCH("θ3",Modelos!$AY$30:$BG$30,0))*I6+INDEX(Modelos!$AY$30:$BG$45,MATCH(Projeçao!E$2,Modelos!$AZ$49:$AZ$64,0),MATCH("c",Modelos!$AY$30:$BG$30,0))</f>
        <v>4.4670758112668105</v>
      </c>
      <c r="G9" s="6">
        <f t="shared" ca="1" si="15"/>
        <v>-4.6820567692779447</v>
      </c>
      <c r="H9" s="6">
        <f t="shared" ca="1" si="11"/>
        <v>1.784321325083843</v>
      </c>
      <c r="I9" s="6">
        <f t="shared" ca="1" si="12"/>
        <v>-2.7858218660199361</v>
      </c>
      <c r="K9" s="6">
        <f ca="1">INDEX(Dados!$I:$N,MATCH($A9,Dados!$A:$A,0),MATCH(K$2,Dados!$I$2:$N$2,0))</f>
        <v>-1.0528965719376449</v>
      </c>
      <c r="L9" s="6">
        <f ca="1">INDEX(Modelos!$AY$49:$BG$64,MATCH(Projeçao!L$2,Modelos!$AZ$49:$AZ$64,0),MATCH("β1",Modelos!$AY$49:$BG$49,0))*$K8+INDEX(Modelos!$AY$49:$BG$64,MATCH(Projeçao!L$2,Modelos!$AZ$49:$AZ$64,0),MATCH("β2",Modelos!$AY$49:$BG$49,0))*$K7+INDEX(Modelos!$AY$49:$BG$64,MATCH(Projeçao!L$2,Modelos!$AZ$49:$AZ$64,0),MATCH("β3",Modelos!$AY$49:$BG$49,0))*$K6+INDEX(Modelos!$AY$49:$BG$64,MATCH(Projeçao!L$2,Modelos!$AZ$49:$AZ$64,0),MATCH("θ1",Modelos!$AY$49:$BG$49,0))*P8+INDEX(Modelos!$AY$49:$BG$64,MATCH(Projeçao!L$2,Modelos!$AZ$49:$AZ$64,0),MATCH("θ2",Modelos!$AY$49:$BG$49,0))*P7+INDEX(Modelos!$AY$49:$BG$64,MATCH(Projeçao!L$2,Modelos!$AZ$49:$AZ$64,0),MATCH("θ3",Modelos!$AY$49:$BG$49,0))*P6+INDEX(Modelos!$AY$49:$BG$64,MATCH(Projeçao!L$2,Modelos!$AZ$49:$AZ$64,0),MATCH("c",Modelos!$AY$49:$BG$49,0))</f>
        <v>0.1114164831825693</v>
      </c>
      <c r="M9" s="6">
        <f ca="1">INDEX(Modelos!$AY$49:$BG$64,MATCH(Projeçao!M$2,Modelos!$AZ$49:$AZ$64,0),MATCH("β1",Modelos!$AY$49:$BG$49,0))*$K8+INDEX(Modelos!$AY$49:$BG$64,MATCH(Projeçao!M$2,Modelos!$AZ$49:$AZ$64,0),MATCH("β2",Modelos!$AY$49:$BG$49,0))*$K7+INDEX(Modelos!$AY$49:$BG$64,MATCH(Projeçao!M$2,Modelos!$AZ$49:$AZ$64,0),MATCH("β3",Modelos!$AY$49:$BG$49,0))*$K6+INDEX(Modelos!$AY$49:$BG$64,MATCH(Projeçao!M$2,Modelos!$AZ$49:$AZ$64,0),MATCH("θ1",Modelos!$AY$49:$BG$49,0))*Q8+INDEX(Modelos!$AY$49:$BG$64,MATCH(Projeçao!M$2,Modelos!$AZ$49:$AZ$64,0),MATCH("θ2",Modelos!$AY$49:$BG$49,0))*Q7+INDEX(Modelos!$AY$49:$BG$64,MATCH(Projeçao!M$2,Modelos!$AZ$49:$AZ$64,0),MATCH("θ3",Modelos!$AY$49:$BG$49,0))*Q6+INDEX(Modelos!$AY$49:$BG$64,MATCH(Projeçao!M$2,Modelos!$AZ$49:$AZ$64,0),MATCH("c",Modelos!$AY$49:$BG$49,0))</f>
        <v>8.9598282629523907E-2</v>
      </c>
      <c r="N9" s="6">
        <f ca="1">INDEX(Modelos!$AY$49:$BG$64,MATCH(Projeçao!N$2,Modelos!$AZ$49:$AZ$64,0),MATCH("β1",Modelos!$AY$49:$BG$49,0))*$K8+INDEX(Modelos!$AY$49:$BG$64,MATCH(Projeçao!N$2,Modelos!$AZ$49:$AZ$64,0),MATCH("β2",Modelos!$AY$49:$BG$49,0))*$K7+INDEX(Modelos!$AY$49:$BG$64,MATCH(Projeçao!N$2,Modelos!$AZ$49:$AZ$64,0),MATCH("β3",Modelos!$AY$49:$BG$49,0))*$K6+INDEX(Modelos!$AY$49:$BG$64,MATCH(Projeçao!N$2,Modelos!$AZ$49:$AZ$64,0),MATCH("θ1",Modelos!$AY$49:$BG$49,0))*R8+INDEX(Modelos!$AY$49:$BG$64,MATCH(Projeçao!N$2,Modelos!$AZ$49:$AZ$64,0),MATCH("θ2",Modelos!$AY$49:$BG$49,0))*R7+INDEX(Modelos!$AY$49:$BG$64,MATCH(Projeçao!N$2,Modelos!$AZ$49:$AZ$64,0),MATCH("θ3",Modelos!$AY$49:$BG$49,0))*R6+INDEX(Modelos!$AY$49:$BG$64,MATCH(Projeçao!N$2,Modelos!$AZ$49:$AZ$64,0),MATCH("c",Modelos!$AY$49:$BG$49,0))</f>
        <v>0.28772520603991203</v>
      </c>
      <c r="P9" s="6">
        <f t="shared" ca="1" si="16"/>
        <v>-1.1643130551202141</v>
      </c>
      <c r="Q9" s="6">
        <f t="shared" ca="1" si="17"/>
        <v>-1.1424948545671687</v>
      </c>
      <c r="R9" s="6">
        <f t="shared" ca="1" si="18"/>
        <v>-1.3406217779775569</v>
      </c>
      <c r="T9" s="6">
        <f ca="1">INDEX(Dados!$I:$N,MATCH($A9,Dados!$A:$A,0),MATCH(T$2,Dados!$I$2:$N$2,0))</f>
        <v>-0.64319291804201262</v>
      </c>
      <c r="U9" s="6">
        <f ca="1">INDEX(Modelos!$AY$68:$BG$83,MATCH(Projeçao!U$2,Modelos!$AZ$68:$AZ$83,0),MATCH("β1",Modelos!$AY$68:$BG$68,0))*$T8+INDEX(Modelos!$AY$68:$BG$83,MATCH(Projeçao!U$2,Modelos!$AZ$68:$AZ$83,0),MATCH("β2",Modelos!$AY$68:$BG$68,0))*$T7+INDEX(Modelos!$AY$68:$BG$83,MATCH(Projeçao!U$2,Modelos!$AZ$68:$AZ$83,0),MATCH("β3",Modelos!$AY$68:$BG$68,0))*$T6+INDEX(Modelos!$AY$68:$BG$83,MATCH(Projeçao!U$2,Modelos!$AZ$68:$AZ$83,0),MATCH("θ1",Modelos!$AY$68:$BG$68,0))*Y8+INDEX(Modelos!$AY$68:$BG$83,MATCH(Projeçao!U$2,Modelos!$AZ$68:$AZ$83,0),MATCH("θ2",Modelos!$AY$68:$BG$68,0))*Y7+INDEX(Modelos!$AY$68:$BG$83,MATCH(Projeçao!U$2,Modelos!$AZ$68:$AZ$83,0),MATCH("θ3",Modelos!$AY$68:$BG$68,0))*Y6+INDEX(Modelos!$AY$68:$BG$83,MATCH(Projeçao!U$2,Modelos!$AZ$68:$AZ$83,0),MATCH("c",Modelos!$AY$68:$BG$68,0))</f>
        <v>0.22436061215265007</v>
      </c>
      <c r="V9" s="6">
        <f ca="1">INDEX(Modelos!$AY$68:$BG$83,MATCH(Projeçao!V$2,Modelos!$AZ$68:$AZ$83,0),MATCH("β1",Modelos!$AY$68:$BG$68,0))*$T8+INDEX(Modelos!$AY$68:$BG$83,MATCH(Projeçao!V$2,Modelos!$AZ$68:$AZ$83,0),MATCH("β2",Modelos!$AY$68:$BG$68,0))*$T7+INDEX(Modelos!$AY$68:$BG$83,MATCH(Projeçao!V$2,Modelos!$AZ$68:$AZ$83,0),MATCH("β3",Modelos!$AY$68:$BG$68,0))*$T6+INDEX(Modelos!$AY$68:$BG$83,MATCH(Projeçao!V$2,Modelos!$AZ$68:$AZ$83,0),MATCH("θ1",Modelos!$AY$68:$BG$68,0))*Z8+INDEX(Modelos!$AY$68:$BG$83,MATCH(Projeçao!V$2,Modelos!$AZ$68:$AZ$83,0),MATCH("θ2",Modelos!$AY$68:$BG$68,0))*Z7+INDEX(Modelos!$AY$68:$BG$83,MATCH(Projeçao!V$2,Modelos!$AZ$68:$AZ$83,0),MATCH("θ3",Modelos!$AY$68:$BG$68,0))*Z6+INDEX(Modelos!$AY$68:$BG$83,MATCH(Projeçao!V$2,Modelos!$AZ$68:$AZ$83,0),MATCH("c",Modelos!$AY$68:$BG$68,0))</f>
        <v>0.74915162589096718</v>
      </c>
      <c r="W9" s="6">
        <f ca="1">INDEX(Modelos!$AY$68:$BG$83,MATCH(Projeçao!W$2,Modelos!$AZ$68:$AZ$83,0),MATCH("β1",Modelos!$AY$68:$BG$68,0))*$T8+INDEX(Modelos!$AY$68:$BG$83,MATCH(Projeçao!W$2,Modelos!$AZ$68:$AZ$83,0),MATCH("β2",Modelos!$AY$68:$BG$68,0))*$T7+INDEX(Modelos!$AY$68:$BG$83,MATCH(Projeçao!W$2,Modelos!$AZ$68:$AZ$83,0),MATCH("β3",Modelos!$AY$68:$BG$68,0))*$T6+INDEX(Modelos!$AY$68:$BG$83,MATCH(Projeçao!W$2,Modelos!$AZ$68:$AZ$83,0),MATCH("θ1",Modelos!$AY$68:$BG$68,0))*AA8+INDEX(Modelos!$AY$68:$BG$83,MATCH(Projeçao!W$2,Modelos!$AZ$68:$AZ$83,0),MATCH("θ2",Modelos!$AY$68:$BG$68,0))*AA7+INDEX(Modelos!$AY$68:$BG$83,MATCH(Projeçao!W$2,Modelos!$AZ$68:$AZ$83,0),MATCH("θ3",Modelos!$AY$68:$BG$68,0))*AA6+INDEX(Modelos!$AY$68:$BG$83,MATCH(Projeçao!W$2,Modelos!$AZ$68:$AZ$83,0),MATCH("c",Modelos!$AY$68:$BG$68,0))</f>
        <v>0.1180271986530893</v>
      </c>
      <c r="Y9" s="6">
        <f t="shared" ca="1" si="19"/>
        <v>-0.86755353019466264</v>
      </c>
      <c r="Z9" s="6">
        <f t="shared" ca="1" si="20"/>
        <v>-1.3923445439329798</v>
      </c>
      <c r="AA9" s="6">
        <f t="shared" ca="1" si="21"/>
        <v>-0.76122011669510192</v>
      </c>
    </row>
    <row r="10" spans="1:27" x14ac:dyDescent="0.15">
      <c r="A10" s="8">
        <f t="shared" si="10"/>
        <v>42735</v>
      </c>
      <c r="B10" s="6">
        <f ca="1">INDEX(Dados!$I:$N,MATCH($A10,Dados!$A:$A,0),MATCH(B$2,Dados!$I$2:$N$2,0))</f>
        <v>4.8229474329798627</v>
      </c>
      <c r="C10" s="19">
        <f ca="1">INDEX(Modelos!$AY$30:$BG$45,MATCH(Projeçao!C$2,Modelos!$AZ$49:$AZ$64,0),MATCH("β1",Modelos!$AY$30:$BG$30,0))*$B9+INDEX(Modelos!$AY$30:$BG$45,MATCH(Projeçao!C$2,Modelos!$AZ$49:$AZ$64,0),MATCH("β2",Modelos!$AY$30:$BG$30,0))*$B8+INDEX(Modelos!$AY$30:$BG$45,MATCH(Projeçao!C$2,Modelos!$AZ$49:$AZ$64,0),MATCH("β3",Modelos!$AY$30:$BG$30,0))*$B7+INDEX(Modelos!$AY$30:$BG$45,MATCH(Projeçao!C$2,Modelos!$AZ$49:$AZ$64,0),MATCH("θ1",Modelos!$AY$30:$BG$30,0))*G9+INDEX(Modelos!$AY$30:$BG$45,MATCH(Projeçao!C$2,Modelos!$AZ$49:$AZ$64,0),MATCH("θ2",Modelos!$AY$30:$BG$30,0))*G8+INDEX(Modelos!$AY$30:$BG$45,MATCH(Projeçao!C$2,Modelos!$AZ$49:$AZ$64,0),MATCH("θ3",Modelos!$AY$30:$BG$30,0))*G7+INDEX(Modelos!$AY$30:$BG$45,MATCH(Projeçao!C$2,Modelos!$AZ$49:$AZ$64,0),MATCH("c",Modelos!$AY$30:$BG$30,0))</f>
        <v>-8.4705572851909716E-2</v>
      </c>
      <c r="D10" s="19">
        <f ca="1">INDEX(Modelos!$AY$30:$BG$45,MATCH(Projeçao!D$2,Modelos!$AZ$49:$AZ$64,0),MATCH("β1",Modelos!$AY$30:$BG$30,0))*$B9+INDEX(Modelos!$AY$30:$BG$45,MATCH(Projeçao!D$2,Modelos!$AZ$49:$AZ$64,0),MATCH("β2",Modelos!$AY$30:$BG$30,0))*$B8+INDEX(Modelos!$AY$30:$BG$45,MATCH(Projeçao!D$2,Modelos!$AZ$49:$AZ$64,0),MATCH("β3",Modelos!$AY$30:$BG$30,0))*$B7+INDEX(Modelos!$AY$30:$BG$45,MATCH(Projeçao!D$2,Modelos!$AZ$49:$AZ$64,0),MATCH("θ1",Modelos!$AY$30:$BG$30,0))*H9+INDEX(Modelos!$AY$30:$BG$45,MATCH(Projeçao!D$2,Modelos!$AZ$49:$AZ$64,0),MATCH("θ2",Modelos!$AY$30:$BG$30,0))*H8+INDEX(Modelos!$AY$30:$BG$45,MATCH(Projeçao!D$2,Modelos!$AZ$49:$AZ$64,0),MATCH("θ3",Modelos!$AY$30:$BG$30,0))*H7+INDEX(Modelos!$AY$30:$BG$45,MATCH(Projeçao!D$2,Modelos!$AZ$49:$AZ$64,0),MATCH("c",Modelos!$AY$30:$BG$30,0))</f>
        <v>-1.2600844800001045</v>
      </c>
      <c r="E10" s="19">
        <f ca="1">INDEX(Modelos!$AY$30:$BG$45,MATCH(Projeçao!E$2,Modelos!$AZ$49:$AZ$64,0),MATCH("β1",Modelos!$AY$30:$BG$30,0))*$B9+INDEX(Modelos!$AY$30:$BG$45,MATCH(Projeçao!E$2,Modelos!$AZ$49:$AZ$64,0),MATCH("β2",Modelos!$AY$30:$BG$30,0))*$B8+INDEX(Modelos!$AY$30:$BG$45,MATCH(Projeçao!E$2,Modelos!$AZ$49:$AZ$64,0),MATCH("β3",Modelos!$AY$30:$BG$30,0))*$B7+INDEX(Modelos!$AY$30:$BG$45,MATCH(Projeçao!E$2,Modelos!$AZ$49:$AZ$64,0),MATCH("θ1",Modelos!$AY$30:$BG$30,0))*I9+INDEX(Modelos!$AY$30:$BG$45,MATCH(Projeçao!E$2,Modelos!$AZ$49:$AZ$64,0),MATCH("θ2",Modelos!$AY$30:$BG$30,0))*I8+INDEX(Modelos!$AY$30:$BG$45,MATCH(Projeçao!E$2,Modelos!$AZ$49:$AZ$64,0),MATCH("θ3",Modelos!$AY$30:$BG$30,0))*I7+INDEX(Modelos!$AY$30:$BG$45,MATCH(Projeçao!E$2,Modelos!$AZ$49:$AZ$64,0),MATCH("c",Modelos!$AY$30:$BG$30,0))</f>
        <v>1.9398097476731584</v>
      </c>
      <c r="G10" s="6">
        <f t="shared" ca="1" si="15"/>
        <v>4.9076530058317722</v>
      </c>
      <c r="H10" s="6">
        <f t="shared" ca="1" si="11"/>
        <v>6.0830319129799673</v>
      </c>
      <c r="I10" s="6">
        <f t="shared" ca="1" si="12"/>
        <v>2.8831376853067043</v>
      </c>
      <c r="K10" s="6">
        <f ca="1">INDEX(Dados!$I:$N,MATCH($A10,Dados!$A:$A,0),MATCH(K$2,Dados!$I$2:$N$2,0))</f>
        <v>-1.7574007881953957</v>
      </c>
      <c r="L10" s="6">
        <f ca="1">INDEX(Modelos!$AY$49:$BG$64,MATCH(Projeçao!L$2,Modelos!$AZ$49:$AZ$64,0),MATCH("β1",Modelos!$AY$49:$BG$49,0))*$K9+INDEX(Modelos!$AY$49:$BG$64,MATCH(Projeçao!L$2,Modelos!$AZ$49:$AZ$64,0),MATCH("β2",Modelos!$AY$49:$BG$49,0))*$K8+INDEX(Modelos!$AY$49:$BG$64,MATCH(Projeçao!L$2,Modelos!$AZ$49:$AZ$64,0),MATCH("β3",Modelos!$AY$49:$BG$49,0))*$K7+INDEX(Modelos!$AY$49:$BG$64,MATCH(Projeçao!L$2,Modelos!$AZ$49:$AZ$64,0),MATCH("θ1",Modelos!$AY$49:$BG$49,0))*P9+INDEX(Modelos!$AY$49:$BG$64,MATCH(Projeçao!L$2,Modelos!$AZ$49:$AZ$64,0),MATCH("θ2",Modelos!$AY$49:$BG$49,0))*P8+INDEX(Modelos!$AY$49:$BG$64,MATCH(Projeçao!L$2,Modelos!$AZ$49:$AZ$64,0),MATCH("θ3",Modelos!$AY$49:$BG$49,0))*P7+INDEX(Modelos!$AY$49:$BG$64,MATCH(Projeçao!L$2,Modelos!$AZ$49:$AZ$64,0),MATCH("c",Modelos!$AY$49:$BG$49,0))</f>
        <v>0.23743285125635177</v>
      </c>
      <c r="M10" s="6">
        <f ca="1">INDEX(Modelos!$AY$49:$BG$64,MATCH(Projeçao!M$2,Modelos!$AZ$49:$AZ$64,0),MATCH("β1",Modelos!$AY$49:$BG$49,0))*$K9+INDEX(Modelos!$AY$49:$BG$64,MATCH(Projeçao!M$2,Modelos!$AZ$49:$AZ$64,0),MATCH("β2",Modelos!$AY$49:$BG$49,0))*$K8+INDEX(Modelos!$AY$49:$BG$64,MATCH(Projeçao!M$2,Modelos!$AZ$49:$AZ$64,0),MATCH("β3",Modelos!$AY$49:$BG$49,0))*$K7+INDEX(Modelos!$AY$49:$BG$64,MATCH(Projeçao!M$2,Modelos!$AZ$49:$AZ$64,0),MATCH("θ1",Modelos!$AY$49:$BG$49,0))*Q9+INDEX(Modelos!$AY$49:$BG$64,MATCH(Projeçao!M$2,Modelos!$AZ$49:$AZ$64,0),MATCH("θ2",Modelos!$AY$49:$BG$49,0))*Q8+INDEX(Modelos!$AY$49:$BG$64,MATCH(Projeçao!M$2,Modelos!$AZ$49:$AZ$64,0),MATCH("θ3",Modelos!$AY$49:$BG$49,0))*Q7+INDEX(Modelos!$AY$49:$BG$64,MATCH(Projeçao!M$2,Modelos!$AZ$49:$AZ$64,0),MATCH("c",Modelos!$AY$49:$BG$49,0))</f>
        <v>0.42607659615925919</v>
      </c>
      <c r="N10" s="6">
        <f ca="1">INDEX(Modelos!$AY$49:$BG$64,MATCH(Projeçao!N$2,Modelos!$AZ$49:$AZ$64,0),MATCH("β1",Modelos!$AY$49:$BG$49,0))*$K9+INDEX(Modelos!$AY$49:$BG$64,MATCH(Projeçao!N$2,Modelos!$AZ$49:$AZ$64,0),MATCH("β2",Modelos!$AY$49:$BG$49,0))*$K8+INDEX(Modelos!$AY$49:$BG$64,MATCH(Projeçao!N$2,Modelos!$AZ$49:$AZ$64,0),MATCH("β3",Modelos!$AY$49:$BG$49,0))*$K7+INDEX(Modelos!$AY$49:$BG$64,MATCH(Projeçao!N$2,Modelos!$AZ$49:$AZ$64,0),MATCH("θ1",Modelos!$AY$49:$BG$49,0))*R9+INDEX(Modelos!$AY$49:$BG$64,MATCH(Projeçao!N$2,Modelos!$AZ$49:$AZ$64,0),MATCH("θ2",Modelos!$AY$49:$BG$49,0))*R8+INDEX(Modelos!$AY$49:$BG$64,MATCH(Projeçao!N$2,Modelos!$AZ$49:$AZ$64,0),MATCH("θ3",Modelos!$AY$49:$BG$49,0))*R7+INDEX(Modelos!$AY$49:$BG$64,MATCH(Projeçao!N$2,Modelos!$AZ$49:$AZ$64,0),MATCH("c",Modelos!$AY$49:$BG$49,0))</f>
        <v>0.50482084198788058</v>
      </c>
      <c r="P10" s="6">
        <f t="shared" ca="1" si="16"/>
        <v>-1.9948336394517474</v>
      </c>
      <c r="Q10" s="6">
        <f t="shared" ca="1" si="17"/>
        <v>-2.1834773843546547</v>
      </c>
      <c r="R10" s="6">
        <f t="shared" ca="1" si="18"/>
        <v>-2.2622216301832765</v>
      </c>
      <c r="T10" s="6">
        <f ca="1">INDEX(Dados!$I:$N,MATCH($A10,Dados!$A:$A,0),MATCH(T$2,Dados!$I$2:$N$2,0))</f>
        <v>-0.51793795244935437</v>
      </c>
      <c r="U10" s="6">
        <f ca="1">INDEX(Modelos!$AY$68:$BG$83,MATCH(Projeçao!U$2,Modelos!$AZ$68:$AZ$83,0),MATCH("β1",Modelos!$AY$68:$BG$68,0))*$T9+INDEX(Modelos!$AY$68:$BG$83,MATCH(Projeçao!U$2,Modelos!$AZ$68:$AZ$83,0),MATCH("β2",Modelos!$AY$68:$BG$68,0))*$T8+INDEX(Modelos!$AY$68:$BG$83,MATCH(Projeçao!U$2,Modelos!$AZ$68:$AZ$83,0),MATCH("β3",Modelos!$AY$68:$BG$68,0))*$T7+INDEX(Modelos!$AY$68:$BG$83,MATCH(Projeçao!U$2,Modelos!$AZ$68:$AZ$83,0),MATCH("θ1",Modelos!$AY$68:$BG$68,0))*Y9+INDEX(Modelos!$AY$68:$BG$83,MATCH(Projeçao!U$2,Modelos!$AZ$68:$AZ$83,0),MATCH("θ2",Modelos!$AY$68:$BG$68,0))*Y8+INDEX(Modelos!$AY$68:$BG$83,MATCH(Projeçao!U$2,Modelos!$AZ$68:$AZ$83,0),MATCH("θ3",Modelos!$AY$68:$BG$68,0))*Y7+INDEX(Modelos!$AY$68:$BG$83,MATCH(Projeçao!U$2,Modelos!$AZ$68:$AZ$83,0),MATCH("c",Modelos!$AY$68:$BG$68,0))</f>
        <v>0.62203667082012615</v>
      </c>
      <c r="V10" s="6">
        <f ca="1">INDEX(Modelos!$AY$68:$BG$83,MATCH(Projeçao!V$2,Modelos!$AZ$68:$AZ$83,0),MATCH("β1",Modelos!$AY$68:$BG$68,0))*$T9+INDEX(Modelos!$AY$68:$BG$83,MATCH(Projeçao!V$2,Modelos!$AZ$68:$AZ$83,0),MATCH("β2",Modelos!$AY$68:$BG$68,0))*$T8+INDEX(Modelos!$AY$68:$BG$83,MATCH(Projeçao!V$2,Modelos!$AZ$68:$AZ$83,0),MATCH("β3",Modelos!$AY$68:$BG$68,0))*$T7+INDEX(Modelos!$AY$68:$BG$83,MATCH(Projeçao!V$2,Modelos!$AZ$68:$AZ$83,0),MATCH("θ1",Modelos!$AY$68:$BG$68,0))*Z9+INDEX(Modelos!$AY$68:$BG$83,MATCH(Projeçao!V$2,Modelos!$AZ$68:$AZ$83,0),MATCH("θ2",Modelos!$AY$68:$BG$68,0))*Z8+INDEX(Modelos!$AY$68:$BG$83,MATCH(Projeçao!V$2,Modelos!$AZ$68:$AZ$83,0),MATCH("θ3",Modelos!$AY$68:$BG$68,0))*Z7+INDEX(Modelos!$AY$68:$BG$83,MATCH(Projeçao!V$2,Modelos!$AZ$68:$AZ$83,0),MATCH("c",Modelos!$AY$68:$BG$68,0))</f>
        <v>0.11992188050889674</v>
      </c>
      <c r="W10" s="6">
        <f ca="1">INDEX(Modelos!$AY$68:$BG$83,MATCH(Projeçao!W$2,Modelos!$AZ$68:$AZ$83,0),MATCH("β1",Modelos!$AY$68:$BG$68,0))*$T9+INDEX(Modelos!$AY$68:$BG$83,MATCH(Projeçao!W$2,Modelos!$AZ$68:$AZ$83,0),MATCH("β2",Modelos!$AY$68:$BG$68,0))*$T8+INDEX(Modelos!$AY$68:$BG$83,MATCH(Projeçao!W$2,Modelos!$AZ$68:$AZ$83,0),MATCH("β3",Modelos!$AY$68:$BG$68,0))*$T7+INDEX(Modelos!$AY$68:$BG$83,MATCH(Projeçao!W$2,Modelos!$AZ$68:$AZ$83,0),MATCH("θ1",Modelos!$AY$68:$BG$68,0))*AA9+INDEX(Modelos!$AY$68:$BG$83,MATCH(Projeçao!W$2,Modelos!$AZ$68:$AZ$83,0),MATCH("θ2",Modelos!$AY$68:$BG$68,0))*AA8+INDEX(Modelos!$AY$68:$BG$83,MATCH(Projeçao!W$2,Modelos!$AZ$68:$AZ$83,0),MATCH("θ3",Modelos!$AY$68:$BG$68,0))*AA7+INDEX(Modelos!$AY$68:$BG$83,MATCH(Projeçao!W$2,Modelos!$AZ$68:$AZ$83,0),MATCH("c",Modelos!$AY$68:$BG$68,0))</f>
        <v>0.63269515368822349</v>
      </c>
      <c r="Y10" s="6">
        <f t="shared" ca="1" si="19"/>
        <v>-1.1399746232694805</v>
      </c>
      <c r="Z10" s="6">
        <f t="shared" ca="1" si="20"/>
        <v>-0.63785983295825111</v>
      </c>
      <c r="AA10" s="6">
        <f t="shared" ca="1" si="21"/>
        <v>-1.1506331061375779</v>
      </c>
    </row>
    <row r="11" spans="1:27" x14ac:dyDescent="0.15">
      <c r="A11" s="8">
        <f t="shared" si="10"/>
        <v>42825</v>
      </c>
      <c r="B11" s="6">
        <f ca="1">INDEX(Dados!$I:$N,MATCH($A11,Dados!$A:$A,0),MATCH(B$2,Dados!$I$2:$N$2,0))</f>
        <v>12.017884843909044</v>
      </c>
      <c r="C11" s="19">
        <f ca="1">INDEX(Modelos!$AY$30:$BG$45,MATCH(Projeçao!C$2,Modelos!$AZ$49:$AZ$64,0),MATCH("β1",Modelos!$AY$30:$BG$30,0))*$B10+INDEX(Modelos!$AY$30:$BG$45,MATCH(Projeçao!C$2,Modelos!$AZ$49:$AZ$64,0),MATCH("β2",Modelos!$AY$30:$BG$30,0))*$B9+INDEX(Modelos!$AY$30:$BG$45,MATCH(Projeçao!C$2,Modelos!$AZ$49:$AZ$64,0),MATCH("β3",Modelos!$AY$30:$BG$30,0))*$B8+INDEX(Modelos!$AY$30:$BG$45,MATCH(Projeçao!C$2,Modelos!$AZ$49:$AZ$64,0),MATCH("θ1",Modelos!$AY$30:$BG$30,0))*G10+INDEX(Modelos!$AY$30:$BG$45,MATCH(Projeçao!C$2,Modelos!$AZ$49:$AZ$64,0),MATCH("θ2",Modelos!$AY$30:$BG$30,0))*G9+INDEX(Modelos!$AY$30:$BG$45,MATCH(Projeçao!C$2,Modelos!$AZ$49:$AZ$64,0),MATCH("θ3",Modelos!$AY$30:$BG$30,0))*G8+INDEX(Modelos!$AY$30:$BG$45,MATCH(Projeçao!C$2,Modelos!$AZ$49:$AZ$64,0),MATCH("c",Modelos!$AY$30:$BG$30,0))</f>
        <v>0.542458314443373</v>
      </c>
      <c r="D11" s="19">
        <f ca="1">INDEX(Modelos!$AY$30:$BG$45,MATCH(Projeçao!D$2,Modelos!$AZ$49:$AZ$64,0),MATCH("β1",Modelos!$AY$30:$BG$30,0))*$B10+INDEX(Modelos!$AY$30:$BG$45,MATCH(Projeçao!D$2,Modelos!$AZ$49:$AZ$64,0),MATCH("β2",Modelos!$AY$30:$BG$30,0))*$B9+INDEX(Modelos!$AY$30:$BG$45,MATCH(Projeçao!D$2,Modelos!$AZ$49:$AZ$64,0),MATCH("β3",Modelos!$AY$30:$BG$30,0))*$B8+INDEX(Modelos!$AY$30:$BG$45,MATCH(Projeçao!D$2,Modelos!$AZ$49:$AZ$64,0),MATCH("θ1",Modelos!$AY$30:$BG$30,0))*H10+INDEX(Modelos!$AY$30:$BG$45,MATCH(Projeçao!D$2,Modelos!$AZ$49:$AZ$64,0),MATCH("θ2",Modelos!$AY$30:$BG$30,0))*H9+INDEX(Modelos!$AY$30:$BG$45,MATCH(Projeçao!D$2,Modelos!$AZ$49:$AZ$64,0),MATCH("θ3",Modelos!$AY$30:$BG$30,0))*H8+INDEX(Modelos!$AY$30:$BG$45,MATCH(Projeçao!D$2,Modelos!$AZ$49:$AZ$64,0),MATCH("c",Modelos!$AY$30:$BG$30,0))</f>
        <v>0.19249657821923088</v>
      </c>
      <c r="E11" s="19">
        <f ca="1">INDEX(Modelos!$AY$30:$BG$45,MATCH(Projeçao!E$2,Modelos!$AZ$49:$AZ$64,0),MATCH("β1",Modelos!$AY$30:$BG$30,0))*$B10+INDEX(Modelos!$AY$30:$BG$45,MATCH(Projeçao!E$2,Modelos!$AZ$49:$AZ$64,0),MATCH("β2",Modelos!$AY$30:$BG$30,0))*$B9+INDEX(Modelos!$AY$30:$BG$45,MATCH(Projeçao!E$2,Modelos!$AZ$49:$AZ$64,0),MATCH("β3",Modelos!$AY$30:$BG$30,0))*$B8+INDEX(Modelos!$AY$30:$BG$45,MATCH(Projeçao!E$2,Modelos!$AZ$49:$AZ$64,0),MATCH("θ1",Modelos!$AY$30:$BG$30,0))*I10+INDEX(Modelos!$AY$30:$BG$45,MATCH(Projeçao!E$2,Modelos!$AZ$49:$AZ$64,0),MATCH("θ2",Modelos!$AY$30:$BG$30,0))*I9+INDEX(Modelos!$AY$30:$BG$45,MATCH(Projeçao!E$2,Modelos!$AZ$49:$AZ$64,0),MATCH("θ3",Modelos!$AY$30:$BG$30,0))*I8+INDEX(Modelos!$AY$30:$BG$45,MATCH(Projeçao!E$2,Modelos!$AZ$49:$AZ$64,0),MATCH("c",Modelos!$AY$30:$BG$30,0))</f>
        <v>-0.67049527402193387</v>
      </c>
      <c r="G11" s="6">
        <f t="shared" ca="1" si="15"/>
        <v>11.475426529465672</v>
      </c>
      <c r="H11" s="6">
        <f t="shared" ca="1" si="11"/>
        <v>11.825388265689813</v>
      </c>
      <c r="I11" s="6">
        <f t="shared" ca="1" si="12"/>
        <v>12.688380117930979</v>
      </c>
      <c r="K11" s="6">
        <f ca="1">INDEX(Dados!$I:$N,MATCH($A11,Dados!$A:$A,0),MATCH(K$2,Dados!$I$2:$N$2,0))</f>
        <v>0.59789630804394367</v>
      </c>
      <c r="L11" s="6">
        <f ca="1">INDEX(Modelos!$AY$49:$BG$64,MATCH(Projeçao!L$2,Modelos!$AZ$49:$AZ$64,0),MATCH("β1",Modelos!$AY$49:$BG$49,0))*$K10+INDEX(Modelos!$AY$49:$BG$64,MATCH(Projeçao!L$2,Modelos!$AZ$49:$AZ$64,0),MATCH("β2",Modelos!$AY$49:$BG$49,0))*$K9+INDEX(Modelos!$AY$49:$BG$64,MATCH(Projeçao!L$2,Modelos!$AZ$49:$AZ$64,0),MATCH("β3",Modelos!$AY$49:$BG$49,0))*$K8+INDEX(Modelos!$AY$49:$BG$64,MATCH(Projeçao!L$2,Modelos!$AZ$49:$AZ$64,0),MATCH("θ1",Modelos!$AY$49:$BG$49,0))*P10+INDEX(Modelos!$AY$49:$BG$64,MATCH(Projeçao!L$2,Modelos!$AZ$49:$AZ$64,0),MATCH("θ2",Modelos!$AY$49:$BG$49,0))*P9+INDEX(Modelos!$AY$49:$BG$64,MATCH(Projeçao!L$2,Modelos!$AZ$49:$AZ$64,0),MATCH("θ3",Modelos!$AY$49:$BG$49,0))*P8+INDEX(Modelos!$AY$49:$BG$64,MATCH(Projeçao!L$2,Modelos!$AZ$49:$AZ$64,0),MATCH("c",Modelos!$AY$49:$BG$49,0))</f>
        <v>0.16029816340362157</v>
      </c>
      <c r="M11" s="6">
        <f ca="1">INDEX(Modelos!$AY$49:$BG$64,MATCH(Projeçao!M$2,Modelos!$AZ$49:$AZ$64,0),MATCH("β1",Modelos!$AY$49:$BG$49,0))*$K10+INDEX(Modelos!$AY$49:$BG$64,MATCH(Projeçao!M$2,Modelos!$AZ$49:$AZ$64,0),MATCH("β2",Modelos!$AY$49:$BG$49,0))*$K9+INDEX(Modelos!$AY$49:$BG$64,MATCH(Projeçao!M$2,Modelos!$AZ$49:$AZ$64,0),MATCH("β3",Modelos!$AY$49:$BG$49,0))*$K8+INDEX(Modelos!$AY$49:$BG$64,MATCH(Projeçao!M$2,Modelos!$AZ$49:$AZ$64,0),MATCH("θ1",Modelos!$AY$49:$BG$49,0))*Q10+INDEX(Modelos!$AY$49:$BG$64,MATCH(Projeçao!M$2,Modelos!$AZ$49:$AZ$64,0),MATCH("θ2",Modelos!$AY$49:$BG$49,0))*Q9+INDEX(Modelos!$AY$49:$BG$64,MATCH(Projeçao!M$2,Modelos!$AZ$49:$AZ$64,0),MATCH("θ3",Modelos!$AY$49:$BG$49,0))*Q8+INDEX(Modelos!$AY$49:$BG$64,MATCH(Projeçao!M$2,Modelos!$AZ$49:$AZ$64,0),MATCH("c",Modelos!$AY$49:$BG$49,0))</f>
        <v>0.46621801847929634</v>
      </c>
      <c r="N11" s="6">
        <f ca="1">INDEX(Modelos!$AY$49:$BG$64,MATCH(Projeçao!N$2,Modelos!$AZ$49:$AZ$64,0),MATCH("β1",Modelos!$AY$49:$BG$49,0))*$K10+INDEX(Modelos!$AY$49:$BG$64,MATCH(Projeçao!N$2,Modelos!$AZ$49:$AZ$64,0),MATCH("β2",Modelos!$AY$49:$BG$49,0))*$K9+INDEX(Modelos!$AY$49:$BG$64,MATCH(Projeçao!N$2,Modelos!$AZ$49:$AZ$64,0),MATCH("β3",Modelos!$AY$49:$BG$49,0))*$K8+INDEX(Modelos!$AY$49:$BG$64,MATCH(Projeçao!N$2,Modelos!$AZ$49:$AZ$64,0),MATCH("θ1",Modelos!$AY$49:$BG$49,0))*R10+INDEX(Modelos!$AY$49:$BG$64,MATCH(Projeçao!N$2,Modelos!$AZ$49:$AZ$64,0),MATCH("θ2",Modelos!$AY$49:$BG$49,0))*R9+INDEX(Modelos!$AY$49:$BG$64,MATCH(Projeçao!N$2,Modelos!$AZ$49:$AZ$64,0),MATCH("θ3",Modelos!$AY$49:$BG$49,0))*R8+INDEX(Modelos!$AY$49:$BG$64,MATCH(Projeçao!N$2,Modelos!$AZ$49:$AZ$64,0),MATCH("c",Modelos!$AY$49:$BG$49,0))</f>
        <v>0.66105578662152098</v>
      </c>
      <c r="P11" s="6">
        <f t="shared" ca="1" si="16"/>
        <v>0.4375981446403221</v>
      </c>
      <c r="Q11" s="6">
        <f t="shared" ca="1" si="17"/>
        <v>0.13167828956464733</v>
      </c>
      <c r="R11" s="6">
        <f t="shared" ca="1" si="18"/>
        <v>-6.315947857757731E-2</v>
      </c>
      <c r="T11" s="6">
        <f ca="1">INDEX(Dados!$I:$N,MATCH($A11,Dados!$A:$A,0),MATCH(T$2,Dados!$I$2:$N$2,0))</f>
        <v>0.4901019538080531</v>
      </c>
      <c r="U11" s="6">
        <f ca="1">INDEX(Modelos!$AY$68:$BG$83,MATCH(Projeçao!U$2,Modelos!$AZ$68:$AZ$83,0),MATCH("β1",Modelos!$AY$68:$BG$68,0))*$T10+INDEX(Modelos!$AY$68:$BG$83,MATCH(Projeçao!U$2,Modelos!$AZ$68:$AZ$83,0),MATCH("β2",Modelos!$AY$68:$BG$68,0))*$T9+INDEX(Modelos!$AY$68:$BG$83,MATCH(Projeçao!U$2,Modelos!$AZ$68:$AZ$83,0),MATCH("β3",Modelos!$AY$68:$BG$68,0))*$T8+INDEX(Modelos!$AY$68:$BG$83,MATCH(Projeçao!U$2,Modelos!$AZ$68:$AZ$83,0),MATCH("θ1",Modelos!$AY$68:$BG$68,0))*Y10+INDEX(Modelos!$AY$68:$BG$83,MATCH(Projeçao!U$2,Modelos!$AZ$68:$AZ$83,0),MATCH("θ2",Modelos!$AY$68:$BG$68,0))*Y9+INDEX(Modelos!$AY$68:$BG$83,MATCH(Projeçao!U$2,Modelos!$AZ$68:$AZ$83,0),MATCH("θ3",Modelos!$AY$68:$BG$68,0))*Y8+INDEX(Modelos!$AY$68:$BG$83,MATCH(Projeçao!U$2,Modelos!$AZ$68:$AZ$83,0),MATCH("c",Modelos!$AY$68:$BG$68,0))</f>
        <v>0.36234640475384816</v>
      </c>
      <c r="V11" s="6">
        <f ca="1">INDEX(Modelos!$AY$68:$BG$83,MATCH(Projeçao!V$2,Modelos!$AZ$68:$AZ$83,0),MATCH("β1",Modelos!$AY$68:$BG$68,0))*$T10+INDEX(Modelos!$AY$68:$BG$83,MATCH(Projeçao!V$2,Modelos!$AZ$68:$AZ$83,0),MATCH("β2",Modelos!$AY$68:$BG$68,0))*$T9+INDEX(Modelos!$AY$68:$BG$83,MATCH(Projeçao!V$2,Modelos!$AZ$68:$AZ$83,0),MATCH("β3",Modelos!$AY$68:$BG$68,0))*$T8+INDEX(Modelos!$AY$68:$BG$83,MATCH(Projeçao!V$2,Modelos!$AZ$68:$AZ$83,0),MATCH("θ1",Modelos!$AY$68:$BG$68,0))*Z10+INDEX(Modelos!$AY$68:$BG$83,MATCH(Projeçao!V$2,Modelos!$AZ$68:$AZ$83,0),MATCH("θ2",Modelos!$AY$68:$BG$68,0))*Z9+INDEX(Modelos!$AY$68:$BG$83,MATCH(Projeçao!V$2,Modelos!$AZ$68:$AZ$83,0),MATCH("θ3",Modelos!$AY$68:$BG$68,0))*Z8+INDEX(Modelos!$AY$68:$BG$83,MATCH(Projeçao!V$2,Modelos!$AZ$68:$AZ$83,0),MATCH("c",Modelos!$AY$68:$BG$68,0))</f>
        <v>-0.25308958136449089</v>
      </c>
      <c r="W11" s="6">
        <f ca="1">INDEX(Modelos!$AY$68:$BG$83,MATCH(Projeçao!W$2,Modelos!$AZ$68:$AZ$83,0),MATCH("β1",Modelos!$AY$68:$BG$68,0))*$T10+INDEX(Modelos!$AY$68:$BG$83,MATCH(Projeçao!W$2,Modelos!$AZ$68:$AZ$83,0),MATCH("β2",Modelos!$AY$68:$BG$68,0))*$T9+INDEX(Modelos!$AY$68:$BG$83,MATCH(Projeçao!W$2,Modelos!$AZ$68:$AZ$83,0),MATCH("β3",Modelos!$AY$68:$BG$68,0))*$T8+INDEX(Modelos!$AY$68:$BG$83,MATCH(Projeçao!W$2,Modelos!$AZ$68:$AZ$83,0),MATCH("θ1",Modelos!$AY$68:$BG$68,0))*AA10+INDEX(Modelos!$AY$68:$BG$83,MATCH(Projeçao!W$2,Modelos!$AZ$68:$AZ$83,0),MATCH("θ2",Modelos!$AY$68:$BG$68,0))*AA9+INDEX(Modelos!$AY$68:$BG$83,MATCH(Projeçao!W$2,Modelos!$AZ$68:$AZ$83,0),MATCH("θ3",Modelos!$AY$68:$BG$68,0))*AA8+INDEX(Modelos!$AY$68:$BG$83,MATCH(Projeçao!W$2,Modelos!$AZ$68:$AZ$83,0),MATCH("c",Modelos!$AY$68:$BG$68,0))</f>
        <v>0.9062337077854743</v>
      </c>
      <c r="Y11" s="6">
        <f t="shared" ca="1" si="19"/>
        <v>0.12775554905420494</v>
      </c>
      <c r="Z11" s="6">
        <f t="shared" ca="1" si="20"/>
        <v>0.74319153517254399</v>
      </c>
      <c r="AA11" s="6">
        <f t="shared" ca="1" si="21"/>
        <v>-0.41613175397742119</v>
      </c>
    </row>
    <row r="12" spans="1:27" x14ac:dyDescent="0.15">
      <c r="A12" s="8">
        <f t="shared" si="10"/>
        <v>42916</v>
      </c>
      <c r="B12" s="6">
        <f ca="1">INDEX(Dados!$I:$N,MATCH($A12,Dados!$A:$A,0),MATCH(B$2,Dados!$I$2:$N$2,0))</f>
        <v>-3.1705325931202233</v>
      </c>
      <c r="C12" s="19">
        <f ca="1">INDEX(Modelos!$AY$30:$BG$45,MATCH(Projeçao!C$2,Modelos!$AZ$49:$AZ$64,0),MATCH("β1",Modelos!$AY$30:$BG$30,0))*$B11+INDEX(Modelos!$AY$30:$BG$45,MATCH(Projeçao!C$2,Modelos!$AZ$49:$AZ$64,0),MATCH("β2",Modelos!$AY$30:$BG$30,0))*$B10+INDEX(Modelos!$AY$30:$BG$45,MATCH(Projeçao!C$2,Modelos!$AZ$49:$AZ$64,0),MATCH("β3",Modelos!$AY$30:$BG$30,0))*$B9+INDEX(Modelos!$AY$30:$BG$45,MATCH(Projeçao!C$2,Modelos!$AZ$49:$AZ$64,0),MATCH("θ1",Modelos!$AY$30:$BG$30,0))*G11+INDEX(Modelos!$AY$30:$BG$45,MATCH(Projeçao!C$2,Modelos!$AZ$49:$AZ$64,0),MATCH("θ2",Modelos!$AY$30:$BG$30,0))*G10+INDEX(Modelos!$AY$30:$BG$45,MATCH(Projeçao!C$2,Modelos!$AZ$49:$AZ$64,0),MATCH("θ3",Modelos!$AY$30:$BG$30,0))*G9+INDEX(Modelos!$AY$30:$BG$45,MATCH(Projeçao!C$2,Modelos!$AZ$49:$AZ$64,0),MATCH("c",Modelos!$AY$30:$BG$30,0))</f>
        <v>-3.6954326039913443</v>
      </c>
      <c r="D12" s="19">
        <f ca="1">INDEX(Modelos!$AY$30:$BG$45,MATCH(Projeçao!D$2,Modelos!$AZ$49:$AZ$64,0),MATCH("β1",Modelos!$AY$30:$BG$30,0))*$B11+INDEX(Modelos!$AY$30:$BG$45,MATCH(Projeçao!D$2,Modelos!$AZ$49:$AZ$64,0),MATCH("β2",Modelos!$AY$30:$BG$30,0))*$B10+INDEX(Modelos!$AY$30:$BG$45,MATCH(Projeçao!D$2,Modelos!$AZ$49:$AZ$64,0),MATCH("β3",Modelos!$AY$30:$BG$30,0))*$B9+INDEX(Modelos!$AY$30:$BG$45,MATCH(Projeçao!D$2,Modelos!$AZ$49:$AZ$64,0),MATCH("θ1",Modelos!$AY$30:$BG$30,0))*H11+INDEX(Modelos!$AY$30:$BG$45,MATCH(Projeçao!D$2,Modelos!$AZ$49:$AZ$64,0),MATCH("θ2",Modelos!$AY$30:$BG$30,0))*H10+INDEX(Modelos!$AY$30:$BG$45,MATCH(Projeçao!D$2,Modelos!$AZ$49:$AZ$64,0),MATCH("θ3",Modelos!$AY$30:$BG$30,0))*H9+INDEX(Modelos!$AY$30:$BG$45,MATCH(Projeçao!D$2,Modelos!$AZ$49:$AZ$64,0),MATCH("c",Modelos!$AY$30:$BG$30,0))</f>
        <v>1.8808525853646896</v>
      </c>
      <c r="E12" s="19">
        <f ca="1">INDEX(Modelos!$AY$30:$BG$45,MATCH(Projeçao!E$2,Modelos!$AZ$49:$AZ$64,0),MATCH("β1",Modelos!$AY$30:$BG$30,0))*$B11+INDEX(Modelos!$AY$30:$BG$45,MATCH(Projeçao!E$2,Modelos!$AZ$49:$AZ$64,0),MATCH("β2",Modelos!$AY$30:$BG$30,0))*$B10+INDEX(Modelos!$AY$30:$BG$45,MATCH(Projeçao!E$2,Modelos!$AZ$49:$AZ$64,0),MATCH("β3",Modelos!$AY$30:$BG$30,0))*$B9+INDEX(Modelos!$AY$30:$BG$45,MATCH(Projeçao!E$2,Modelos!$AZ$49:$AZ$64,0),MATCH("θ1",Modelos!$AY$30:$BG$30,0))*I11+INDEX(Modelos!$AY$30:$BG$45,MATCH(Projeçao!E$2,Modelos!$AZ$49:$AZ$64,0),MATCH("θ2",Modelos!$AY$30:$BG$30,0))*I10+INDEX(Modelos!$AY$30:$BG$45,MATCH(Projeçao!E$2,Modelos!$AZ$49:$AZ$64,0),MATCH("θ3",Modelos!$AY$30:$BG$30,0))*I9+INDEX(Modelos!$AY$30:$BG$45,MATCH(Projeçao!E$2,Modelos!$AZ$49:$AZ$64,0),MATCH("c",Modelos!$AY$30:$BG$30,0))</f>
        <v>-6.4788151114212509</v>
      </c>
      <c r="G12" s="6">
        <f t="shared" ca="1" si="15"/>
        <v>0.52490001087112104</v>
      </c>
      <c r="H12" s="6">
        <f t="shared" ca="1" si="11"/>
        <v>-5.0513851784849129</v>
      </c>
      <c r="I12" s="6">
        <f t="shared" ca="1" si="12"/>
        <v>3.3082825183010276</v>
      </c>
      <c r="K12" s="6">
        <f ca="1">INDEX(Dados!$I:$N,MATCH($A12,Dados!$A:$A,0),MATCH(K$2,Dados!$I$2:$N$2,0))</f>
        <v>0.79936272064129454</v>
      </c>
      <c r="L12" s="6">
        <f ca="1">INDEX(Modelos!$AY$49:$BG$64,MATCH(Projeçao!L$2,Modelos!$AZ$49:$AZ$64,0),MATCH("β1",Modelos!$AY$49:$BG$49,0))*$K11+INDEX(Modelos!$AY$49:$BG$64,MATCH(Projeçao!L$2,Modelos!$AZ$49:$AZ$64,0),MATCH("β2",Modelos!$AY$49:$BG$49,0))*$K10+INDEX(Modelos!$AY$49:$BG$64,MATCH(Projeçao!L$2,Modelos!$AZ$49:$AZ$64,0),MATCH("β3",Modelos!$AY$49:$BG$49,0))*$K9+INDEX(Modelos!$AY$49:$BG$64,MATCH(Projeçao!L$2,Modelos!$AZ$49:$AZ$64,0),MATCH("θ1",Modelos!$AY$49:$BG$49,0))*P11+INDEX(Modelos!$AY$49:$BG$64,MATCH(Projeçao!L$2,Modelos!$AZ$49:$AZ$64,0),MATCH("θ2",Modelos!$AY$49:$BG$49,0))*P10+INDEX(Modelos!$AY$49:$BG$64,MATCH(Projeçao!L$2,Modelos!$AZ$49:$AZ$64,0),MATCH("θ3",Modelos!$AY$49:$BG$49,0))*P9+INDEX(Modelos!$AY$49:$BG$64,MATCH(Projeçao!L$2,Modelos!$AZ$49:$AZ$64,0),MATCH("c",Modelos!$AY$49:$BG$49,0))</f>
        <v>0.45746140580267824</v>
      </c>
      <c r="M12" s="6">
        <f ca="1">INDEX(Modelos!$AY$49:$BG$64,MATCH(Projeçao!M$2,Modelos!$AZ$49:$AZ$64,0),MATCH("β1",Modelos!$AY$49:$BG$49,0))*$K11+INDEX(Modelos!$AY$49:$BG$64,MATCH(Projeçao!M$2,Modelos!$AZ$49:$AZ$64,0),MATCH("β2",Modelos!$AY$49:$BG$49,0))*$K10+INDEX(Modelos!$AY$49:$BG$64,MATCH(Projeçao!M$2,Modelos!$AZ$49:$AZ$64,0),MATCH("β3",Modelos!$AY$49:$BG$49,0))*$K9+INDEX(Modelos!$AY$49:$BG$64,MATCH(Projeçao!M$2,Modelos!$AZ$49:$AZ$64,0),MATCH("θ1",Modelos!$AY$49:$BG$49,0))*Q11+INDEX(Modelos!$AY$49:$BG$64,MATCH(Projeçao!M$2,Modelos!$AZ$49:$AZ$64,0),MATCH("θ2",Modelos!$AY$49:$BG$49,0))*Q10+INDEX(Modelos!$AY$49:$BG$64,MATCH(Projeçao!M$2,Modelos!$AZ$49:$AZ$64,0),MATCH("θ3",Modelos!$AY$49:$BG$49,0))*Q9+INDEX(Modelos!$AY$49:$BG$64,MATCH(Projeçao!M$2,Modelos!$AZ$49:$AZ$64,0),MATCH("c",Modelos!$AY$49:$BG$49,0))</f>
        <v>-0.56018870995025039</v>
      </c>
      <c r="N12" s="6">
        <f ca="1">INDEX(Modelos!$AY$49:$BG$64,MATCH(Projeçao!N$2,Modelos!$AZ$49:$AZ$64,0),MATCH("β1",Modelos!$AY$49:$BG$49,0))*$K11+INDEX(Modelos!$AY$49:$BG$64,MATCH(Projeçao!N$2,Modelos!$AZ$49:$AZ$64,0),MATCH("β2",Modelos!$AY$49:$BG$49,0))*$K10+INDEX(Modelos!$AY$49:$BG$64,MATCH(Projeçao!N$2,Modelos!$AZ$49:$AZ$64,0),MATCH("β3",Modelos!$AY$49:$BG$49,0))*$K9+INDEX(Modelos!$AY$49:$BG$64,MATCH(Projeçao!N$2,Modelos!$AZ$49:$AZ$64,0),MATCH("θ1",Modelos!$AY$49:$BG$49,0))*R11+INDEX(Modelos!$AY$49:$BG$64,MATCH(Projeçao!N$2,Modelos!$AZ$49:$AZ$64,0),MATCH("θ2",Modelos!$AY$49:$BG$49,0))*R10+INDEX(Modelos!$AY$49:$BG$64,MATCH(Projeçao!N$2,Modelos!$AZ$49:$AZ$64,0),MATCH("θ3",Modelos!$AY$49:$BG$49,0))*R9+INDEX(Modelos!$AY$49:$BG$64,MATCH(Projeçao!N$2,Modelos!$AZ$49:$AZ$64,0),MATCH("c",Modelos!$AY$49:$BG$49,0))</f>
        <v>-9.0673408830312108E-2</v>
      </c>
      <c r="P12" s="6">
        <f t="shared" ca="1" si="16"/>
        <v>0.3419013148386163</v>
      </c>
      <c r="Q12" s="6">
        <f t="shared" ca="1" si="17"/>
        <v>1.3595514305915448</v>
      </c>
      <c r="R12" s="6">
        <f t="shared" ca="1" si="18"/>
        <v>0.8900361294716066</v>
      </c>
      <c r="T12" s="6">
        <f ca="1">INDEX(Dados!$I:$N,MATCH($A12,Dados!$A:$A,0),MATCH(T$2,Dados!$I$2:$N$2,0))</f>
        <v>1.0222831560667611</v>
      </c>
      <c r="U12" s="6">
        <f ca="1">INDEX(Modelos!$AY$68:$BG$83,MATCH(Projeçao!U$2,Modelos!$AZ$68:$AZ$83,0),MATCH("β1",Modelos!$AY$68:$BG$68,0))*$T11+INDEX(Modelos!$AY$68:$BG$83,MATCH(Projeçao!U$2,Modelos!$AZ$68:$AZ$83,0),MATCH("β2",Modelos!$AY$68:$BG$68,0))*$T10+INDEX(Modelos!$AY$68:$BG$83,MATCH(Projeçao!U$2,Modelos!$AZ$68:$AZ$83,0),MATCH("β3",Modelos!$AY$68:$BG$68,0))*$T9+INDEX(Modelos!$AY$68:$BG$83,MATCH(Projeçao!U$2,Modelos!$AZ$68:$AZ$83,0),MATCH("θ1",Modelos!$AY$68:$BG$68,0))*Y11+INDEX(Modelos!$AY$68:$BG$83,MATCH(Projeçao!U$2,Modelos!$AZ$68:$AZ$83,0),MATCH("θ2",Modelos!$AY$68:$BG$68,0))*Y10+INDEX(Modelos!$AY$68:$BG$83,MATCH(Projeçao!U$2,Modelos!$AZ$68:$AZ$83,0),MATCH("θ3",Modelos!$AY$68:$BG$68,0))*Y9+INDEX(Modelos!$AY$68:$BG$83,MATCH(Projeçao!U$2,Modelos!$AZ$68:$AZ$83,0),MATCH("c",Modelos!$AY$68:$BG$68,0))</f>
        <v>0.32396314710442942</v>
      </c>
      <c r="V12" s="6">
        <f ca="1">INDEX(Modelos!$AY$68:$BG$83,MATCH(Projeçao!V$2,Modelos!$AZ$68:$AZ$83,0),MATCH("β1",Modelos!$AY$68:$BG$68,0))*$T11+INDEX(Modelos!$AY$68:$BG$83,MATCH(Projeçao!V$2,Modelos!$AZ$68:$AZ$83,0),MATCH("β2",Modelos!$AY$68:$BG$68,0))*$T10+INDEX(Modelos!$AY$68:$BG$83,MATCH(Projeçao!V$2,Modelos!$AZ$68:$AZ$83,0),MATCH("β3",Modelos!$AY$68:$BG$68,0))*$T9+INDEX(Modelos!$AY$68:$BG$83,MATCH(Projeçao!V$2,Modelos!$AZ$68:$AZ$83,0),MATCH("θ1",Modelos!$AY$68:$BG$68,0))*Z11+INDEX(Modelos!$AY$68:$BG$83,MATCH(Projeçao!V$2,Modelos!$AZ$68:$AZ$83,0),MATCH("θ2",Modelos!$AY$68:$BG$68,0))*Z10+INDEX(Modelos!$AY$68:$BG$83,MATCH(Projeçao!V$2,Modelos!$AZ$68:$AZ$83,0),MATCH("θ3",Modelos!$AY$68:$BG$68,0))*Z9+INDEX(Modelos!$AY$68:$BG$83,MATCH(Projeçao!V$2,Modelos!$AZ$68:$AZ$83,0),MATCH("c",Modelos!$AY$68:$BG$68,0))</f>
        <v>0.91902657510173857</v>
      </c>
      <c r="W12" s="6">
        <f ca="1">INDEX(Modelos!$AY$68:$BG$83,MATCH(Projeçao!W$2,Modelos!$AZ$68:$AZ$83,0),MATCH("β1",Modelos!$AY$68:$BG$68,0))*$T11+INDEX(Modelos!$AY$68:$BG$83,MATCH(Projeçao!W$2,Modelos!$AZ$68:$AZ$83,0),MATCH("β2",Modelos!$AY$68:$BG$68,0))*$T10+INDEX(Modelos!$AY$68:$BG$83,MATCH(Projeçao!W$2,Modelos!$AZ$68:$AZ$83,0),MATCH("β3",Modelos!$AY$68:$BG$68,0))*$T9+INDEX(Modelos!$AY$68:$BG$83,MATCH(Projeçao!W$2,Modelos!$AZ$68:$AZ$83,0),MATCH("θ1",Modelos!$AY$68:$BG$68,0))*AA11+INDEX(Modelos!$AY$68:$BG$83,MATCH(Projeçao!W$2,Modelos!$AZ$68:$AZ$83,0),MATCH("θ2",Modelos!$AY$68:$BG$68,0))*AA10+INDEX(Modelos!$AY$68:$BG$83,MATCH(Projeçao!W$2,Modelos!$AZ$68:$AZ$83,0),MATCH("θ3",Modelos!$AY$68:$BG$68,0))*AA9+INDEX(Modelos!$AY$68:$BG$83,MATCH(Projeçao!W$2,Modelos!$AZ$68:$AZ$83,0),MATCH("c",Modelos!$AY$68:$BG$68,0))</f>
        <v>-0.44151893906548056</v>
      </c>
      <c r="Y12" s="6">
        <f t="shared" ca="1" si="19"/>
        <v>0.69832000896233171</v>
      </c>
      <c r="Z12" s="6">
        <f t="shared" ca="1" si="20"/>
        <v>0.10325658096502255</v>
      </c>
      <c r="AA12" s="6">
        <f t="shared" ca="1" si="21"/>
        <v>1.4638020951322417</v>
      </c>
    </row>
    <row r="13" spans="1:27" x14ac:dyDescent="0.15">
      <c r="A13" s="8">
        <f t="shared" si="10"/>
        <v>43008</v>
      </c>
      <c r="B13" s="6">
        <f ca="1">INDEX(Dados!$I:$N,MATCH($A13,Dados!$A:$A,0),MATCH(B$2,Dados!$I$2:$N$2,0))</f>
        <v>-2.2105111065483185</v>
      </c>
      <c r="C13" s="19">
        <f ca="1">INDEX(Modelos!$AY$30:$BG$45,MATCH(Projeçao!C$2,Modelos!$AZ$49:$AZ$64,0),MATCH("β1",Modelos!$AY$30:$BG$30,0))*$B12+INDEX(Modelos!$AY$30:$BG$45,MATCH(Projeçao!C$2,Modelos!$AZ$49:$AZ$64,0),MATCH("β2",Modelos!$AY$30:$BG$30,0))*$B11+INDEX(Modelos!$AY$30:$BG$45,MATCH(Projeçao!C$2,Modelos!$AZ$49:$AZ$64,0),MATCH("β3",Modelos!$AY$30:$BG$30,0))*$B10+INDEX(Modelos!$AY$30:$BG$45,MATCH(Projeçao!C$2,Modelos!$AZ$49:$AZ$64,0),MATCH("θ1",Modelos!$AY$30:$BG$30,0))*G12+INDEX(Modelos!$AY$30:$BG$45,MATCH(Projeçao!C$2,Modelos!$AZ$49:$AZ$64,0),MATCH("θ2",Modelos!$AY$30:$BG$30,0))*G11+INDEX(Modelos!$AY$30:$BG$45,MATCH(Projeçao!C$2,Modelos!$AZ$49:$AZ$64,0),MATCH("θ3",Modelos!$AY$30:$BG$30,0))*G10+INDEX(Modelos!$AY$30:$BG$45,MATCH(Projeçao!C$2,Modelos!$AZ$49:$AZ$64,0),MATCH("c",Modelos!$AY$30:$BG$30,0))</f>
        <v>-6.8541079655995238</v>
      </c>
      <c r="D13" s="19">
        <f ca="1">INDEX(Modelos!$AY$30:$BG$45,MATCH(Projeçao!D$2,Modelos!$AZ$49:$AZ$64,0),MATCH("β1",Modelos!$AY$30:$BG$30,0))*$B12+INDEX(Modelos!$AY$30:$BG$45,MATCH(Projeçao!D$2,Modelos!$AZ$49:$AZ$64,0),MATCH("β2",Modelos!$AY$30:$BG$30,0))*$B11+INDEX(Modelos!$AY$30:$BG$45,MATCH(Projeçao!D$2,Modelos!$AZ$49:$AZ$64,0),MATCH("β3",Modelos!$AY$30:$BG$30,0))*$B10+INDEX(Modelos!$AY$30:$BG$45,MATCH(Projeçao!D$2,Modelos!$AZ$49:$AZ$64,0),MATCH("θ1",Modelos!$AY$30:$BG$30,0))*H12+INDEX(Modelos!$AY$30:$BG$45,MATCH(Projeçao!D$2,Modelos!$AZ$49:$AZ$64,0),MATCH("θ2",Modelos!$AY$30:$BG$30,0))*H11+INDEX(Modelos!$AY$30:$BG$45,MATCH(Projeçao!D$2,Modelos!$AZ$49:$AZ$64,0),MATCH("θ3",Modelos!$AY$30:$BG$30,0))*H10+INDEX(Modelos!$AY$30:$BG$45,MATCH(Projeçao!D$2,Modelos!$AZ$49:$AZ$64,0),MATCH("c",Modelos!$AY$30:$BG$30,0))</f>
        <v>2.7558418421349509</v>
      </c>
      <c r="E13" s="19">
        <f ca="1">INDEX(Modelos!$AY$30:$BG$45,MATCH(Projeçao!E$2,Modelos!$AZ$49:$AZ$64,0),MATCH("β1",Modelos!$AY$30:$BG$30,0))*$B12+INDEX(Modelos!$AY$30:$BG$45,MATCH(Projeçao!E$2,Modelos!$AZ$49:$AZ$64,0),MATCH("β2",Modelos!$AY$30:$BG$30,0))*$B11+INDEX(Modelos!$AY$30:$BG$45,MATCH(Projeçao!E$2,Modelos!$AZ$49:$AZ$64,0),MATCH("β3",Modelos!$AY$30:$BG$30,0))*$B10+INDEX(Modelos!$AY$30:$BG$45,MATCH(Projeçao!E$2,Modelos!$AZ$49:$AZ$64,0),MATCH("θ1",Modelos!$AY$30:$BG$30,0))*I12+INDEX(Modelos!$AY$30:$BG$45,MATCH(Projeçao!E$2,Modelos!$AZ$49:$AZ$64,0),MATCH("θ2",Modelos!$AY$30:$BG$30,0))*I11+INDEX(Modelos!$AY$30:$BG$45,MATCH(Projeçao!E$2,Modelos!$AZ$49:$AZ$64,0),MATCH("θ3",Modelos!$AY$30:$BG$30,0))*I10+INDEX(Modelos!$AY$30:$BG$45,MATCH(Projeçao!E$2,Modelos!$AZ$49:$AZ$64,0),MATCH("c",Modelos!$AY$30:$BG$30,0))</f>
        <v>-2.1856505605429373</v>
      </c>
      <c r="G13" s="6">
        <f t="shared" ca="1" si="15"/>
        <v>4.6435968590512058</v>
      </c>
      <c r="H13" s="6">
        <f t="shared" ca="1" si="11"/>
        <v>-4.9663529486832694</v>
      </c>
      <c r="I13" s="6">
        <f t="shared" ca="1" si="12"/>
        <v>-2.4860546005381234E-2</v>
      </c>
      <c r="K13" s="6">
        <f ca="1">INDEX(Dados!$I:$N,MATCH($A13,Dados!$A:$A,0),MATCH(K$2,Dados!$I$2:$N$2,0))</f>
        <v>4.4712111959110956E-3</v>
      </c>
      <c r="L13" s="6">
        <f ca="1">INDEX(Modelos!$AY$49:$BG$64,MATCH(Projeçao!L$2,Modelos!$AZ$49:$AZ$64,0),MATCH("β1",Modelos!$AY$49:$BG$49,0))*$K12+INDEX(Modelos!$AY$49:$BG$64,MATCH(Projeçao!L$2,Modelos!$AZ$49:$AZ$64,0),MATCH("β2",Modelos!$AY$49:$BG$49,0))*$K11+INDEX(Modelos!$AY$49:$BG$64,MATCH(Projeçao!L$2,Modelos!$AZ$49:$AZ$64,0),MATCH("β3",Modelos!$AY$49:$BG$49,0))*$K10+INDEX(Modelos!$AY$49:$BG$64,MATCH(Projeçao!L$2,Modelos!$AZ$49:$AZ$64,0),MATCH("θ1",Modelos!$AY$49:$BG$49,0))*P12+INDEX(Modelos!$AY$49:$BG$64,MATCH(Projeçao!L$2,Modelos!$AZ$49:$AZ$64,0),MATCH("θ2",Modelos!$AY$49:$BG$49,0))*P11+INDEX(Modelos!$AY$49:$BG$64,MATCH(Projeçao!L$2,Modelos!$AZ$49:$AZ$64,0),MATCH("θ3",Modelos!$AY$49:$BG$49,0))*P10+INDEX(Modelos!$AY$49:$BG$64,MATCH(Projeçao!L$2,Modelos!$AZ$49:$AZ$64,0),MATCH("c",Modelos!$AY$49:$BG$49,0))</f>
        <v>0.13783920593907173</v>
      </c>
      <c r="M13" s="6">
        <f ca="1">INDEX(Modelos!$AY$49:$BG$64,MATCH(Projeçao!M$2,Modelos!$AZ$49:$AZ$64,0),MATCH("β1",Modelos!$AY$49:$BG$49,0))*$K12+INDEX(Modelos!$AY$49:$BG$64,MATCH(Projeçao!M$2,Modelos!$AZ$49:$AZ$64,0),MATCH("β2",Modelos!$AY$49:$BG$49,0))*$K11+INDEX(Modelos!$AY$49:$BG$64,MATCH(Projeçao!M$2,Modelos!$AZ$49:$AZ$64,0),MATCH("β3",Modelos!$AY$49:$BG$49,0))*$K10+INDEX(Modelos!$AY$49:$BG$64,MATCH(Projeçao!M$2,Modelos!$AZ$49:$AZ$64,0),MATCH("θ1",Modelos!$AY$49:$BG$49,0))*Q12+INDEX(Modelos!$AY$49:$BG$64,MATCH(Projeçao!M$2,Modelos!$AZ$49:$AZ$64,0),MATCH("θ2",Modelos!$AY$49:$BG$49,0))*Q11+INDEX(Modelos!$AY$49:$BG$64,MATCH(Projeçao!M$2,Modelos!$AZ$49:$AZ$64,0),MATCH("θ3",Modelos!$AY$49:$BG$49,0))*Q10+INDEX(Modelos!$AY$49:$BG$64,MATCH(Projeçao!M$2,Modelos!$AZ$49:$AZ$64,0),MATCH("c",Modelos!$AY$49:$BG$49,0))</f>
        <v>-0.13208400249913752</v>
      </c>
      <c r="N13" s="6">
        <f ca="1">INDEX(Modelos!$AY$49:$BG$64,MATCH(Projeçao!N$2,Modelos!$AZ$49:$AZ$64,0),MATCH("β1",Modelos!$AY$49:$BG$49,0))*$K12+INDEX(Modelos!$AY$49:$BG$64,MATCH(Projeçao!N$2,Modelos!$AZ$49:$AZ$64,0),MATCH("β2",Modelos!$AY$49:$BG$49,0))*$K11+INDEX(Modelos!$AY$49:$BG$64,MATCH(Projeçao!N$2,Modelos!$AZ$49:$AZ$64,0),MATCH("β3",Modelos!$AY$49:$BG$49,0))*$K10+INDEX(Modelos!$AY$49:$BG$64,MATCH(Projeçao!N$2,Modelos!$AZ$49:$AZ$64,0),MATCH("θ1",Modelos!$AY$49:$BG$49,0))*R12+INDEX(Modelos!$AY$49:$BG$64,MATCH(Projeçao!N$2,Modelos!$AZ$49:$AZ$64,0),MATCH("θ2",Modelos!$AY$49:$BG$49,0))*R11+INDEX(Modelos!$AY$49:$BG$64,MATCH(Projeçao!N$2,Modelos!$AZ$49:$AZ$64,0),MATCH("θ3",Modelos!$AY$49:$BG$49,0))*R10+INDEX(Modelos!$AY$49:$BG$64,MATCH(Projeçao!N$2,Modelos!$AZ$49:$AZ$64,0),MATCH("c",Modelos!$AY$49:$BG$49,0))</f>
        <v>2.123002611615557E-2</v>
      </c>
      <c r="P13" s="6">
        <f t="shared" ca="1" si="16"/>
        <v>-0.13336799474316063</v>
      </c>
      <c r="Q13" s="6">
        <f t="shared" ca="1" si="17"/>
        <v>0.13655521369504861</v>
      </c>
      <c r="R13" s="6">
        <f t="shared" ca="1" si="18"/>
        <v>-1.6758814920244475E-2</v>
      </c>
      <c r="T13" s="6">
        <f ca="1">INDEX(Dados!$I:$N,MATCH($A13,Dados!$A:$A,0),MATCH(T$2,Dados!$I$2:$N$2,0))</f>
        <v>0.64559887573614194</v>
      </c>
      <c r="U13" s="6">
        <f ca="1">INDEX(Modelos!$AY$68:$BG$83,MATCH(Projeçao!U$2,Modelos!$AZ$68:$AZ$83,0),MATCH("β1",Modelos!$AY$68:$BG$68,0))*$T12+INDEX(Modelos!$AY$68:$BG$83,MATCH(Projeçao!U$2,Modelos!$AZ$68:$AZ$83,0),MATCH("β2",Modelos!$AY$68:$BG$68,0))*$T11+INDEX(Modelos!$AY$68:$BG$83,MATCH(Projeçao!U$2,Modelos!$AZ$68:$AZ$83,0),MATCH("β3",Modelos!$AY$68:$BG$68,0))*$T10+INDEX(Modelos!$AY$68:$BG$83,MATCH(Projeçao!U$2,Modelos!$AZ$68:$AZ$83,0),MATCH("θ1",Modelos!$AY$68:$BG$68,0))*Y12+INDEX(Modelos!$AY$68:$BG$83,MATCH(Projeçao!U$2,Modelos!$AZ$68:$AZ$83,0),MATCH("θ2",Modelos!$AY$68:$BG$68,0))*Y11+INDEX(Modelos!$AY$68:$BG$83,MATCH(Projeçao!U$2,Modelos!$AZ$68:$AZ$83,0),MATCH("θ3",Modelos!$AY$68:$BG$68,0))*Y10+INDEX(Modelos!$AY$68:$BG$83,MATCH(Projeçao!U$2,Modelos!$AZ$68:$AZ$83,0),MATCH("c",Modelos!$AY$68:$BG$68,0))</f>
        <v>0.63263551652150629</v>
      </c>
      <c r="V13" s="6">
        <f ca="1">INDEX(Modelos!$AY$68:$BG$83,MATCH(Projeçao!V$2,Modelos!$AZ$68:$AZ$83,0),MATCH("β1",Modelos!$AY$68:$BG$68,0))*$T12+INDEX(Modelos!$AY$68:$BG$83,MATCH(Projeçao!V$2,Modelos!$AZ$68:$AZ$83,0),MATCH("β2",Modelos!$AY$68:$BG$68,0))*$T11+INDEX(Modelos!$AY$68:$BG$83,MATCH(Projeçao!V$2,Modelos!$AZ$68:$AZ$83,0),MATCH("β3",Modelos!$AY$68:$BG$68,0))*$T10+INDEX(Modelos!$AY$68:$BG$83,MATCH(Projeçao!V$2,Modelos!$AZ$68:$AZ$83,0),MATCH("θ1",Modelos!$AY$68:$BG$68,0))*Z12+INDEX(Modelos!$AY$68:$BG$83,MATCH(Projeçao!V$2,Modelos!$AZ$68:$AZ$83,0),MATCH("θ2",Modelos!$AY$68:$BG$68,0))*Z11+INDEX(Modelos!$AY$68:$BG$83,MATCH(Projeçao!V$2,Modelos!$AZ$68:$AZ$83,0),MATCH("θ3",Modelos!$AY$68:$BG$68,0))*Z10+INDEX(Modelos!$AY$68:$BG$83,MATCH(Projeçao!V$2,Modelos!$AZ$68:$AZ$83,0),MATCH("c",Modelos!$AY$68:$BG$68,0))</f>
        <v>1.6867964036961802</v>
      </c>
      <c r="W13" s="6">
        <f ca="1">INDEX(Modelos!$AY$68:$BG$83,MATCH(Projeçao!W$2,Modelos!$AZ$68:$AZ$83,0),MATCH("β1",Modelos!$AY$68:$BG$68,0))*$T12+INDEX(Modelos!$AY$68:$BG$83,MATCH(Projeçao!W$2,Modelos!$AZ$68:$AZ$83,0),MATCH("β2",Modelos!$AY$68:$BG$68,0))*$T11+INDEX(Modelos!$AY$68:$BG$83,MATCH(Projeçao!W$2,Modelos!$AZ$68:$AZ$83,0),MATCH("β3",Modelos!$AY$68:$BG$68,0))*$T10+INDEX(Modelos!$AY$68:$BG$83,MATCH(Projeçao!W$2,Modelos!$AZ$68:$AZ$83,0),MATCH("θ1",Modelos!$AY$68:$BG$68,0))*AA12+INDEX(Modelos!$AY$68:$BG$83,MATCH(Projeçao!W$2,Modelos!$AZ$68:$AZ$83,0),MATCH("θ2",Modelos!$AY$68:$BG$68,0))*AA11+INDEX(Modelos!$AY$68:$BG$83,MATCH(Projeçao!W$2,Modelos!$AZ$68:$AZ$83,0),MATCH("θ3",Modelos!$AY$68:$BG$68,0))*AA10+INDEX(Modelos!$AY$68:$BG$83,MATCH(Projeçao!W$2,Modelos!$AZ$68:$AZ$83,0),MATCH("c",Modelos!$AY$68:$BG$68,0))</f>
        <v>1.1228813248572278E-2</v>
      </c>
      <c r="Y13" s="6">
        <f t="shared" ca="1" si="19"/>
        <v>1.296335921463565E-2</v>
      </c>
      <c r="Z13" s="6">
        <f t="shared" ca="1" si="20"/>
        <v>-1.0411975279600383</v>
      </c>
      <c r="AA13" s="6">
        <f t="shared" ca="1" si="21"/>
        <v>0.63437006248756966</v>
      </c>
    </row>
    <row r="14" spans="1:27" x14ac:dyDescent="0.15">
      <c r="A14" s="8">
        <f t="shared" si="10"/>
        <v>43100</v>
      </c>
      <c r="B14" s="6">
        <f ca="1">INDEX(Dados!$I:$N,MATCH($A14,Dados!$A:$A,0),MATCH(B$2,Dados!$I$2:$N$2,0))</f>
        <v>0.3993502975556229</v>
      </c>
      <c r="C14" s="19">
        <f ca="1">INDEX(Modelos!$AY$30:$BG$45,MATCH(Projeçao!C$2,Modelos!$AZ$49:$AZ$64,0),MATCH("β1",Modelos!$AY$30:$BG$30,0))*$B13+INDEX(Modelos!$AY$30:$BG$45,MATCH(Projeçao!C$2,Modelos!$AZ$49:$AZ$64,0),MATCH("β2",Modelos!$AY$30:$BG$30,0))*$B12+INDEX(Modelos!$AY$30:$BG$45,MATCH(Projeçao!C$2,Modelos!$AZ$49:$AZ$64,0),MATCH("β3",Modelos!$AY$30:$BG$30,0))*$B11+INDEX(Modelos!$AY$30:$BG$45,MATCH(Projeçao!C$2,Modelos!$AZ$49:$AZ$64,0),MATCH("θ1",Modelos!$AY$30:$BG$30,0))*G13+INDEX(Modelos!$AY$30:$BG$45,MATCH(Projeçao!C$2,Modelos!$AZ$49:$AZ$64,0),MATCH("θ2",Modelos!$AY$30:$BG$30,0))*G12+INDEX(Modelos!$AY$30:$BG$45,MATCH(Projeçao!C$2,Modelos!$AZ$49:$AZ$64,0),MATCH("θ3",Modelos!$AY$30:$BG$30,0))*G11+INDEX(Modelos!$AY$30:$BG$45,MATCH(Projeçao!C$2,Modelos!$AZ$49:$AZ$64,0),MATCH("c",Modelos!$AY$30:$BG$30,0))</f>
        <v>4.1517594704747562</v>
      </c>
      <c r="D14" s="19">
        <f ca="1">INDEX(Modelos!$AY$30:$BG$45,MATCH(Projeçao!D$2,Modelos!$AZ$49:$AZ$64,0),MATCH("β1",Modelos!$AY$30:$BG$30,0))*$B13+INDEX(Modelos!$AY$30:$BG$45,MATCH(Projeçao!D$2,Modelos!$AZ$49:$AZ$64,0),MATCH("β2",Modelos!$AY$30:$BG$30,0))*$B12+INDEX(Modelos!$AY$30:$BG$45,MATCH(Projeçao!D$2,Modelos!$AZ$49:$AZ$64,0),MATCH("β3",Modelos!$AY$30:$BG$30,0))*$B11+INDEX(Modelos!$AY$30:$BG$45,MATCH(Projeçao!D$2,Modelos!$AZ$49:$AZ$64,0),MATCH("θ1",Modelos!$AY$30:$BG$30,0))*H13+INDEX(Modelos!$AY$30:$BG$45,MATCH(Projeçao!D$2,Modelos!$AZ$49:$AZ$64,0),MATCH("θ2",Modelos!$AY$30:$BG$30,0))*H12+INDEX(Modelos!$AY$30:$BG$45,MATCH(Projeçao!D$2,Modelos!$AZ$49:$AZ$64,0),MATCH("θ3",Modelos!$AY$30:$BG$30,0))*H11+INDEX(Modelos!$AY$30:$BG$45,MATCH(Projeçao!D$2,Modelos!$AZ$49:$AZ$64,0),MATCH("c",Modelos!$AY$30:$BG$30,0))</f>
        <v>3.4258364314618368</v>
      </c>
      <c r="E14" s="19">
        <f ca="1">INDEX(Modelos!$AY$30:$BG$45,MATCH(Projeçao!E$2,Modelos!$AZ$49:$AZ$64,0),MATCH("β1",Modelos!$AY$30:$BG$30,0))*$B13+INDEX(Modelos!$AY$30:$BG$45,MATCH(Projeçao!E$2,Modelos!$AZ$49:$AZ$64,0),MATCH("β2",Modelos!$AY$30:$BG$30,0))*$B12+INDEX(Modelos!$AY$30:$BG$45,MATCH(Projeçao!E$2,Modelos!$AZ$49:$AZ$64,0),MATCH("β3",Modelos!$AY$30:$BG$30,0))*$B11+INDEX(Modelos!$AY$30:$BG$45,MATCH(Projeçao!E$2,Modelos!$AZ$49:$AZ$64,0),MATCH("θ1",Modelos!$AY$30:$BG$30,0))*I13+INDEX(Modelos!$AY$30:$BG$45,MATCH(Projeçao!E$2,Modelos!$AZ$49:$AZ$64,0),MATCH("θ2",Modelos!$AY$30:$BG$30,0))*I12+INDEX(Modelos!$AY$30:$BG$45,MATCH(Projeçao!E$2,Modelos!$AZ$49:$AZ$64,0),MATCH("θ3",Modelos!$AY$30:$BG$30,0))*I11+INDEX(Modelos!$AY$30:$BG$45,MATCH(Projeçao!E$2,Modelos!$AZ$49:$AZ$64,0),MATCH("c",Modelos!$AY$30:$BG$30,0))</f>
        <v>2.0625259746496285</v>
      </c>
      <c r="G14" s="6">
        <f t="shared" ca="1" si="15"/>
        <v>-3.7524091729191333</v>
      </c>
      <c r="H14" s="6">
        <f t="shared" ca="1" si="11"/>
        <v>-3.0264861339062139</v>
      </c>
      <c r="I14" s="6">
        <f t="shared" ca="1" si="12"/>
        <v>-1.6631756770940056</v>
      </c>
      <c r="K14" s="6">
        <f ca="1">INDEX(Dados!$I:$N,MATCH($A14,Dados!$A:$A,0),MATCH(K$2,Dados!$I$2:$N$2,0))</f>
        <v>1.0979736567279019</v>
      </c>
      <c r="L14" s="6">
        <f ca="1">INDEX(Modelos!$AY$49:$BG$64,MATCH(Projeçao!L$2,Modelos!$AZ$49:$AZ$64,0),MATCH("β1",Modelos!$AY$49:$BG$49,0))*$K13+INDEX(Modelos!$AY$49:$BG$64,MATCH(Projeçao!L$2,Modelos!$AZ$49:$AZ$64,0),MATCH("β2",Modelos!$AY$49:$BG$49,0))*$K12+INDEX(Modelos!$AY$49:$BG$64,MATCH(Projeçao!L$2,Modelos!$AZ$49:$AZ$64,0),MATCH("β3",Modelos!$AY$49:$BG$49,0))*$K11+INDEX(Modelos!$AY$49:$BG$64,MATCH(Projeçao!L$2,Modelos!$AZ$49:$AZ$64,0),MATCH("θ1",Modelos!$AY$49:$BG$49,0))*P13+INDEX(Modelos!$AY$49:$BG$64,MATCH(Projeçao!L$2,Modelos!$AZ$49:$AZ$64,0),MATCH("θ2",Modelos!$AY$49:$BG$49,0))*P12+INDEX(Modelos!$AY$49:$BG$64,MATCH(Projeçao!L$2,Modelos!$AZ$49:$AZ$64,0),MATCH("θ3",Modelos!$AY$49:$BG$49,0))*P11+INDEX(Modelos!$AY$49:$BG$64,MATCH(Projeçao!L$2,Modelos!$AZ$49:$AZ$64,0),MATCH("c",Modelos!$AY$49:$BG$49,0))</f>
        <v>0.22758641095794566</v>
      </c>
      <c r="M14" s="6">
        <f ca="1">INDEX(Modelos!$AY$49:$BG$64,MATCH(Projeçao!M$2,Modelos!$AZ$49:$AZ$64,0),MATCH("β1",Modelos!$AY$49:$BG$49,0))*$K13+INDEX(Modelos!$AY$49:$BG$64,MATCH(Projeçao!M$2,Modelos!$AZ$49:$AZ$64,0),MATCH("β2",Modelos!$AY$49:$BG$49,0))*$K12+INDEX(Modelos!$AY$49:$BG$64,MATCH(Projeçao!M$2,Modelos!$AZ$49:$AZ$64,0),MATCH("β3",Modelos!$AY$49:$BG$49,0))*$K11+INDEX(Modelos!$AY$49:$BG$64,MATCH(Projeçao!M$2,Modelos!$AZ$49:$AZ$64,0),MATCH("θ1",Modelos!$AY$49:$BG$49,0))*Q13+INDEX(Modelos!$AY$49:$BG$64,MATCH(Projeçao!M$2,Modelos!$AZ$49:$AZ$64,0),MATCH("θ2",Modelos!$AY$49:$BG$49,0))*Q12+INDEX(Modelos!$AY$49:$BG$64,MATCH(Projeçao!M$2,Modelos!$AZ$49:$AZ$64,0),MATCH("θ3",Modelos!$AY$49:$BG$49,0))*Q11+INDEX(Modelos!$AY$49:$BG$64,MATCH(Projeçao!M$2,Modelos!$AZ$49:$AZ$64,0),MATCH("c",Modelos!$AY$49:$BG$49,0))</f>
        <v>0.49472914465754747</v>
      </c>
      <c r="N14" s="6">
        <f ca="1">INDEX(Modelos!$AY$49:$BG$64,MATCH(Projeçao!N$2,Modelos!$AZ$49:$AZ$64,0),MATCH("β1",Modelos!$AY$49:$BG$49,0))*$K13+INDEX(Modelos!$AY$49:$BG$64,MATCH(Projeçao!N$2,Modelos!$AZ$49:$AZ$64,0),MATCH("β2",Modelos!$AY$49:$BG$49,0))*$K12+INDEX(Modelos!$AY$49:$BG$64,MATCH(Projeçao!N$2,Modelos!$AZ$49:$AZ$64,0),MATCH("β3",Modelos!$AY$49:$BG$49,0))*$K11+INDEX(Modelos!$AY$49:$BG$64,MATCH(Projeçao!N$2,Modelos!$AZ$49:$AZ$64,0),MATCH("θ1",Modelos!$AY$49:$BG$49,0))*R13+INDEX(Modelos!$AY$49:$BG$64,MATCH(Projeçao!N$2,Modelos!$AZ$49:$AZ$64,0),MATCH("θ2",Modelos!$AY$49:$BG$49,0))*R12+INDEX(Modelos!$AY$49:$BG$64,MATCH(Projeçao!N$2,Modelos!$AZ$49:$AZ$64,0),MATCH("θ3",Modelos!$AY$49:$BG$49,0))*R11+INDEX(Modelos!$AY$49:$BG$64,MATCH(Projeçao!N$2,Modelos!$AZ$49:$AZ$64,0),MATCH("c",Modelos!$AY$49:$BG$49,0))</f>
        <v>0.30042751076359359</v>
      </c>
      <c r="P14" s="6">
        <f t="shared" ca="1" si="16"/>
        <v>0.8703872457699563</v>
      </c>
      <c r="Q14" s="6">
        <f t="shared" ca="1" si="17"/>
        <v>0.60324451207035445</v>
      </c>
      <c r="R14" s="6">
        <f t="shared" ca="1" si="18"/>
        <v>0.79754614596430828</v>
      </c>
      <c r="T14" s="6">
        <f ca="1">INDEX(Dados!$I:$N,MATCH($A14,Dados!$A:$A,0),MATCH(T$2,Dados!$I$2:$N$2,0))</f>
        <v>0.22215231393281076</v>
      </c>
      <c r="U14" s="6">
        <f ca="1">INDEX(Modelos!$AY$68:$BG$83,MATCH(Projeçao!U$2,Modelos!$AZ$68:$AZ$83,0),MATCH("β1",Modelos!$AY$68:$BG$68,0))*$T13+INDEX(Modelos!$AY$68:$BG$83,MATCH(Projeçao!U$2,Modelos!$AZ$68:$AZ$83,0),MATCH("β2",Modelos!$AY$68:$BG$68,0))*$T12+INDEX(Modelos!$AY$68:$BG$83,MATCH(Projeçao!U$2,Modelos!$AZ$68:$AZ$83,0),MATCH("β3",Modelos!$AY$68:$BG$68,0))*$T11+INDEX(Modelos!$AY$68:$BG$83,MATCH(Projeçao!U$2,Modelos!$AZ$68:$AZ$83,0),MATCH("θ1",Modelos!$AY$68:$BG$68,0))*Y13+INDEX(Modelos!$AY$68:$BG$83,MATCH(Projeçao!U$2,Modelos!$AZ$68:$AZ$83,0),MATCH("θ2",Modelos!$AY$68:$BG$68,0))*Y12+INDEX(Modelos!$AY$68:$BG$83,MATCH(Projeçao!U$2,Modelos!$AZ$68:$AZ$83,0),MATCH("θ3",Modelos!$AY$68:$BG$68,0))*Y11+INDEX(Modelos!$AY$68:$BG$83,MATCH(Projeçao!U$2,Modelos!$AZ$68:$AZ$83,0),MATCH("c",Modelos!$AY$68:$BG$68,0))</f>
        <v>0.745753408329482</v>
      </c>
      <c r="V14" s="6">
        <f ca="1">INDEX(Modelos!$AY$68:$BG$83,MATCH(Projeçao!V$2,Modelos!$AZ$68:$AZ$83,0),MATCH("β1",Modelos!$AY$68:$BG$68,0))*$T13+INDEX(Modelos!$AY$68:$BG$83,MATCH(Projeçao!V$2,Modelos!$AZ$68:$AZ$83,0),MATCH("β2",Modelos!$AY$68:$BG$68,0))*$T12+INDEX(Modelos!$AY$68:$BG$83,MATCH(Projeçao!V$2,Modelos!$AZ$68:$AZ$83,0),MATCH("β3",Modelos!$AY$68:$BG$68,0))*$T11+INDEX(Modelos!$AY$68:$BG$83,MATCH(Projeçao!V$2,Modelos!$AZ$68:$AZ$83,0),MATCH("θ1",Modelos!$AY$68:$BG$68,0))*Z13+INDEX(Modelos!$AY$68:$BG$83,MATCH(Projeçao!V$2,Modelos!$AZ$68:$AZ$83,0),MATCH("θ2",Modelos!$AY$68:$BG$68,0))*Z12+INDEX(Modelos!$AY$68:$BG$83,MATCH(Projeçao!V$2,Modelos!$AZ$68:$AZ$83,0),MATCH("θ3",Modelos!$AY$68:$BG$68,0))*Z11+INDEX(Modelos!$AY$68:$BG$83,MATCH(Projeçao!V$2,Modelos!$AZ$68:$AZ$83,0),MATCH("c",Modelos!$AY$68:$BG$68,0))</f>
        <v>1.124781672627611</v>
      </c>
      <c r="W14" s="6">
        <f ca="1">INDEX(Modelos!$AY$68:$BG$83,MATCH(Projeçao!W$2,Modelos!$AZ$68:$AZ$83,0),MATCH("β1",Modelos!$AY$68:$BG$68,0))*$T13+INDEX(Modelos!$AY$68:$BG$83,MATCH(Projeçao!W$2,Modelos!$AZ$68:$AZ$83,0),MATCH("β2",Modelos!$AY$68:$BG$68,0))*$T12+INDEX(Modelos!$AY$68:$BG$83,MATCH(Projeçao!W$2,Modelos!$AZ$68:$AZ$83,0),MATCH("β3",Modelos!$AY$68:$BG$68,0))*$T11+INDEX(Modelos!$AY$68:$BG$83,MATCH(Projeçao!W$2,Modelos!$AZ$68:$AZ$83,0),MATCH("θ1",Modelos!$AY$68:$BG$68,0))*AA13+INDEX(Modelos!$AY$68:$BG$83,MATCH(Projeçao!W$2,Modelos!$AZ$68:$AZ$83,0),MATCH("θ2",Modelos!$AY$68:$BG$68,0))*AA12+INDEX(Modelos!$AY$68:$BG$83,MATCH(Projeçao!W$2,Modelos!$AZ$68:$AZ$83,0),MATCH("θ3",Modelos!$AY$68:$BG$68,0))*AA11+INDEX(Modelos!$AY$68:$BG$83,MATCH(Projeçao!W$2,Modelos!$AZ$68:$AZ$83,0),MATCH("c",Modelos!$AY$68:$BG$68,0))</f>
        <v>1.1880886470087297</v>
      </c>
      <c r="Y14" s="6">
        <f t="shared" ca="1" si="19"/>
        <v>-0.52360109439667124</v>
      </c>
      <c r="Z14" s="6">
        <f t="shared" ca="1" si="20"/>
        <v>-0.90262935869480021</v>
      </c>
      <c r="AA14" s="6">
        <f t="shared" ca="1" si="21"/>
        <v>-0.96593633307591897</v>
      </c>
    </row>
    <row r="15" spans="1:27" x14ac:dyDescent="0.15">
      <c r="A15" s="8">
        <f t="shared" si="10"/>
        <v>43190</v>
      </c>
      <c r="B15" s="6">
        <f ca="1">INDEX(Dados!$I:$N,MATCH($A15,Dados!$A:$A,0),MATCH(B$2,Dados!$I$2:$N$2,0))</f>
        <v>1.7210699653926964</v>
      </c>
      <c r="C15" s="19">
        <f ca="1">INDEX(Modelos!$AY$30:$BG$45,MATCH(Projeçao!C$2,Modelos!$AZ$49:$AZ$64,0),MATCH("β1",Modelos!$AY$30:$BG$30,0))*$B14+INDEX(Modelos!$AY$30:$BG$45,MATCH(Projeçao!C$2,Modelos!$AZ$49:$AZ$64,0),MATCH("β2",Modelos!$AY$30:$BG$30,0))*$B13+INDEX(Modelos!$AY$30:$BG$45,MATCH(Projeçao!C$2,Modelos!$AZ$49:$AZ$64,0),MATCH("β3",Modelos!$AY$30:$BG$30,0))*$B12+INDEX(Modelos!$AY$30:$BG$45,MATCH(Projeçao!C$2,Modelos!$AZ$49:$AZ$64,0),MATCH("θ1",Modelos!$AY$30:$BG$30,0))*G14+INDEX(Modelos!$AY$30:$BG$45,MATCH(Projeçao!C$2,Modelos!$AZ$49:$AZ$64,0),MATCH("θ2",Modelos!$AY$30:$BG$30,0))*G13+INDEX(Modelos!$AY$30:$BG$45,MATCH(Projeçao!C$2,Modelos!$AZ$49:$AZ$64,0),MATCH("θ3",Modelos!$AY$30:$BG$30,0))*G12+INDEX(Modelos!$AY$30:$BG$45,MATCH(Projeçao!C$2,Modelos!$AZ$49:$AZ$64,0),MATCH("c",Modelos!$AY$30:$BG$30,0))</f>
        <v>1.2405624607195922</v>
      </c>
      <c r="D15" s="19">
        <f ca="1">INDEX(Modelos!$AY$30:$BG$45,MATCH(Projeçao!D$2,Modelos!$AZ$49:$AZ$64,0),MATCH("β1",Modelos!$AY$30:$BG$30,0))*$B14+INDEX(Modelos!$AY$30:$BG$45,MATCH(Projeçao!D$2,Modelos!$AZ$49:$AZ$64,0),MATCH("β2",Modelos!$AY$30:$BG$30,0))*$B13+INDEX(Modelos!$AY$30:$BG$45,MATCH(Projeçao!D$2,Modelos!$AZ$49:$AZ$64,0),MATCH("β3",Modelos!$AY$30:$BG$30,0))*$B12+INDEX(Modelos!$AY$30:$BG$45,MATCH(Projeçao!D$2,Modelos!$AZ$49:$AZ$64,0),MATCH("θ1",Modelos!$AY$30:$BG$30,0))*H14+INDEX(Modelos!$AY$30:$BG$45,MATCH(Projeçao!D$2,Modelos!$AZ$49:$AZ$64,0),MATCH("θ2",Modelos!$AY$30:$BG$30,0))*H13+INDEX(Modelos!$AY$30:$BG$45,MATCH(Projeçao!D$2,Modelos!$AZ$49:$AZ$64,0),MATCH("θ3",Modelos!$AY$30:$BG$30,0))*H12+INDEX(Modelos!$AY$30:$BG$45,MATCH(Projeçao!D$2,Modelos!$AZ$49:$AZ$64,0),MATCH("c",Modelos!$AY$30:$BG$30,0))</f>
        <v>0.68579559492763997</v>
      </c>
      <c r="E15" s="19">
        <f ca="1">INDEX(Modelos!$AY$30:$BG$45,MATCH(Projeçao!E$2,Modelos!$AZ$49:$AZ$64,0),MATCH("β1",Modelos!$AY$30:$BG$30,0))*$B14+INDEX(Modelos!$AY$30:$BG$45,MATCH(Projeçao!E$2,Modelos!$AZ$49:$AZ$64,0),MATCH("β2",Modelos!$AY$30:$BG$30,0))*$B13+INDEX(Modelos!$AY$30:$BG$45,MATCH(Projeçao!E$2,Modelos!$AZ$49:$AZ$64,0),MATCH("β3",Modelos!$AY$30:$BG$30,0))*$B12+INDEX(Modelos!$AY$30:$BG$45,MATCH(Projeçao!E$2,Modelos!$AZ$49:$AZ$64,0),MATCH("θ1",Modelos!$AY$30:$BG$30,0))*I14+INDEX(Modelos!$AY$30:$BG$45,MATCH(Projeçao!E$2,Modelos!$AZ$49:$AZ$64,0),MATCH("θ2",Modelos!$AY$30:$BG$30,0))*I13+INDEX(Modelos!$AY$30:$BG$45,MATCH(Projeçao!E$2,Modelos!$AZ$49:$AZ$64,0),MATCH("θ3",Modelos!$AY$30:$BG$30,0))*I12+INDEX(Modelos!$AY$30:$BG$45,MATCH(Projeçao!E$2,Modelos!$AZ$49:$AZ$64,0),MATCH("c",Modelos!$AY$30:$BG$30,0))</f>
        <v>1.7656941136925579</v>
      </c>
      <c r="G15" s="6">
        <f t="shared" ca="1" si="15"/>
        <v>0.48050750467310421</v>
      </c>
      <c r="H15" s="6">
        <f t="shared" ca="1" si="11"/>
        <v>1.0352743704650564</v>
      </c>
      <c r="I15" s="6">
        <f t="shared" ca="1" si="12"/>
        <v>-4.4624148299861499E-2</v>
      </c>
      <c r="K15" s="6">
        <f ca="1">INDEX(Dados!$I:$N,MATCH($A15,Dados!$A:$A,0),MATCH(K$2,Dados!$I$2:$N$2,0))</f>
        <v>0.26611160926908184</v>
      </c>
      <c r="L15" s="6">
        <f ca="1">INDEX(Modelos!$AY$49:$BG$64,MATCH(Projeçao!L$2,Modelos!$AZ$49:$AZ$64,0),MATCH("β1",Modelos!$AY$49:$BG$49,0))*$K14+INDEX(Modelos!$AY$49:$BG$64,MATCH(Projeçao!L$2,Modelos!$AZ$49:$AZ$64,0),MATCH("β2",Modelos!$AY$49:$BG$49,0))*$K13+INDEX(Modelos!$AY$49:$BG$64,MATCH(Projeçao!L$2,Modelos!$AZ$49:$AZ$64,0),MATCH("β3",Modelos!$AY$49:$BG$49,0))*$K12+INDEX(Modelos!$AY$49:$BG$64,MATCH(Projeçao!L$2,Modelos!$AZ$49:$AZ$64,0),MATCH("θ1",Modelos!$AY$49:$BG$49,0))*P14+INDEX(Modelos!$AY$49:$BG$64,MATCH(Projeçao!L$2,Modelos!$AZ$49:$AZ$64,0),MATCH("θ2",Modelos!$AY$49:$BG$49,0))*P13+INDEX(Modelos!$AY$49:$BG$64,MATCH(Projeçao!L$2,Modelos!$AZ$49:$AZ$64,0),MATCH("θ3",Modelos!$AY$49:$BG$49,0))*P12+INDEX(Modelos!$AY$49:$BG$64,MATCH(Projeçao!L$2,Modelos!$AZ$49:$AZ$64,0),MATCH("c",Modelos!$AY$49:$BG$49,0))</f>
        <v>0.36487185344421075</v>
      </c>
      <c r="M15" s="6">
        <f ca="1">INDEX(Modelos!$AY$49:$BG$64,MATCH(Projeçao!M$2,Modelos!$AZ$49:$AZ$64,0),MATCH("β1",Modelos!$AY$49:$BG$49,0))*$K14+INDEX(Modelos!$AY$49:$BG$64,MATCH(Projeçao!M$2,Modelos!$AZ$49:$AZ$64,0),MATCH("β2",Modelos!$AY$49:$BG$49,0))*$K13+INDEX(Modelos!$AY$49:$BG$64,MATCH(Projeçao!M$2,Modelos!$AZ$49:$AZ$64,0),MATCH("β3",Modelos!$AY$49:$BG$49,0))*$K12+INDEX(Modelos!$AY$49:$BG$64,MATCH(Projeçao!M$2,Modelos!$AZ$49:$AZ$64,0),MATCH("θ1",Modelos!$AY$49:$BG$49,0))*Q14+INDEX(Modelos!$AY$49:$BG$64,MATCH(Projeçao!M$2,Modelos!$AZ$49:$AZ$64,0),MATCH("θ2",Modelos!$AY$49:$BG$49,0))*Q13+INDEX(Modelos!$AY$49:$BG$64,MATCH(Projeçao!M$2,Modelos!$AZ$49:$AZ$64,0),MATCH("θ3",Modelos!$AY$49:$BG$49,0))*Q12+INDEX(Modelos!$AY$49:$BG$64,MATCH(Projeçao!M$2,Modelos!$AZ$49:$AZ$64,0),MATCH("c",Modelos!$AY$49:$BG$49,0))</f>
        <v>-9.5542354597855067E-2</v>
      </c>
      <c r="N15" s="6">
        <f ca="1">INDEX(Modelos!$AY$49:$BG$64,MATCH(Projeçao!N$2,Modelos!$AZ$49:$AZ$64,0),MATCH("β1",Modelos!$AY$49:$BG$49,0))*$K14+INDEX(Modelos!$AY$49:$BG$64,MATCH(Projeçao!N$2,Modelos!$AZ$49:$AZ$64,0),MATCH("β2",Modelos!$AY$49:$BG$49,0))*$K13+INDEX(Modelos!$AY$49:$BG$64,MATCH(Projeçao!N$2,Modelos!$AZ$49:$AZ$64,0),MATCH("β3",Modelos!$AY$49:$BG$49,0))*$K12+INDEX(Modelos!$AY$49:$BG$64,MATCH(Projeçao!N$2,Modelos!$AZ$49:$AZ$64,0),MATCH("θ1",Modelos!$AY$49:$BG$49,0))*R14+INDEX(Modelos!$AY$49:$BG$64,MATCH(Projeçao!N$2,Modelos!$AZ$49:$AZ$64,0),MATCH("θ2",Modelos!$AY$49:$BG$49,0))*R13+INDEX(Modelos!$AY$49:$BG$64,MATCH(Projeçao!N$2,Modelos!$AZ$49:$AZ$64,0),MATCH("θ3",Modelos!$AY$49:$BG$49,0))*R12+INDEX(Modelos!$AY$49:$BG$64,MATCH(Projeçao!N$2,Modelos!$AZ$49:$AZ$64,0),MATCH("c",Modelos!$AY$49:$BG$49,0))</f>
        <v>-6.7758606205677308E-2</v>
      </c>
      <c r="P15" s="6">
        <f t="shared" ca="1" si="16"/>
        <v>-9.8760244175128908E-2</v>
      </c>
      <c r="Q15" s="6">
        <f t="shared" ca="1" si="17"/>
        <v>0.36165396386693693</v>
      </c>
      <c r="R15" s="6">
        <f t="shared" ca="1" si="18"/>
        <v>0.33387021547475915</v>
      </c>
      <c r="T15" s="6">
        <f ca="1">INDEX(Dados!$I:$N,MATCH($A15,Dados!$A:$A,0),MATCH(T$2,Dados!$I$2:$N$2,0))</f>
        <v>0.77438361264077216</v>
      </c>
      <c r="U15" s="6">
        <f ca="1">INDEX(Modelos!$AY$68:$BG$83,MATCH(Projeçao!U$2,Modelos!$AZ$68:$AZ$83,0),MATCH("β1",Modelos!$AY$68:$BG$68,0))*$T14+INDEX(Modelos!$AY$68:$BG$83,MATCH(Projeçao!U$2,Modelos!$AZ$68:$AZ$83,0),MATCH("β2",Modelos!$AY$68:$BG$68,0))*$T13+INDEX(Modelos!$AY$68:$BG$83,MATCH(Projeçao!U$2,Modelos!$AZ$68:$AZ$83,0),MATCH("β3",Modelos!$AY$68:$BG$68,0))*$T12+INDEX(Modelos!$AY$68:$BG$83,MATCH(Projeçao!U$2,Modelos!$AZ$68:$AZ$83,0),MATCH("θ1",Modelos!$AY$68:$BG$68,0))*Y14+INDEX(Modelos!$AY$68:$BG$83,MATCH(Projeçao!U$2,Modelos!$AZ$68:$AZ$83,0),MATCH("θ2",Modelos!$AY$68:$BG$68,0))*Y13+INDEX(Modelos!$AY$68:$BG$83,MATCH(Projeçao!U$2,Modelos!$AZ$68:$AZ$83,0),MATCH("θ3",Modelos!$AY$68:$BG$68,0))*Y12+INDEX(Modelos!$AY$68:$BG$83,MATCH(Projeçao!U$2,Modelos!$AZ$68:$AZ$83,0),MATCH("c",Modelos!$AY$68:$BG$68,0))</f>
        <v>0.57199215031529382</v>
      </c>
      <c r="V15" s="6">
        <f ca="1">INDEX(Modelos!$AY$68:$BG$83,MATCH(Projeçao!V$2,Modelos!$AZ$68:$AZ$83,0),MATCH("β1",Modelos!$AY$68:$BG$68,0))*$T14+INDEX(Modelos!$AY$68:$BG$83,MATCH(Projeçao!V$2,Modelos!$AZ$68:$AZ$83,0),MATCH("β2",Modelos!$AY$68:$BG$68,0))*$T13+INDEX(Modelos!$AY$68:$BG$83,MATCH(Projeçao!V$2,Modelos!$AZ$68:$AZ$83,0),MATCH("β3",Modelos!$AY$68:$BG$68,0))*$T12+INDEX(Modelos!$AY$68:$BG$83,MATCH(Projeçao!V$2,Modelos!$AZ$68:$AZ$83,0),MATCH("θ1",Modelos!$AY$68:$BG$68,0))*Z14+INDEX(Modelos!$AY$68:$BG$83,MATCH(Projeçao!V$2,Modelos!$AZ$68:$AZ$83,0),MATCH("θ2",Modelos!$AY$68:$BG$68,0))*Z13+INDEX(Modelos!$AY$68:$BG$83,MATCH(Projeçao!V$2,Modelos!$AZ$68:$AZ$83,0),MATCH("θ3",Modelos!$AY$68:$BG$68,0))*Z12+INDEX(Modelos!$AY$68:$BG$83,MATCH(Projeçao!V$2,Modelos!$AZ$68:$AZ$83,0),MATCH("c",Modelos!$AY$68:$BG$68,0))</f>
        <v>0.48010790719712609</v>
      </c>
      <c r="W15" s="6">
        <f ca="1">INDEX(Modelos!$AY$68:$BG$83,MATCH(Projeçao!W$2,Modelos!$AZ$68:$AZ$83,0),MATCH("β1",Modelos!$AY$68:$BG$68,0))*$T14+INDEX(Modelos!$AY$68:$BG$83,MATCH(Projeçao!W$2,Modelos!$AZ$68:$AZ$83,0),MATCH("β2",Modelos!$AY$68:$BG$68,0))*$T13+INDEX(Modelos!$AY$68:$BG$83,MATCH(Projeçao!W$2,Modelos!$AZ$68:$AZ$83,0),MATCH("β3",Modelos!$AY$68:$BG$68,0))*$T12+INDEX(Modelos!$AY$68:$BG$83,MATCH(Projeçao!W$2,Modelos!$AZ$68:$AZ$83,0),MATCH("θ1",Modelos!$AY$68:$BG$68,0))*AA14+INDEX(Modelos!$AY$68:$BG$83,MATCH(Projeçao!W$2,Modelos!$AZ$68:$AZ$83,0),MATCH("θ2",Modelos!$AY$68:$BG$68,0))*AA13+INDEX(Modelos!$AY$68:$BG$83,MATCH(Projeçao!W$2,Modelos!$AZ$68:$AZ$83,0),MATCH("θ3",Modelos!$AY$68:$BG$68,0))*AA12+INDEX(Modelos!$AY$68:$BG$83,MATCH(Projeçao!W$2,Modelos!$AZ$68:$AZ$83,0),MATCH("c",Modelos!$AY$68:$BG$68,0))</f>
        <v>1.0205123592291834</v>
      </c>
      <c r="Y15" s="6">
        <f t="shared" ca="1" si="19"/>
        <v>0.20239146232547833</v>
      </c>
      <c r="Z15" s="6">
        <f t="shared" ca="1" si="20"/>
        <v>0.29427570544364606</v>
      </c>
      <c r="AA15" s="6">
        <f t="shared" ca="1" si="21"/>
        <v>-0.24612874658841122</v>
      </c>
    </row>
    <row r="16" spans="1:27" x14ac:dyDescent="0.15">
      <c r="A16" s="8">
        <f t="shared" si="10"/>
        <v>43281</v>
      </c>
      <c r="B16" s="6">
        <f ca="1">INDEX(Dados!$I:$N,MATCH($A16,Dados!$A:$A,0),MATCH(B$2,Dados!$I$2:$N$2,0))</f>
        <v>0.69495349040264998</v>
      </c>
      <c r="C16" s="19">
        <f ca="1">INDEX(Modelos!$AY$30:$BG$45,MATCH(Projeçao!C$2,Modelos!$AZ$49:$AZ$64,0),MATCH("β1",Modelos!$AY$30:$BG$30,0))*$B15+INDEX(Modelos!$AY$30:$BG$45,MATCH(Projeçao!C$2,Modelos!$AZ$49:$AZ$64,0),MATCH("β2",Modelos!$AY$30:$BG$30,0))*$B14+INDEX(Modelos!$AY$30:$BG$45,MATCH(Projeçao!C$2,Modelos!$AZ$49:$AZ$64,0),MATCH("β3",Modelos!$AY$30:$BG$30,0))*$B13+INDEX(Modelos!$AY$30:$BG$45,MATCH(Projeçao!C$2,Modelos!$AZ$49:$AZ$64,0),MATCH("θ1",Modelos!$AY$30:$BG$30,0))*G15+INDEX(Modelos!$AY$30:$BG$45,MATCH(Projeçao!C$2,Modelos!$AZ$49:$AZ$64,0),MATCH("θ2",Modelos!$AY$30:$BG$30,0))*G14+INDEX(Modelos!$AY$30:$BG$45,MATCH(Projeçao!C$2,Modelos!$AZ$49:$AZ$64,0),MATCH("θ3",Modelos!$AY$30:$BG$30,0))*G13+INDEX(Modelos!$AY$30:$BG$45,MATCH(Projeçao!C$2,Modelos!$AZ$49:$AZ$64,0),MATCH("c",Modelos!$AY$30:$BG$30,0))</f>
        <v>1.589989510573645</v>
      </c>
      <c r="D16" s="19">
        <f ca="1">INDEX(Modelos!$AY$30:$BG$45,MATCH(Projeçao!D$2,Modelos!$AZ$49:$AZ$64,0),MATCH("β1",Modelos!$AY$30:$BG$30,0))*$B15+INDEX(Modelos!$AY$30:$BG$45,MATCH(Projeçao!D$2,Modelos!$AZ$49:$AZ$64,0),MATCH("β2",Modelos!$AY$30:$BG$30,0))*$B14+INDEX(Modelos!$AY$30:$BG$45,MATCH(Projeçao!D$2,Modelos!$AZ$49:$AZ$64,0),MATCH("β3",Modelos!$AY$30:$BG$30,0))*$B13+INDEX(Modelos!$AY$30:$BG$45,MATCH(Projeçao!D$2,Modelos!$AZ$49:$AZ$64,0),MATCH("θ1",Modelos!$AY$30:$BG$30,0))*H15+INDEX(Modelos!$AY$30:$BG$45,MATCH(Projeçao!D$2,Modelos!$AZ$49:$AZ$64,0),MATCH("θ2",Modelos!$AY$30:$BG$30,0))*H14+INDEX(Modelos!$AY$30:$BG$45,MATCH(Projeçao!D$2,Modelos!$AZ$49:$AZ$64,0),MATCH("θ3",Modelos!$AY$30:$BG$30,0))*H13+INDEX(Modelos!$AY$30:$BG$45,MATCH(Projeçao!D$2,Modelos!$AZ$49:$AZ$64,0),MATCH("c",Modelos!$AY$30:$BG$30,0))</f>
        <v>0.13536070602999722</v>
      </c>
      <c r="E16" s="19">
        <f ca="1">INDEX(Modelos!$AY$30:$BG$45,MATCH(Projeçao!E$2,Modelos!$AZ$49:$AZ$64,0),MATCH("β1",Modelos!$AY$30:$BG$30,0))*$B15+INDEX(Modelos!$AY$30:$BG$45,MATCH(Projeçao!E$2,Modelos!$AZ$49:$AZ$64,0),MATCH("β2",Modelos!$AY$30:$BG$30,0))*$B14+INDEX(Modelos!$AY$30:$BG$45,MATCH(Projeçao!E$2,Modelos!$AZ$49:$AZ$64,0),MATCH("β3",Modelos!$AY$30:$BG$30,0))*$B13+INDEX(Modelos!$AY$30:$BG$45,MATCH(Projeçao!E$2,Modelos!$AZ$49:$AZ$64,0),MATCH("θ1",Modelos!$AY$30:$BG$30,0))*I15+INDEX(Modelos!$AY$30:$BG$45,MATCH(Projeçao!E$2,Modelos!$AZ$49:$AZ$64,0),MATCH("θ2",Modelos!$AY$30:$BG$30,0))*I14+INDEX(Modelos!$AY$30:$BG$45,MATCH(Projeçao!E$2,Modelos!$AZ$49:$AZ$64,0),MATCH("θ3",Modelos!$AY$30:$BG$30,0))*I13+INDEX(Modelos!$AY$30:$BG$45,MATCH(Projeçao!E$2,Modelos!$AZ$49:$AZ$64,0),MATCH("c",Modelos!$AY$30:$BG$30,0))</f>
        <v>0.96009455705685476</v>
      </c>
      <c r="G16" s="6">
        <f t="shared" ca="1" si="15"/>
        <v>-0.89503602017099504</v>
      </c>
      <c r="H16" s="6">
        <f t="shared" ca="1" si="11"/>
        <v>0.5595927843726527</v>
      </c>
      <c r="I16" s="6">
        <f t="shared" ca="1" si="12"/>
        <v>-0.26514106665420478</v>
      </c>
      <c r="K16" s="6">
        <f ca="1">INDEX(Dados!$I:$N,MATCH($A16,Dados!$A:$A,0),MATCH(K$2,Dados!$I$2:$N$2,0))</f>
        <v>-1.0792279031725971</v>
      </c>
      <c r="L16" s="6">
        <f ca="1">INDEX(Modelos!$AY$49:$BG$64,MATCH(Projeçao!L$2,Modelos!$AZ$49:$AZ$64,0),MATCH("β1",Modelos!$AY$49:$BG$49,0))*$K15+INDEX(Modelos!$AY$49:$BG$64,MATCH(Projeçao!L$2,Modelos!$AZ$49:$AZ$64,0),MATCH("β2",Modelos!$AY$49:$BG$49,0))*$K14+INDEX(Modelos!$AY$49:$BG$64,MATCH(Projeçao!L$2,Modelos!$AZ$49:$AZ$64,0),MATCH("β3",Modelos!$AY$49:$BG$49,0))*$K13+INDEX(Modelos!$AY$49:$BG$64,MATCH(Projeçao!L$2,Modelos!$AZ$49:$AZ$64,0),MATCH("θ1",Modelos!$AY$49:$BG$49,0))*P15+INDEX(Modelos!$AY$49:$BG$64,MATCH(Projeçao!L$2,Modelos!$AZ$49:$AZ$64,0),MATCH("θ2",Modelos!$AY$49:$BG$49,0))*P14+INDEX(Modelos!$AY$49:$BG$64,MATCH(Projeçao!L$2,Modelos!$AZ$49:$AZ$64,0),MATCH("θ3",Modelos!$AY$49:$BG$49,0))*P13+INDEX(Modelos!$AY$49:$BG$64,MATCH(Projeçao!L$2,Modelos!$AZ$49:$AZ$64,0),MATCH("c",Modelos!$AY$49:$BG$49,0))</f>
        <v>0.14357610387751829</v>
      </c>
      <c r="M16" s="6">
        <f ca="1">INDEX(Modelos!$AY$49:$BG$64,MATCH(Projeçao!M$2,Modelos!$AZ$49:$AZ$64,0),MATCH("β1",Modelos!$AY$49:$BG$49,0))*$K15+INDEX(Modelos!$AY$49:$BG$64,MATCH(Projeçao!M$2,Modelos!$AZ$49:$AZ$64,0),MATCH("β2",Modelos!$AY$49:$BG$49,0))*$K14+INDEX(Modelos!$AY$49:$BG$64,MATCH(Projeçao!M$2,Modelos!$AZ$49:$AZ$64,0),MATCH("β3",Modelos!$AY$49:$BG$49,0))*$K13+INDEX(Modelos!$AY$49:$BG$64,MATCH(Projeçao!M$2,Modelos!$AZ$49:$AZ$64,0),MATCH("θ1",Modelos!$AY$49:$BG$49,0))*Q15+INDEX(Modelos!$AY$49:$BG$64,MATCH(Projeçao!M$2,Modelos!$AZ$49:$AZ$64,0),MATCH("θ2",Modelos!$AY$49:$BG$49,0))*Q14+INDEX(Modelos!$AY$49:$BG$64,MATCH(Projeçao!M$2,Modelos!$AZ$49:$AZ$64,0),MATCH("θ3",Modelos!$AY$49:$BG$49,0))*Q13+INDEX(Modelos!$AY$49:$BG$64,MATCH(Projeçao!M$2,Modelos!$AZ$49:$AZ$64,0),MATCH("c",Modelos!$AY$49:$BG$49,0))</f>
        <v>0.35612620993883926</v>
      </c>
      <c r="N16" s="6">
        <f ca="1">INDEX(Modelos!$AY$49:$BG$64,MATCH(Projeçao!N$2,Modelos!$AZ$49:$AZ$64,0),MATCH("β1",Modelos!$AY$49:$BG$49,0))*$K15+INDEX(Modelos!$AY$49:$BG$64,MATCH(Projeçao!N$2,Modelos!$AZ$49:$AZ$64,0),MATCH("β2",Modelos!$AY$49:$BG$49,0))*$K14+INDEX(Modelos!$AY$49:$BG$64,MATCH(Projeçao!N$2,Modelos!$AZ$49:$AZ$64,0),MATCH("β3",Modelos!$AY$49:$BG$49,0))*$K13+INDEX(Modelos!$AY$49:$BG$64,MATCH(Projeçao!N$2,Modelos!$AZ$49:$AZ$64,0),MATCH("θ1",Modelos!$AY$49:$BG$49,0))*R15+INDEX(Modelos!$AY$49:$BG$64,MATCH(Projeçao!N$2,Modelos!$AZ$49:$AZ$64,0),MATCH("θ2",Modelos!$AY$49:$BG$49,0))*R14+INDEX(Modelos!$AY$49:$BG$64,MATCH(Projeçao!N$2,Modelos!$AZ$49:$AZ$64,0),MATCH("θ3",Modelos!$AY$49:$BG$49,0))*R13+INDEX(Modelos!$AY$49:$BG$64,MATCH(Projeçao!N$2,Modelos!$AZ$49:$AZ$64,0),MATCH("c",Modelos!$AY$49:$BG$49,0))</f>
        <v>0.25532744211320069</v>
      </c>
      <c r="P16" s="6">
        <f t="shared" ca="1" si="16"/>
        <v>-1.2228040070501154</v>
      </c>
      <c r="Q16" s="6">
        <f t="shared" ca="1" si="17"/>
        <v>-1.4353541131114365</v>
      </c>
      <c r="R16" s="6">
        <f t="shared" ca="1" si="18"/>
        <v>-1.3345553452857977</v>
      </c>
      <c r="T16" s="6">
        <f ca="1">INDEX(Dados!$I:$N,MATCH($A16,Dados!$A:$A,0),MATCH(T$2,Dados!$I$2:$N$2,0))</f>
        <v>0.41519994589387377</v>
      </c>
      <c r="U16" s="6">
        <f ca="1">INDEX(Modelos!$AY$68:$BG$83,MATCH(Projeçao!U$2,Modelos!$AZ$68:$AZ$83,0),MATCH("β1",Modelos!$AY$68:$BG$68,0))*$T15+INDEX(Modelos!$AY$68:$BG$83,MATCH(Projeçao!U$2,Modelos!$AZ$68:$AZ$83,0),MATCH("β2",Modelos!$AY$68:$BG$68,0))*$T14+INDEX(Modelos!$AY$68:$BG$83,MATCH(Projeçao!U$2,Modelos!$AZ$68:$AZ$83,0),MATCH("β3",Modelos!$AY$68:$BG$68,0))*$T13+INDEX(Modelos!$AY$68:$BG$83,MATCH(Projeçao!U$2,Modelos!$AZ$68:$AZ$83,0),MATCH("θ1",Modelos!$AY$68:$BG$68,0))*Y15+INDEX(Modelos!$AY$68:$BG$83,MATCH(Projeçao!U$2,Modelos!$AZ$68:$AZ$83,0),MATCH("θ2",Modelos!$AY$68:$BG$68,0))*Y14+INDEX(Modelos!$AY$68:$BG$83,MATCH(Projeçao!U$2,Modelos!$AZ$68:$AZ$83,0),MATCH("θ3",Modelos!$AY$68:$BG$68,0))*Y13+INDEX(Modelos!$AY$68:$BG$83,MATCH(Projeçao!U$2,Modelos!$AZ$68:$AZ$83,0),MATCH("c",Modelos!$AY$68:$BG$68,0))</f>
        <v>0.46096366031813968</v>
      </c>
      <c r="V16" s="6">
        <f ca="1">INDEX(Modelos!$AY$68:$BG$83,MATCH(Projeçao!V$2,Modelos!$AZ$68:$AZ$83,0),MATCH("β1",Modelos!$AY$68:$BG$68,0))*$T15+INDEX(Modelos!$AY$68:$BG$83,MATCH(Projeçao!V$2,Modelos!$AZ$68:$AZ$83,0),MATCH("β2",Modelos!$AY$68:$BG$68,0))*$T14+INDEX(Modelos!$AY$68:$BG$83,MATCH(Projeçao!V$2,Modelos!$AZ$68:$AZ$83,0),MATCH("β3",Modelos!$AY$68:$BG$68,0))*$T13+INDEX(Modelos!$AY$68:$BG$83,MATCH(Projeçao!V$2,Modelos!$AZ$68:$AZ$83,0),MATCH("θ1",Modelos!$AY$68:$BG$68,0))*Z15+INDEX(Modelos!$AY$68:$BG$83,MATCH(Projeçao!V$2,Modelos!$AZ$68:$AZ$83,0),MATCH("θ2",Modelos!$AY$68:$BG$68,0))*Z14+INDEX(Modelos!$AY$68:$BG$83,MATCH(Projeçao!V$2,Modelos!$AZ$68:$AZ$83,0),MATCH("θ3",Modelos!$AY$68:$BG$68,0))*Z13+INDEX(Modelos!$AY$68:$BG$83,MATCH(Projeçao!V$2,Modelos!$AZ$68:$AZ$83,0),MATCH("c",Modelos!$AY$68:$BG$68,0))</f>
        <v>1.0841376284649307</v>
      </c>
      <c r="W16" s="6">
        <f ca="1">INDEX(Modelos!$AY$68:$BG$83,MATCH(Projeçao!W$2,Modelos!$AZ$68:$AZ$83,0),MATCH("β1",Modelos!$AY$68:$BG$68,0))*$T15+INDEX(Modelos!$AY$68:$BG$83,MATCH(Projeçao!W$2,Modelos!$AZ$68:$AZ$83,0),MATCH("β2",Modelos!$AY$68:$BG$68,0))*$T14+INDEX(Modelos!$AY$68:$BG$83,MATCH(Projeçao!W$2,Modelos!$AZ$68:$AZ$83,0),MATCH("β3",Modelos!$AY$68:$BG$68,0))*$T13+INDEX(Modelos!$AY$68:$BG$83,MATCH(Projeçao!W$2,Modelos!$AZ$68:$AZ$83,0),MATCH("θ1",Modelos!$AY$68:$BG$68,0))*AA15+INDEX(Modelos!$AY$68:$BG$83,MATCH(Projeçao!W$2,Modelos!$AZ$68:$AZ$83,0),MATCH("θ2",Modelos!$AY$68:$BG$68,0))*AA14+INDEX(Modelos!$AY$68:$BG$83,MATCH(Projeçao!W$2,Modelos!$AZ$68:$AZ$83,0),MATCH("θ3",Modelos!$AY$68:$BG$68,0))*AA13+INDEX(Modelos!$AY$68:$BG$83,MATCH(Projeçao!W$2,Modelos!$AZ$68:$AZ$83,0),MATCH("c",Modelos!$AY$68:$BG$68,0))</f>
        <v>6.9726425786374335E-2</v>
      </c>
      <c r="Y16" s="6">
        <f t="shared" ca="1" si="19"/>
        <v>-4.5763714424265911E-2</v>
      </c>
      <c r="Z16" s="6">
        <f t="shared" ca="1" si="20"/>
        <v>-0.6689376825710569</v>
      </c>
      <c r="AA16" s="6">
        <f t="shared" ca="1" si="21"/>
        <v>0.34547352010749943</v>
      </c>
    </row>
    <row r="17" spans="1:27" x14ac:dyDescent="0.15">
      <c r="A17" s="8">
        <f t="shared" si="10"/>
        <v>43373</v>
      </c>
      <c r="B17" s="6">
        <f ca="1">INDEX(Dados!$I:$N,MATCH($A17,Dados!$A:$A,0),MATCH(B$2,Dados!$I$2:$N$2,0))</f>
        <v>2.3190089160851413</v>
      </c>
      <c r="C17" s="19">
        <f ca="1">INDEX(Modelos!$AY$30:$BG$45,MATCH(Projeçao!C$2,Modelos!$AZ$49:$AZ$64,0),MATCH("β1",Modelos!$AY$30:$BG$30,0))*$B16+INDEX(Modelos!$AY$30:$BG$45,MATCH(Projeçao!C$2,Modelos!$AZ$49:$AZ$64,0),MATCH("β2",Modelos!$AY$30:$BG$30,0))*$B15+INDEX(Modelos!$AY$30:$BG$45,MATCH(Projeçao!C$2,Modelos!$AZ$49:$AZ$64,0),MATCH("β3",Modelos!$AY$30:$BG$30,0))*$B14+INDEX(Modelos!$AY$30:$BG$45,MATCH(Projeçao!C$2,Modelos!$AZ$49:$AZ$64,0),MATCH("θ1",Modelos!$AY$30:$BG$30,0))*G16+INDEX(Modelos!$AY$30:$BG$45,MATCH(Projeçao!C$2,Modelos!$AZ$49:$AZ$64,0),MATCH("θ2",Modelos!$AY$30:$BG$30,0))*G15+INDEX(Modelos!$AY$30:$BG$45,MATCH(Projeçao!C$2,Modelos!$AZ$49:$AZ$64,0),MATCH("θ3",Modelos!$AY$30:$BG$30,0))*G14+INDEX(Modelos!$AY$30:$BG$45,MATCH(Projeçao!C$2,Modelos!$AZ$49:$AZ$64,0),MATCH("c",Modelos!$AY$30:$BG$30,0))</f>
        <v>-0.43722751189582842</v>
      </c>
      <c r="D17" s="19">
        <f ca="1">INDEX(Modelos!$AY$30:$BG$45,MATCH(Projeçao!D$2,Modelos!$AZ$49:$AZ$64,0),MATCH("β1",Modelos!$AY$30:$BG$30,0))*$B16+INDEX(Modelos!$AY$30:$BG$45,MATCH(Projeçao!D$2,Modelos!$AZ$49:$AZ$64,0),MATCH("β2",Modelos!$AY$30:$BG$30,0))*$B15+INDEX(Modelos!$AY$30:$BG$45,MATCH(Projeçao!D$2,Modelos!$AZ$49:$AZ$64,0),MATCH("β3",Modelos!$AY$30:$BG$30,0))*$B14+INDEX(Modelos!$AY$30:$BG$45,MATCH(Projeçao!D$2,Modelos!$AZ$49:$AZ$64,0),MATCH("θ1",Modelos!$AY$30:$BG$30,0))*H16+INDEX(Modelos!$AY$30:$BG$45,MATCH(Projeçao!D$2,Modelos!$AZ$49:$AZ$64,0),MATCH("θ2",Modelos!$AY$30:$BG$30,0))*H15+INDEX(Modelos!$AY$30:$BG$45,MATCH(Projeçao!D$2,Modelos!$AZ$49:$AZ$64,0),MATCH("θ3",Modelos!$AY$30:$BG$30,0))*H14+INDEX(Modelos!$AY$30:$BG$45,MATCH(Projeçao!D$2,Modelos!$AZ$49:$AZ$64,0),MATCH("c",Modelos!$AY$30:$BG$30,0))</f>
        <v>0.5212768165184265</v>
      </c>
      <c r="E17" s="19">
        <f ca="1">INDEX(Modelos!$AY$30:$BG$45,MATCH(Projeçao!E$2,Modelos!$AZ$49:$AZ$64,0),MATCH("β1",Modelos!$AY$30:$BG$30,0))*$B16+INDEX(Modelos!$AY$30:$BG$45,MATCH(Projeçao!E$2,Modelos!$AZ$49:$AZ$64,0),MATCH("β2",Modelos!$AY$30:$BG$30,0))*$B15+INDEX(Modelos!$AY$30:$BG$45,MATCH(Projeçao!E$2,Modelos!$AZ$49:$AZ$64,0),MATCH("β3",Modelos!$AY$30:$BG$30,0))*$B14+INDEX(Modelos!$AY$30:$BG$45,MATCH(Projeçao!E$2,Modelos!$AZ$49:$AZ$64,0),MATCH("θ1",Modelos!$AY$30:$BG$30,0))*I16+INDEX(Modelos!$AY$30:$BG$45,MATCH(Projeçao!E$2,Modelos!$AZ$49:$AZ$64,0),MATCH("θ2",Modelos!$AY$30:$BG$30,0))*I15+INDEX(Modelos!$AY$30:$BG$45,MATCH(Projeçao!E$2,Modelos!$AZ$49:$AZ$64,0),MATCH("θ3",Modelos!$AY$30:$BG$30,0))*I14+INDEX(Modelos!$AY$30:$BG$45,MATCH(Projeçao!E$2,Modelos!$AZ$49:$AZ$64,0),MATCH("c",Modelos!$AY$30:$BG$30,0))</f>
        <v>0.8560522958955864</v>
      </c>
      <c r="G17" s="6">
        <f t="shared" ca="1" si="15"/>
        <v>2.7562364279809697</v>
      </c>
      <c r="H17" s="6">
        <f t="shared" ca="1" si="11"/>
        <v>1.7977320995667148</v>
      </c>
      <c r="I17" s="6">
        <f t="shared" ca="1" si="12"/>
        <v>1.462956620189555</v>
      </c>
      <c r="K17" s="6">
        <f ca="1">INDEX(Dados!$I:$N,MATCH($A17,Dados!$A:$A,0),MATCH(K$2,Dados!$I$2:$N$2,0))</f>
        <v>0.8286281588248956</v>
      </c>
      <c r="L17" s="6">
        <f ca="1">INDEX(Modelos!$AY$49:$BG$64,MATCH(Projeçao!L$2,Modelos!$AZ$49:$AZ$64,0),MATCH("β1",Modelos!$AY$49:$BG$49,0))*$K16+INDEX(Modelos!$AY$49:$BG$64,MATCH(Projeçao!L$2,Modelos!$AZ$49:$AZ$64,0),MATCH("β2",Modelos!$AY$49:$BG$49,0))*$K15+INDEX(Modelos!$AY$49:$BG$64,MATCH(Projeçao!L$2,Modelos!$AZ$49:$AZ$64,0),MATCH("β3",Modelos!$AY$49:$BG$49,0))*$K14+INDEX(Modelos!$AY$49:$BG$64,MATCH(Projeçao!L$2,Modelos!$AZ$49:$AZ$64,0),MATCH("θ1",Modelos!$AY$49:$BG$49,0))*P16+INDEX(Modelos!$AY$49:$BG$64,MATCH(Projeçao!L$2,Modelos!$AZ$49:$AZ$64,0),MATCH("θ2",Modelos!$AY$49:$BG$49,0))*P15+INDEX(Modelos!$AY$49:$BG$64,MATCH(Projeçao!L$2,Modelos!$AZ$49:$AZ$64,0),MATCH("θ3",Modelos!$AY$49:$BG$49,0))*P14+INDEX(Modelos!$AY$49:$BG$64,MATCH(Projeçao!L$2,Modelos!$AZ$49:$AZ$64,0),MATCH("c",Modelos!$AY$49:$BG$49,0))</f>
        <v>0.2010325415594186</v>
      </c>
      <c r="M17" s="6">
        <f ca="1">INDEX(Modelos!$AY$49:$BG$64,MATCH(Projeçao!M$2,Modelos!$AZ$49:$AZ$64,0),MATCH("β1",Modelos!$AY$49:$BG$49,0))*$K16+INDEX(Modelos!$AY$49:$BG$64,MATCH(Projeçao!M$2,Modelos!$AZ$49:$AZ$64,0),MATCH("β2",Modelos!$AY$49:$BG$49,0))*$K15+INDEX(Modelos!$AY$49:$BG$64,MATCH(Projeçao!M$2,Modelos!$AZ$49:$AZ$64,0),MATCH("β3",Modelos!$AY$49:$BG$49,0))*$K14+INDEX(Modelos!$AY$49:$BG$64,MATCH(Projeçao!M$2,Modelos!$AZ$49:$AZ$64,0),MATCH("θ1",Modelos!$AY$49:$BG$49,0))*Q16+INDEX(Modelos!$AY$49:$BG$64,MATCH(Projeçao!M$2,Modelos!$AZ$49:$AZ$64,0),MATCH("θ2",Modelos!$AY$49:$BG$49,0))*Q15+INDEX(Modelos!$AY$49:$BG$64,MATCH(Projeçao!M$2,Modelos!$AZ$49:$AZ$64,0),MATCH("θ3",Modelos!$AY$49:$BG$49,0))*Q14+INDEX(Modelos!$AY$49:$BG$64,MATCH(Projeçao!M$2,Modelos!$AZ$49:$AZ$64,0),MATCH("c",Modelos!$AY$49:$BG$49,0))</f>
        <v>0.76069218564749541</v>
      </c>
      <c r="N17" s="6">
        <f ca="1">INDEX(Modelos!$AY$49:$BG$64,MATCH(Projeçao!N$2,Modelos!$AZ$49:$AZ$64,0),MATCH("β1",Modelos!$AY$49:$BG$49,0))*$K16+INDEX(Modelos!$AY$49:$BG$64,MATCH(Projeçao!N$2,Modelos!$AZ$49:$AZ$64,0),MATCH("β2",Modelos!$AY$49:$BG$49,0))*$K15+INDEX(Modelos!$AY$49:$BG$64,MATCH(Projeçao!N$2,Modelos!$AZ$49:$AZ$64,0),MATCH("β3",Modelos!$AY$49:$BG$49,0))*$K14+INDEX(Modelos!$AY$49:$BG$64,MATCH(Projeçao!N$2,Modelos!$AZ$49:$AZ$64,0),MATCH("θ1",Modelos!$AY$49:$BG$49,0))*R16+INDEX(Modelos!$AY$49:$BG$64,MATCH(Projeçao!N$2,Modelos!$AZ$49:$AZ$64,0),MATCH("θ2",Modelos!$AY$49:$BG$49,0))*R15+INDEX(Modelos!$AY$49:$BG$64,MATCH(Projeçao!N$2,Modelos!$AZ$49:$AZ$64,0),MATCH("θ3",Modelos!$AY$49:$BG$49,0))*R14+INDEX(Modelos!$AY$49:$BG$64,MATCH(Projeçao!N$2,Modelos!$AZ$49:$AZ$64,0),MATCH("c",Modelos!$AY$49:$BG$49,0))</f>
        <v>0.59770336919762346</v>
      </c>
      <c r="P17" s="6">
        <f t="shared" ca="1" si="16"/>
        <v>0.62759561726547697</v>
      </c>
      <c r="Q17" s="6">
        <f t="shared" ca="1" si="17"/>
        <v>6.7935973177400188E-2</v>
      </c>
      <c r="R17" s="6">
        <f t="shared" ca="1" si="18"/>
        <v>0.23092478962727214</v>
      </c>
      <c r="T17" s="6">
        <f ca="1">INDEX(Dados!$I:$N,MATCH($A17,Dados!$A:$A,0),MATCH(T$2,Dados!$I$2:$N$2,0))</f>
        <v>0.622660328751512</v>
      </c>
      <c r="U17" s="6">
        <f ca="1">INDEX(Modelos!$AY$68:$BG$83,MATCH(Projeçao!U$2,Modelos!$AZ$68:$AZ$83,0),MATCH("β1",Modelos!$AY$68:$BG$68,0))*$T16+INDEX(Modelos!$AY$68:$BG$83,MATCH(Projeçao!U$2,Modelos!$AZ$68:$AZ$83,0),MATCH("β2",Modelos!$AY$68:$BG$68,0))*$T15+INDEX(Modelos!$AY$68:$BG$83,MATCH(Projeçao!U$2,Modelos!$AZ$68:$AZ$83,0),MATCH("β3",Modelos!$AY$68:$BG$68,0))*$T14+INDEX(Modelos!$AY$68:$BG$83,MATCH(Projeçao!U$2,Modelos!$AZ$68:$AZ$83,0),MATCH("θ1",Modelos!$AY$68:$BG$68,0))*Y16+INDEX(Modelos!$AY$68:$BG$83,MATCH(Projeçao!U$2,Modelos!$AZ$68:$AZ$83,0),MATCH("θ2",Modelos!$AY$68:$BG$68,0))*Y15+INDEX(Modelos!$AY$68:$BG$83,MATCH(Projeçao!U$2,Modelos!$AZ$68:$AZ$83,0),MATCH("θ3",Modelos!$AY$68:$BG$68,0))*Y14+INDEX(Modelos!$AY$68:$BG$83,MATCH(Projeçao!U$2,Modelos!$AZ$68:$AZ$83,0),MATCH("c",Modelos!$AY$68:$BG$68,0))</f>
        <v>0.63568087274904039</v>
      </c>
      <c r="V17" s="6">
        <f ca="1">INDEX(Modelos!$AY$68:$BG$83,MATCH(Projeçao!V$2,Modelos!$AZ$68:$AZ$83,0),MATCH("β1",Modelos!$AY$68:$BG$68,0))*$T16+INDEX(Modelos!$AY$68:$BG$83,MATCH(Projeçao!V$2,Modelos!$AZ$68:$AZ$83,0),MATCH("β2",Modelos!$AY$68:$BG$68,0))*$T15+INDEX(Modelos!$AY$68:$BG$83,MATCH(Projeçao!V$2,Modelos!$AZ$68:$AZ$83,0),MATCH("β3",Modelos!$AY$68:$BG$68,0))*$T14+INDEX(Modelos!$AY$68:$BG$83,MATCH(Projeçao!V$2,Modelos!$AZ$68:$AZ$83,0),MATCH("θ1",Modelos!$AY$68:$BG$68,0))*Z16+INDEX(Modelos!$AY$68:$BG$83,MATCH(Projeçao!V$2,Modelos!$AZ$68:$AZ$83,0),MATCH("θ2",Modelos!$AY$68:$BG$68,0))*Z15+INDEX(Modelos!$AY$68:$BG$83,MATCH(Projeçao!V$2,Modelos!$AZ$68:$AZ$83,0),MATCH("θ3",Modelos!$AY$68:$BG$68,0))*Z14+INDEX(Modelos!$AY$68:$BG$83,MATCH(Projeçao!V$2,Modelos!$AZ$68:$AZ$83,0),MATCH("c",Modelos!$AY$68:$BG$68,0))</f>
        <v>0.9858836301695203</v>
      </c>
      <c r="W17" s="6">
        <f ca="1">INDEX(Modelos!$AY$68:$BG$83,MATCH(Projeçao!W$2,Modelos!$AZ$68:$AZ$83,0),MATCH("β1",Modelos!$AY$68:$BG$68,0))*$T16+INDEX(Modelos!$AY$68:$BG$83,MATCH(Projeçao!W$2,Modelos!$AZ$68:$AZ$83,0),MATCH("β2",Modelos!$AY$68:$BG$68,0))*$T15+INDEX(Modelos!$AY$68:$BG$83,MATCH(Projeçao!W$2,Modelos!$AZ$68:$AZ$83,0),MATCH("β3",Modelos!$AY$68:$BG$68,0))*$T14+INDEX(Modelos!$AY$68:$BG$83,MATCH(Projeçao!W$2,Modelos!$AZ$68:$AZ$83,0),MATCH("θ1",Modelos!$AY$68:$BG$68,0))*AA16+INDEX(Modelos!$AY$68:$BG$83,MATCH(Projeçao!W$2,Modelos!$AZ$68:$AZ$83,0),MATCH("θ2",Modelos!$AY$68:$BG$68,0))*AA15+INDEX(Modelos!$AY$68:$BG$83,MATCH(Projeçao!W$2,Modelos!$AZ$68:$AZ$83,0),MATCH("θ3",Modelos!$AY$68:$BG$68,0))*AA14+INDEX(Modelos!$AY$68:$BG$83,MATCH(Projeçao!W$2,Modelos!$AZ$68:$AZ$83,0),MATCH("c",Modelos!$AY$68:$BG$68,0))</f>
        <v>0.58420639236990257</v>
      </c>
      <c r="Y17" s="6">
        <f t="shared" ca="1" si="19"/>
        <v>-1.3020543997528389E-2</v>
      </c>
      <c r="Z17" s="6">
        <f t="shared" ca="1" si="20"/>
        <v>-0.36322330141800829</v>
      </c>
      <c r="AA17" s="6">
        <f t="shared" ca="1" si="21"/>
        <v>3.8453936381609433E-2</v>
      </c>
    </row>
    <row r="18" spans="1:27" x14ac:dyDescent="0.15">
      <c r="A18" s="8">
        <f t="shared" si="10"/>
        <v>43465</v>
      </c>
      <c r="B18" s="6">
        <f ca="1">INDEX(Dados!$I:$N,MATCH($A18,Dados!$A:$A,0),MATCH(B$2,Dados!$I$2:$N$2,0))</f>
        <v>1.2282679495428939</v>
      </c>
      <c r="C18" s="19">
        <f ca="1">INDEX(Modelos!$AY$30:$BG$45,MATCH(Projeçao!C$2,Modelos!$AZ$49:$AZ$64,0),MATCH("β1",Modelos!$AY$30:$BG$30,0))*$B17+INDEX(Modelos!$AY$30:$BG$45,MATCH(Projeçao!C$2,Modelos!$AZ$49:$AZ$64,0),MATCH("β2",Modelos!$AY$30:$BG$30,0))*$B16+INDEX(Modelos!$AY$30:$BG$45,MATCH(Projeçao!C$2,Modelos!$AZ$49:$AZ$64,0),MATCH("β3",Modelos!$AY$30:$BG$30,0))*$B15+INDEX(Modelos!$AY$30:$BG$45,MATCH(Projeçao!C$2,Modelos!$AZ$49:$AZ$64,0),MATCH("θ1",Modelos!$AY$30:$BG$30,0))*G17+INDEX(Modelos!$AY$30:$BG$45,MATCH(Projeçao!C$2,Modelos!$AZ$49:$AZ$64,0),MATCH("θ2",Modelos!$AY$30:$BG$30,0))*G16+INDEX(Modelos!$AY$30:$BG$45,MATCH(Projeçao!C$2,Modelos!$AZ$49:$AZ$64,0),MATCH("θ3",Modelos!$AY$30:$BG$30,0))*G15+INDEX(Modelos!$AY$30:$BG$45,MATCH(Projeçao!C$2,Modelos!$AZ$49:$AZ$64,0),MATCH("c",Modelos!$AY$30:$BG$30,0))</f>
        <v>0.70116934125637009</v>
      </c>
      <c r="D18" s="19">
        <f ca="1">INDEX(Modelos!$AY$30:$BG$45,MATCH(Projeçao!D$2,Modelos!$AZ$49:$AZ$64,0),MATCH("β1",Modelos!$AY$30:$BG$30,0))*$B17+INDEX(Modelos!$AY$30:$BG$45,MATCH(Projeçao!D$2,Modelos!$AZ$49:$AZ$64,0),MATCH("β2",Modelos!$AY$30:$BG$30,0))*$B16+INDEX(Modelos!$AY$30:$BG$45,MATCH(Projeçao!D$2,Modelos!$AZ$49:$AZ$64,0),MATCH("β3",Modelos!$AY$30:$BG$30,0))*$B15+INDEX(Modelos!$AY$30:$BG$45,MATCH(Projeçao!D$2,Modelos!$AZ$49:$AZ$64,0),MATCH("θ1",Modelos!$AY$30:$BG$30,0))*H17+INDEX(Modelos!$AY$30:$BG$45,MATCH(Projeçao!D$2,Modelos!$AZ$49:$AZ$64,0),MATCH("θ2",Modelos!$AY$30:$BG$30,0))*H16+INDEX(Modelos!$AY$30:$BG$45,MATCH(Projeçao!D$2,Modelos!$AZ$49:$AZ$64,0),MATCH("θ3",Modelos!$AY$30:$BG$30,0))*H15+INDEX(Modelos!$AY$30:$BG$45,MATCH(Projeçao!D$2,Modelos!$AZ$49:$AZ$64,0),MATCH("c",Modelos!$AY$30:$BG$30,0))</f>
        <v>0.98405235349238485</v>
      </c>
      <c r="E18" s="19">
        <f ca="1">INDEX(Modelos!$AY$30:$BG$45,MATCH(Projeçao!E$2,Modelos!$AZ$49:$AZ$64,0),MATCH("β1",Modelos!$AY$30:$BG$30,0))*$B17+INDEX(Modelos!$AY$30:$BG$45,MATCH(Projeçao!E$2,Modelos!$AZ$49:$AZ$64,0),MATCH("β2",Modelos!$AY$30:$BG$30,0))*$B16+INDEX(Modelos!$AY$30:$BG$45,MATCH(Projeçao!E$2,Modelos!$AZ$49:$AZ$64,0),MATCH("β3",Modelos!$AY$30:$BG$30,0))*$B15+INDEX(Modelos!$AY$30:$BG$45,MATCH(Projeçao!E$2,Modelos!$AZ$49:$AZ$64,0),MATCH("θ1",Modelos!$AY$30:$BG$30,0))*I17+INDEX(Modelos!$AY$30:$BG$45,MATCH(Projeçao!E$2,Modelos!$AZ$49:$AZ$64,0),MATCH("θ2",Modelos!$AY$30:$BG$30,0))*I16+INDEX(Modelos!$AY$30:$BG$45,MATCH(Projeçao!E$2,Modelos!$AZ$49:$AZ$64,0),MATCH("θ3",Modelos!$AY$30:$BG$30,0))*I15+INDEX(Modelos!$AY$30:$BG$45,MATCH(Projeçao!E$2,Modelos!$AZ$49:$AZ$64,0),MATCH("c",Modelos!$AY$30:$BG$30,0))</f>
        <v>0.17171617994008848</v>
      </c>
      <c r="G18" s="6">
        <f t="shared" ca="1" si="15"/>
        <v>0.52709860828652377</v>
      </c>
      <c r="H18" s="6">
        <f t="shared" ca="1" si="11"/>
        <v>0.24421559605050902</v>
      </c>
      <c r="I18" s="6">
        <f t="shared" ca="1" si="12"/>
        <v>1.0565517696028053</v>
      </c>
      <c r="K18" s="6">
        <f ca="1">INDEX(Dados!$I:$N,MATCH($A18,Dados!$A:$A,0),MATCH(K$2,Dados!$I$2:$N$2,0))</f>
        <v>-0.6917184864085768</v>
      </c>
      <c r="L18" s="6">
        <f ca="1">INDEX(Modelos!$AY$49:$BG$64,MATCH(Projeçao!L$2,Modelos!$AZ$49:$AZ$64,0),MATCH("β1",Modelos!$AY$49:$BG$49,0))*$K17+INDEX(Modelos!$AY$49:$BG$64,MATCH(Projeçao!L$2,Modelos!$AZ$49:$AZ$64,0),MATCH("β2",Modelos!$AY$49:$BG$49,0))*$K16+INDEX(Modelos!$AY$49:$BG$64,MATCH(Projeçao!L$2,Modelos!$AZ$49:$AZ$64,0),MATCH("β3",Modelos!$AY$49:$BG$49,0))*$K15+INDEX(Modelos!$AY$49:$BG$64,MATCH(Projeçao!L$2,Modelos!$AZ$49:$AZ$64,0),MATCH("θ1",Modelos!$AY$49:$BG$49,0))*P17+INDEX(Modelos!$AY$49:$BG$64,MATCH(Projeçao!L$2,Modelos!$AZ$49:$AZ$64,0),MATCH("θ2",Modelos!$AY$49:$BG$49,0))*P16+INDEX(Modelos!$AY$49:$BG$64,MATCH(Projeçao!L$2,Modelos!$AZ$49:$AZ$64,0),MATCH("θ3",Modelos!$AY$49:$BG$49,0))*P15+INDEX(Modelos!$AY$49:$BG$64,MATCH(Projeçao!L$2,Modelos!$AZ$49:$AZ$64,0),MATCH("c",Modelos!$AY$49:$BG$49,0))</f>
        <v>0.44200955972100431</v>
      </c>
      <c r="M18" s="6">
        <f ca="1">INDEX(Modelos!$AY$49:$BG$64,MATCH(Projeçao!M$2,Modelos!$AZ$49:$AZ$64,0),MATCH("β1",Modelos!$AY$49:$BG$49,0))*$K17+INDEX(Modelos!$AY$49:$BG$64,MATCH(Projeçao!M$2,Modelos!$AZ$49:$AZ$64,0),MATCH("β2",Modelos!$AY$49:$BG$49,0))*$K16+INDEX(Modelos!$AY$49:$BG$64,MATCH(Projeçao!M$2,Modelos!$AZ$49:$AZ$64,0),MATCH("β3",Modelos!$AY$49:$BG$49,0))*$K15+INDEX(Modelos!$AY$49:$BG$64,MATCH(Projeçao!M$2,Modelos!$AZ$49:$AZ$64,0),MATCH("θ1",Modelos!$AY$49:$BG$49,0))*Q17+INDEX(Modelos!$AY$49:$BG$64,MATCH(Projeçao!M$2,Modelos!$AZ$49:$AZ$64,0),MATCH("θ2",Modelos!$AY$49:$BG$49,0))*Q16+INDEX(Modelos!$AY$49:$BG$64,MATCH(Projeçao!M$2,Modelos!$AZ$49:$AZ$64,0),MATCH("θ3",Modelos!$AY$49:$BG$49,0))*Q15+INDEX(Modelos!$AY$49:$BG$64,MATCH(Projeçao!M$2,Modelos!$AZ$49:$AZ$64,0),MATCH("c",Modelos!$AY$49:$BG$49,0))</f>
        <v>-0.34135311286660397</v>
      </c>
      <c r="N18" s="6">
        <f ca="1">INDEX(Modelos!$AY$49:$BG$64,MATCH(Projeçao!N$2,Modelos!$AZ$49:$AZ$64,0),MATCH("β1",Modelos!$AY$49:$BG$49,0))*$K17+INDEX(Modelos!$AY$49:$BG$64,MATCH(Projeçao!N$2,Modelos!$AZ$49:$AZ$64,0),MATCH("β2",Modelos!$AY$49:$BG$49,0))*$K16+INDEX(Modelos!$AY$49:$BG$64,MATCH(Projeçao!N$2,Modelos!$AZ$49:$AZ$64,0),MATCH("β3",Modelos!$AY$49:$BG$49,0))*$K15+INDEX(Modelos!$AY$49:$BG$64,MATCH(Projeçao!N$2,Modelos!$AZ$49:$AZ$64,0),MATCH("θ1",Modelos!$AY$49:$BG$49,0))*R17+INDEX(Modelos!$AY$49:$BG$64,MATCH(Projeçao!N$2,Modelos!$AZ$49:$AZ$64,0),MATCH("θ2",Modelos!$AY$49:$BG$49,0))*R16+INDEX(Modelos!$AY$49:$BG$64,MATCH(Projeçao!N$2,Modelos!$AZ$49:$AZ$64,0),MATCH("θ3",Modelos!$AY$49:$BG$49,0))*R15+INDEX(Modelos!$AY$49:$BG$64,MATCH(Projeçao!N$2,Modelos!$AZ$49:$AZ$64,0),MATCH("c",Modelos!$AY$49:$BG$49,0))</f>
        <v>-7.6158432631645734E-2</v>
      </c>
      <c r="P18" s="6">
        <f t="shared" ca="1" si="16"/>
        <v>-1.1337280461295811</v>
      </c>
      <c r="Q18" s="6">
        <f t="shared" ca="1" si="17"/>
        <v>-0.35036537354197284</v>
      </c>
      <c r="R18" s="6">
        <f t="shared" ca="1" si="18"/>
        <v>-0.61556005377693102</v>
      </c>
      <c r="T18" s="6">
        <f ca="1">INDEX(Dados!$I:$N,MATCH($A18,Dados!$A:$A,0),MATCH(T$2,Dados!$I$2:$N$2,0))</f>
        <v>-0.45599893916549172</v>
      </c>
      <c r="U18" s="6">
        <f ca="1">INDEX(Modelos!$AY$68:$BG$83,MATCH(Projeçao!U$2,Modelos!$AZ$68:$AZ$83,0),MATCH("β1",Modelos!$AY$68:$BG$68,0))*$T17+INDEX(Modelos!$AY$68:$BG$83,MATCH(Projeçao!U$2,Modelos!$AZ$68:$AZ$83,0),MATCH("β2",Modelos!$AY$68:$BG$68,0))*$T16+INDEX(Modelos!$AY$68:$BG$83,MATCH(Projeçao!U$2,Modelos!$AZ$68:$AZ$83,0),MATCH("β3",Modelos!$AY$68:$BG$68,0))*$T15+INDEX(Modelos!$AY$68:$BG$83,MATCH(Projeçao!U$2,Modelos!$AZ$68:$AZ$83,0),MATCH("θ1",Modelos!$AY$68:$BG$68,0))*Y17+INDEX(Modelos!$AY$68:$BG$83,MATCH(Projeçao!U$2,Modelos!$AZ$68:$AZ$83,0),MATCH("θ2",Modelos!$AY$68:$BG$68,0))*Y16+INDEX(Modelos!$AY$68:$BG$83,MATCH(Projeçao!U$2,Modelos!$AZ$68:$AZ$83,0),MATCH("θ3",Modelos!$AY$68:$BG$68,0))*Y15+INDEX(Modelos!$AY$68:$BG$83,MATCH(Projeçao!U$2,Modelos!$AZ$68:$AZ$83,0),MATCH("c",Modelos!$AY$68:$BG$68,0))</f>
        <v>0.56888510781206891</v>
      </c>
      <c r="V18" s="6">
        <f ca="1">INDEX(Modelos!$AY$68:$BG$83,MATCH(Projeçao!V$2,Modelos!$AZ$68:$AZ$83,0),MATCH("β1",Modelos!$AY$68:$BG$68,0))*$T17+INDEX(Modelos!$AY$68:$BG$83,MATCH(Projeçao!V$2,Modelos!$AZ$68:$AZ$83,0),MATCH("β2",Modelos!$AY$68:$BG$68,0))*$T16+INDEX(Modelos!$AY$68:$BG$83,MATCH(Projeçao!V$2,Modelos!$AZ$68:$AZ$83,0),MATCH("β3",Modelos!$AY$68:$BG$68,0))*$T15+INDEX(Modelos!$AY$68:$BG$83,MATCH(Projeçao!V$2,Modelos!$AZ$68:$AZ$83,0),MATCH("θ1",Modelos!$AY$68:$BG$68,0))*Z17+INDEX(Modelos!$AY$68:$BG$83,MATCH(Projeçao!V$2,Modelos!$AZ$68:$AZ$83,0),MATCH("θ2",Modelos!$AY$68:$BG$68,0))*Z16+INDEX(Modelos!$AY$68:$BG$83,MATCH(Projeçao!V$2,Modelos!$AZ$68:$AZ$83,0),MATCH("θ3",Modelos!$AY$68:$BG$68,0))*Z15+INDEX(Modelos!$AY$68:$BG$83,MATCH(Projeçao!V$2,Modelos!$AZ$68:$AZ$83,0),MATCH("c",Modelos!$AY$68:$BG$68,0))</f>
        <v>0.96246837194559998</v>
      </c>
      <c r="W18" s="6">
        <f ca="1">INDEX(Modelos!$AY$68:$BG$83,MATCH(Projeçao!W$2,Modelos!$AZ$68:$AZ$83,0),MATCH("β1",Modelos!$AY$68:$BG$68,0))*$T17+INDEX(Modelos!$AY$68:$BG$83,MATCH(Projeçao!W$2,Modelos!$AZ$68:$AZ$83,0),MATCH("β2",Modelos!$AY$68:$BG$68,0))*$T16+INDEX(Modelos!$AY$68:$BG$83,MATCH(Projeçao!W$2,Modelos!$AZ$68:$AZ$83,0),MATCH("β3",Modelos!$AY$68:$BG$68,0))*$T15+INDEX(Modelos!$AY$68:$BG$83,MATCH(Projeçao!W$2,Modelos!$AZ$68:$AZ$83,0),MATCH("θ1",Modelos!$AY$68:$BG$68,0))*AA17+INDEX(Modelos!$AY$68:$BG$83,MATCH(Projeçao!W$2,Modelos!$AZ$68:$AZ$83,0),MATCH("θ2",Modelos!$AY$68:$BG$68,0))*AA16+INDEX(Modelos!$AY$68:$BG$83,MATCH(Projeçao!W$2,Modelos!$AZ$68:$AZ$83,0),MATCH("θ3",Modelos!$AY$68:$BG$68,0))*AA15+INDEX(Modelos!$AY$68:$BG$83,MATCH(Projeçao!W$2,Modelos!$AZ$68:$AZ$83,0),MATCH("c",Modelos!$AY$68:$BG$68,0))</f>
        <v>0.80438549145965166</v>
      </c>
      <c r="Y18" s="6">
        <f t="shared" ca="1" si="19"/>
        <v>-1.0248840469775606</v>
      </c>
      <c r="Z18" s="6">
        <f t="shared" ca="1" si="20"/>
        <v>-1.4184673111110917</v>
      </c>
      <c r="AA18" s="6">
        <f t="shared" ca="1" si="21"/>
        <v>-1.2603844306251433</v>
      </c>
    </row>
    <row r="19" spans="1:27" x14ac:dyDescent="0.15">
      <c r="A19" s="8">
        <f t="shared" si="10"/>
        <v>43555</v>
      </c>
      <c r="B19" s="6">
        <f ca="1">INDEX(Dados!$I:$N,MATCH($A19,Dados!$A:$A,0),MATCH(B$2,Dados!$I$2:$N$2,0))</f>
        <v>-4.2539066017371336</v>
      </c>
      <c r="C19" s="19">
        <f ca="1">INDEX(Modelos!$AY$30:$BG$45,MATCH(Projeçao!C$2,Modelos!$AZ$49:$AZ$64,0),MATCH("β1",Modelos!$AY$30:$BG$30,0))*$B18+INDEX(Modelos!$AY$30:$BG$45,MATCH(Projeçao!C$2,Modelos!$AZ$49:$AZ$64,0),MATCH("β2",Modelos!$AY$30:$BG$30,0))*$B17+INDEX(Modelos!$AY$30:$BG$45,MATCH(Projeçao!C$2,Modelos!$AZ$49:$AZ$64,0),MATCH("β3",Modelos!$AY$30:$BG$30,0))*$B16+INDEX(Modelos!$AY$30:$BG$45,MATCH(Projeçao!C$2,Modelos!$AZ$49:$AZ$64,0),MATCH("θ1",Modelos!$AY$30:$BG$30,0))*G18+INDEX(Modelos!$AY$30:$BG$45,MATCH(Projeçao!C$2,Modelos!$AZ$49:$AZ$64,0),MATCH("θ2",Modelos!$AY$30:$BG$30,0))*G17+INDEX(Modelos!$AY$30:$BG$45,MATCH(Projeçao!C$2,Modelos!$AZ$49:$AZ$64,0),MATCH("θ3",Modelos!$AY$30:$BG$30,0))*G16+INDEX(Modelos!$AY$30:$BG$45,MATCH(Projeçao!C$2,Modelos!$AZ$49:$AZ$64,0),MATCH("c",Modelos!$AY$30:$BG$30,0))</f>
        <v>-0.92834955385113749</v>
      </c>
      <c r="D19" s="19">
        <f ca="1">INDEX(Modelos!$AY$30:$BG$45,MATCH(Projeçao!D$2,Modelos!$AZ$49:$AZ$64,0),MATCH("β1",Modelos!$AY$30:$BG$30,0))*$B18+INDEX(Modelos!$AY$30:$BG$45,MATCH(Projeçao!D$2,Modelos!$AZ$49:$AZ$64,0),MATCH("β2",Modelos!$AY$30:$BG$30,0))*$B17+INDEX(Modelos!$AY$30:$BG$45,MATCH(Projeçao!D$2,Modelos!$AZ$49:$AZ$64,0),MATCH("β3",Modelos!$AY$30:$BG$30,0))*$B16+INDEX(Modelos!$AY$30:$BG$45,MATCH(Projeçao!D$2,Modelos!$AZ$49:$AZ$64,0),MATCH("θ1",Modelos!$AY$30:$BG$30,0))*H18+INDEX(Modelos!$AY$30:$BG$45,MATCH(Projeçao!D$2,Modelos!$AZ$49:$AZ$64,0),MATCH("θ2",Modelos!$AY$30:$BG$30,0))*H17+INDEX(Modelos!$AY$30:$BG$45,MATCH(Projeçao!D$2,Modelos!$AZ$49:$AZ$64,0),MATCH("θ3",Modelos!$AY$30:$BG$30,0))*H16+INDEX(Modelos!$AY$30:$BG$45,MATCH(Projeçao!D$2,Modelos!$AZ$49:$AZ$64,0),MATCH("c",Modelos!$AY$30:$BG$30,0))</f>
        <v>1.0050351976871237</v>
      </c>
      <c r="E19" s="19">
        <f ca="1">INDEX(Modelos!$AY$30:$BG$45,MATCH(Projeçao!E$2,Modelos!$AZ$49:$AZ$64,0),MATCH("β1",Modelos!$AY$30:$BG$30,0))*$B18+INDEX(Modelos!$AY$30:$BG$45,MATCH(Projeçao!E$2,Modelos!$AZ$49:$AZ$64,0),MATCH("β2",Modelos!$AY$30:$BG$30,0))*$B17+INDEX(Modelos!$AY$30:$BG$45,MATCH(Projeçao!E$2,Modelos!$AZ$49:$AZ$64,0),MATCH("β3",Modelos!$AY$30:$BG$30,0))*$B16+INDEX(Modelos!$AY$30:$BG$45,MATCH(Projeçao!E$2,Modelos!$AZ$49:$AZ$64,0),MATCH("θ1",Modelos!$AY$30:$BG$30,0))*I18+INDEX(Modelos!$AY$30:$BG$45,MATCH(Projeçao!E$2,Modelos!$AZ$49:$AZ$64,0),MATCH("θ2",Modelos!$AY$30:$BG$30,0))*I17+INDEX(Modelos!$AY$30:$BG$45,MATCH(Projeçao!E$2,Modelos!$AZ$49:$AZ$64,0),MATCH("θ3",Modelos!$AY$30:$BG$30,0))*I16+INDEX(Modelos!$AY$30:$BG$45,MATCH(Projeçao!E$2,Modelos!$AZ$49:$AZ$64,0),MATCH("c",Modelos!$AY$30:$BG$30,0))</f>
        <v>7.0742911721142776E-2</v>
      </c>
      <c r="G19" s="6">
        <f t="shared" ca="1" si="15"/>
        <v>-3.3255570478859964</v>
      </c>
      <c r="H19" s="6">
        <f t="shared" ca="1" si="11"/>
        <v>-5.2589417994242575</v>
      </c>
      <c r="I19" s="6">
        <f t="shared" ca="1" si="12"/>
        <v>-4.3246495134582768</v>
      </c>
      <c r="K19" s="6">
        <f ca="1">INDEX(Dados!$I:$N,MATCH($A19,Dados!$A:$A,0),MATCH(K$2,Dados!$I$2:$N$2,0))</f>
        <v>-1.2251969946857177</v>
      </c>
      <c r="L19" s="6">
        <f ca="1">INDEX(Modelos!$AY$49:$BG$64,MATCH(Projeçao!L$2,Modelos!$AZ$49:$AZ$64,0),MATCH("β1",Modelos!$AY$49:$BG$49,0))*$K18+INDEX(Modelos!$AY$49:$BG$64,MATCH(Projeçao!L$2,Modelos!$AZ$49:$AZ$64,0),MATCH("β2",Modelos!$AY$49:$BG$49,0))*$K17+INDEX(Modelos!$AY$49:$BG$64,MATCH(Projeçao!L$2,Modelos!$AZ$49:$AZ$64,0),MATCH("β3",Modelos!$AY$49:$BG$49,0))*$K16+INDEX(Modelos!$AY$49:$BG$64,MATCH(Projeçao!L$2,Modelos!$AZ$49:$AZ$64,0),MATCH("θ1",Modelos!$AY$49:$BG$49,0))*P18+INDEX(Modelos!$AY$49:$BG$64,MATCH(Projeçao!L$2,Modelos!$AZ$49:$AZ$64,0),MATCH("θ2",Modelos!$AY$49:$BG$49,0))*P17+INDEX(Modelos!$AY$49:$BG$64,MATCH(Projeçao!L$2,Modelos!$AZ$49:$AZ$64,0),MATCH("θ3",Modelos!$AY$49:$BG$49,0))*P16+INDEX(Modelos!$AY$49:$BG$64,MATCH(Projeçao!L$2,Modelos!$AZ$49:$AZ$64,0),MATCH("c",Modelos!$AY$49:$BG$49,0))</f>
        <v>2.3928430411047585E-2</v>
      </c>
      <c r="M19" s="6">
        <f ca="1">INDEX(Modelos!$AY$49:$BG$64,MATCH(Projeçao!M$2,Modelos!$AZ$49:$AZ$64,0),MATCH("β1",Modelos!$AY$49:$BG$49,0))*$K18+INDEX(Modelos!$AY$49:$BG$64,MATCH(Projeçao!M$2,Modelos!$AZ$49:$AZ$64,0),MATCH("β2",Modelos!$AY$49:$BG$49,0))*$K17+INDEX(Modelos!$AY$49:$BG$64,MATCH(Projeçao!M$2,Modelos!$AZ$49:$AZ$64,0),MATCH("β3",Modelos!$AY$49:$BG$49,0))*$K16+INDEX(Modelos!$AY$49:$BG$64,MATCH(Projeçao!M$2,Modelos!$AZ$49:$AZ$64,0),MATCH("θ1",Modelos!$AY$49:$BG$49,0))*Q18+INDEX(Modelos!$AY$49:$BG$64,MATCH(Projeçao!M$2,Modelos!$AZ$49:$AZ$64,0),MATCH("θ2",Modelos!$AY$49:$BG$49,0))*Q17+INDEX(Modelos!$AY$49:$BG$64,MATCH(Projeçao!M$2,Modelos!$AZ$49:$AZ$64,0),MATCH("θ3",Modelos!$AY$49:$BG$49,0))*Q16+INDEX(Modelos!$AY$49:$BG$64,MATCH(Projeçao!M$2,Modelos!$AZ$49:$AZ$64,0),MATCH("c",Modelos!$AY$49:$BG$49,0))</f>
        <v>0.48933210677515149</v>
      </c>
      <c r="N19" s="6">
        <f ca="1">INDEX(Modelos!$AY$49:$BG$64,MATCH(Projeçao!N$2,Modelos!$AZ$49:$AZ$64,0),MATCH("β1",Modelos!$AY$49:$BG$49,0))*$K18+INDEX(Modelos!$AY$49:$BG$64,MATCH(Projeçao!N$2,Modelos!$AZ$49:$AZ$64,0),MATCH("β2",Modelos!$AY$49:$BG$49,0))*$K17+INDEX(Modelos!$AY$49:$BG$64,MATCH(Projeçao!N$2,Modelos!$AZ$49:$AZ$64,0),MATCH("β3",Modelos!$AY$49:$BG$49,0))*$K16+INDEX(Modelos!$AY$49:$BG$64,MATCH(Projeçao!N$2,Modelos!$AZ$49:$AZ$64,0),MATCH("θ1",Modelos!$AY$49:$BG$49,0))*R18+INDEX(Modelos!$AY$49:$BG$64,MATCH(Projeçao!N$2,Modelos!$AZ$49:$AZ$64,0),MATCH("θ2",Modelos!$AY$49:$BG$49,0))*R17+INDEX(Modelos!$AY$49:$BG$64,MATCH(Projeçao!N$2,Modelos!$AZ$49:$AZ$64,0),MATCH("θ3",Modelos!$AY$49:$BG$49,0))*R16+INDEX(Modelos!$AY$49:$BG$64,MATCH(Projeçao!N$2,Modelos!$AZ$49:$AZ$64,0),MATCH("c",Modelos!$AY$49:$BG$49,0))</f>
        <v>0.49913634824298891</v>
      </c>
      <c r="P19" s="6">
        <f t="shared" ca="1" si="16"/>
        <v>-1.2491254250967654</v>
      </c>
      <c r="Q19" s="6">
        <f t="shared" ca="1" si="17"/>
        <v>-1.7145291014608692</v>
      </c>
      <c r="R19" s="6">
        <f t="shared" ca="1" si="18"/>
        <v>-1.7243333429287067</v>
      </c>
      <c r="T19" s="6">
        <f ca="1">INDEX(Dados!$I:$N,MATCH($A19,Dados!$A:$A,0),MATCH(T$2,Dados!$I$2:$N$2,0))</f>
        <v>1.4074916076593169</v>
      </c>
      <c r="U19" s="6">
        <f ca="1">INDEX(Modelos!$AY$68:$BG$83,MATCH(Projeçao!U$2,Modelos!$AZ$68:$AZ$83,0),MATCH("β1",Modelos!$AY$68:$BG$68,0))*$T18+INDEX(Modelos!$AY$68:$BG$83,MATCH(Projeçao!U$2,Modelos!$AZ$68:$AZ$83,0),MATCH("β2",Modelos!$AY$68:$BG$68,0))*$T17+INDEX(Modelos!$AY$68:$BG$83,MATCH(Projeçao!U$2,Modelos!$AZ$68:$AZ$83,0),MATCH("β3",Modelos!$AY$68:$BG$68,0))*$T16+INDEX(Modelos!$AY$68:$BG$83,MATCH(Projeçao!U$2,Modelos!$AZ$68:$AZ$83,0),MATCH("θ1",Modelos!$AY$68:$BG$68,0))*Y18+INDEX(Modelos!$AY$68:$BG$83,MATCH(Projeçao!U$2,Modelos!$AZ$68:$AZ$83,0),MATCH("θ2",Modelos!$AY$68:$BG$68,0))*Y17+INDEX(Modelos!$AY$68:$BG$83,MATCH(Projeçao!U$2,Modelos!$AZ$68:$AZ$83,0),MATCH("θ3",Modelos!$AY$68:$BG$68,0))*Y16+INDEX(Modelos!$AY$68:$BG$83,MATCH(Projeçao!U$2,Modelos!$AZ$68:$AZ$83,0),MATCH("c",Modelos!$AY$68:$BG$68,0))</f>
        <v>0.56876240440783188</v>
      </c>
      <c r="V19" s="6">
        <f ca="1">INDEX(Modelos!$AY$68:$BG$83,MATCH(Projeçao!V$2,Modelos!$AZ$68:$AZ$83,0),MATCH("β1",Modelos!$AY$68:$BG$68,0))*$T18+INDEX(Modelos!$AY$68:$BG$83,MATCH(Projeçao!V$2,Modelos!$AZ$68:$AZ$83,0),MATCH("β2",Modelos!$AY$68:$BG$68,0))*$T17+INDEX(Modelos!$AY$68:$BG$83,MATCH(Projeçao!V$2,Modelos!$AZ$68:$AZ$83,0),MATCH("β3",Modelos!$AY$68:$BG$68,0))*$T16+INDEX(Modelos!$AY$68:$BG$83,MATCH(Projeçao!V$2,Modelos!$AZ$68:$AZ$83,0),MATCH("θ1",Modelos!$AY$68:$BG$68,0))*Z18+INDEX(Modelos!$AY$68:$BG$83,MATCH(Projeçao!V$2,Modelos!$AZ$68:$AZ$83,0),MATCH("θ2",Modelos!$AY$68:$BG$68,0))*Z17+INDEX(Modelos!$AY$68:$BG$83,MATCH(Projeçao!V$2,Modelos!$AZ$68:$AZ$83,0),MATCH("θ3",Modelos!$AY$68:$BG$68,0))*Z16+INDEX(Modelos!$AY$68:$BG$83,MATCH(Projeçao!V$2,Modelos!$AZ$68:$AZ$83,0),MATCH("c",Modelos!$AY$68:$BG$68,0))</f>
        <v>-9.3099386055528477E-4</v>
      </c>
      <c r="W19" s="6">
        <f ca="1">INDEX(Modelos!$AY$68:$BG$83,MATCH(Projeçao!W$2,Modelos!$AZ$68:$AZ$83,0),MATCH("β1",Modelos!$AY$68:$BG$68,0))*$T18+INDEX(Modelos!$AY$68:$BG$83,MATCH(Projeçao!W$2,Modelos!$AZ$68:$AZ$83,0),MATCH("β2",Modelos!$AY$68:$BG$68,0))*$T17+INDEX(Modelos!$AY$68:$BG$83,MATCH(Projeçao!W$2,Modelos!$AZ$68:$AZ$83,0),MATCH("β3",Modelos!$AY$68:$BG$68,0))*$T16+INDEX(Modelos!$AY$68:$BG$83,MATCH(Projeçao!W$2,Modelos!$AZ$68:$AZ$83,0),MATCH("θ1",Modelos!$AY$68:$BG$68,0))*AA18+INDEX(Modelos!$AY$68:$BG$83,MATCH(Projeçao!W$2,Modelos!$AZ$68:$AZ$83,0),MATCH("θ2",Modelos!$AY$68:$BG$68,0))*AA17+INDEX(Modelos!$AY$68:$BG$83,MATCH(Projeçao!W$2,Modelos!$AZ$68:$AZ$83,0),MATCH("θ3",Modelos!$AY$68:$BG$68,0))*AA16+INDEX(Modelos!$AY$68:$BG$83,MATCH(Projeçao!W$2,Modelos!$AZ$68:$AZ$83,0),MATCH("c",Modelos!$AY$68:$BG$68,0))</f>
        <v>0.99572116029353286</v>
      </c>
      <c r="Y19" s="6">
        <f t="shared" ca="1" si="19"/>
        <v>0.83872920325148503</v>
      </c>
      <c r="Z19" s="6">
        <f t="shared" ca="1" si="20"/>
        <v>1.4084226015198722</v>
      </c>
      <c r="AA19" s="6">
        <f t="shared" ca="1" si="21"/>
        <v>0.41177044736578405</v>
      </c>
    </row>
    <row r="20" spans="1:27" x14ac:dyDescent="0.15">
      <c r="A20" s="8">
        <f t="shared" si="10"/>
        <v>43646</v>
      </c>
      <c r="B20" s="6">
        <f ca="1">INDEX(Dados!$I:$N,MATCH($A20,Dados!$A:$A,0),MATCH(B$2,Dados!$I$2:$N$2,0))</f>
        <v>1.7804555554595369</v>
      </c>
      <c r="C20" s="19">
        <f ca="1">INDEX(Modelos!$AY$30:$BG$45,MATCH(Projeçao!C$2,Modelos!$AZ$49:$AZ$64,0),MATCH("β1",Modelos!$AY$30:$BG$30,0))*$B19+INDEX(Modelos!$AY$30:$BG$45,MATCH(Projeçao!C$2,Modelos!$AZ$49:$AZ$64,0),MATCH("β2",Modelos!$AY$30:$BG$30,0))*$B18+INDEX(Modelos!$AY$30:$BG$45,MATCH(Projeçao!C$2,Modelos!$AZ$49:$AZ$64,0),MATCH("β3",Modelos!$AY$30:$BG$30,0))*$B17+INDEX(Modelos!$AY$30:$BG$45,MATCH(Projeçao!C$2,Modelos!$AZ$49:$AZ$64,0),MATCH("θ1",Modelos!$AY$30:$BG$30,0))*G19+INDEX(Modelos!$AY$30:$BG$45,MATCH(Projeçao!C$2,Modelos!$AZ$49:$AZ$64,0),MATCH("θ2",Modelos!$AY$30:$BG$30,0))*G18+INDEX(Modelos!$AY$30:$BG$45,MATCH(Projeçao!C$2,Modelos!$AZ$49:$AZ$64,0),MATCH("θ3",Modelos!$AY$30:$BG$30,0))*G17+INDEX(Modelos!$AY$30:$BG$45,MATCH(Projeçao!C$2,Modelos!$AZ$49:$AZ$64,0),MATCH("c",Modelos!$AY$30:$BG$30,0))</f>
        <v>0.80244504064387523</v>
      </c>
      <c r="D20" s="19">
        <f ca="1">INDEX(Modelos!$AY$30:$BG$45,MATCH(Projeçao!D$2,Modelos!$AZ$49:$AZ$64,0),MATCH("β1",Modelos!$AY$30:$BG$30,0))*$B19+INDEX(Modelos!$AY$30:$BG$45,MATCH(Projeçao!D$2,Modelos!$AZ$49:$AZ$64,0),MATCH("β2",Modelos!$AY$30:$BG$30,0))*$B18+INDEX(Modelos!$AY$30:$BG$45,MATCH(Projeçao!D$2,Modelos!$AZ$49:$AZ$64,0),MATCH("β3",Modelos!$AY$30:$BG$30,0))*$B17+INDEX(Modelos!$AY$30:$BG$45,MATCH(Projeçao!D$2,Modelos!$AZ$49:$AZ$64,0),MATCH("θ1",Modelos!$AY$30:$BG$30,0))*H19+INDEX(Modelos!$AY$30:$BG$45,MATCH(Projeçao!D$2,Modelos!$AZ$49:$AZ$64,0),MATCH("θ2",Modelos!$AY$30:$BG$30,0))*H18+INDEX(Modelos!$AY$30:$BG$45,MATCH(Projeçao!D$2,Modelos!$AZ$49:$AZ$64,0),MATCH("θ3",Modelos!$AY$30:$BG$30,0))*H17+INDEX(Modelos!$AY$30:$BG$45,MATCH(Projeçao!D$2,Modelos!$AZ$49:$AZ$64,0),MATCH("c",Modelos!$AY$30:$BG$30,0))</f>
        <v>0.88355051353515113</v>
      </c>
      <c r="E20" s="19">
        <f ca="1">INDEX(Modelos!$AY$30:$BG$45,MATCH(Projeçao!E$2,Modelos!$AZ$49:$AZ$64,0),MATCH("β1",Modelos!$AY$30:$BG$30,0))*$B19+INDEX(Modelos!$AY$30:$BG$45,MATCH(Projeçao!E$2,Modelos!$AZ$49:$AZ$64,0),MATCH("β2",Modelos!$AY$30:$BG$30,0))*$B18+INDEX(Modelos!$AY$30:$BG$45,MATCH(Projeçao!E$2,Modelos!$AZ$49:$AZ$64,0),MATCH("β3",Modelos!$AY$30:$BG$30,0))*$B17+INDEX(Modelos!$AY$30:$BG$45,MATCH(Projeçao!E$2,Modelos!$AZ$49:$AZ$64,0),MATCH("θ1",Modelos!$AY$30:$BG$30,0))*I19+INDEX(Modelos!$AY$30:$BG$45,MATCH(Projeçao!E$2,Modelos!$AZ$49:$AZ$64,0),MATCH("θ2",Modelos!$AY$30:$BG$30,0))*I18+INDEX(Modelos!$AY$30:$BG$45,MATCH(Projeçao!E$2,Modelos!$AZ$49:$AZ$64,0),MATCH("θ3",Modelos!$AY$30:$BG$30,0))*I17+INDEX(Modelos!$AY$30:$BG$45,MATCH(Projeçao!E$2,Modelos!$AZ$49:$AZ$64,0),MATCH("c",Modelos!$AY$30:$BG$30,0))</f>
        <v>3.2330170437240406</v>
      </c>
      <c r="G20" s="6">
        <f t="shared" ca="1" si="15"/>
        <v>0.9780105148156617</v>
      </c>
      <c r="H20" s="6">
        <f t="shared" ca="1" si="11"/>
        <v>0.8969050419243858</v>
      </c>
      <c r="I20" s="6">
        <f t="shared" ca="1" si="12"/>
        <v>-1.4525614882645037</v>
      </c>
      <c r="K20" s="6">
        <f ca="1">INDEX(Dados!$I:$N,MATCH($A20,Dados!$A:$A,0),MATCH(K$2,Dados!$I$2:$N$2,0))</f>
        <v>1.5397927438261627</v>
      </c>
      <c r="L20" s="6">
        <f ca="1">INDEX(Modelos!$AY$49:$BG$64,MATCH(Projeçao!L$2,Modelos!$AZ$49:$AZ$64,0),MATCH("β1",Modelos!$AY$49:$BG$49,0))*$K19+INDEX(Modelos!$AY$49:$BG$64,MATCH(Projeçao!L$2,Modelos!$AZ$49:$AZ$64,0),MATCH("β2",Modelos!$AY$49:$BG$49,0))*$K18+INDEX(Modelos!$AY$49:$BG$64,MATCH(Projeçao!L$2,Modelos!$AZ$49:$AZ$64,0),MATCH("β3",Modelos!$AY$49:$BG$49,0))*$K17+INDEX(Modelos!$AY$49:$BG$64,MATCH(Projeçao!L$2,Modelos!$AZ$49:$AZ$64,0),MATCH("θ1",Modelos!$AY$49:$BG$49,0))*P19+INDEX(Modelos!$AY$49:$BG$64,MATCH(Projeçao!L$2,Modelos!$AZ$49:$AZ$64,0),MATCH("θ2",Modelos!$AY$49:$BG$49,0))*P18+INDEX(Modelos!$AY$49:$BG$64,MATCH(Projeçao!L$2,Modelos!$AZ$49:$AZ$64,0),MATCH("θ3",Modelos!$AY$49:$BG$49,0))*P17+INDEX(Modelos!$AY$49:$BG$64,MATCH(Projeçao!L$2,Modelos!$AZ$49:$AZ$64,0),MATCH("c",Modelos!$AY$49:$BG$49,0))</f>
        <v>0.30128901274769354</v>
      </c>
      <c r="M20" s="6">
        <f ca="1">INDEX(Modelos!$AY$49:$BG$64,MATCH(Projeçao!M$2,Modelos!$AZ$49:$AZ$64,0),MATCH("β1",Modelos!$AY$49:$BG$49,0))*$K19+INDEX(Modelos!$AY$49:$BG$64,MATCH(Projeçao!M$2,Modelos!$AZ$49:$AZ$64,0),MATCH("β2",Modelos!$AY$49:$BG$49,0))*$K18+INDEX(Modelos!$AY$49:$BG$64,MATCH(Projeçao!M$2,Modelos!$AZ$49:$AZ$64,0),MATCH("β3",Modelos!$AY$49:$BG$49,0))*$K17+INDEX(Modelos!$AY$49:$BG$64,MATCH(Projeçao!M$2,Modelos!$AZ$49:$AZ$64,0),MATCH("θ1",Modelos!$AY$49:$BG$49,0))*Q19+INDEX(Modelos!$AY$49:$BG$64,MATCH(Projeçao!M$2,Modelos!$AZ$49:$AZ$64,0),MATCH("θ2",Modelos!$AY$49:$BG$49,0))*Q18+INDEX(Modelos!$AY$49:$BG$64,MATCH(Projeçao!M$2,Modelos!$AZ$49:$AZ$64,0),MATCH("θ3",Modelos!$AY$49:$BG$49,0))*Q17+INDEX(Modelos!$AY$49:$BG$64,MATCH(Projeçao!M$2,Modelos!$AZ$49:$AZ$64,0),MATCH("c",Modelos!$AY$49:$BG$49,0))</f>
        <v>0.56384689710170255</v>
      </c>
      <c r="N20" s="6">
        <f ca="1">INDEX(Modelos!$AY$49:$BG$64,MATCH(Projeçao!N$2,Modelos!$AZ$49:$AZ$64,0),MATCH("β1",Modelos!$AY$49:$BG$49,0))*$K19+INDEX(Modelos!$AY$49:$BG$64,MATCH(Projeçao!N$2,Modelos!$AZ$49:$AZ$64,0),MATCH("β2",Modelos!$AY$49:$BG$49,0))*$K18+INDEX(Modelos!$AY$49:$BG$64,MATCH(Projeçao!N$2,Modelos!$AZ$49:$AZ$64,0),MATCH("β3",Modelos!$AY$49:$BG$49,0))*$K17+INDEX(Modelos!$AY$49:$BG$64,MATCH(Projeçao!N$2,Modelos!$AZ$49:$AZ$64,0),MATCH("θ1",Modelos!$AY$49:$BG$49,0))*R19+INDEX(Modelos!$AY$49:$BG$64,MATCH(Projeçao!N$2,Modelos!$AZ$49:$AZ$64,0),MATCH("θ2",Modelos!$AY$49:$BG$49,0))*R18+INDEX(Modelos!$AY$49:$BG$64,MATCH(Projeçao!N$2,Modelos!$AZ$49:$AZ$64,0),MATCH("θ3",Modelos!$AY$49:$BG$49,0))*R17+INDEX(Modelos!$AY$49:$BG$64,MATCH(Projeçao!N$2,Modelos!$AZ$49:$AZ$64,0),MATCH("c",Modelos!$AY$49:$BG$49,0))</f>
        <v>0.55417013957079009</v>
      </c>
      <c r="P20" s="6">
        <f t="shared" ca="1" si="16"/>
        <v>1.2385037310784692</v>
      </c>
      <c r="Q20" s="6">
        <f t="shared" ca="1" si="17"/>
        <v>0.97594584672446016</v>
      </c>
      <c r="R20" s="6">
        <f t="shared" ca="1" si="18"/>
        <v>0.98562260425537263</v>
      </c>
      <c r="T20" s="6">
        <f ca="1">INDEX(Dados!$I:$N,MATCH($A20,Dados!$A:$A,0),MATCH(T$2,Dados!$I$2:$N$2,0))</f>
        <v>-1.2890490368455687E-2</v>
      </c>
      <c r="U20" s="6">
        <f ca="1">INDEX(Modelos!$AY$68:$BG$83,MATCH(Projeçao!U$2,Modelos!$AZ$68:$AZ$83,0),MATCH("β1",Modelos!$AY$68:$BG$68,0))*$T19+INDEX(Modelos!$AY$68:$BG$83,MATCH(Projeçao!U$2,Modelos!$AZ$68:$AZ$83,0),MATCH("β2",Modelos!$AY$68:$BG$68,0))*$T18+INDEX(Modelos!$AY$68:$BG$83,MATCH(Projeçao!U$2,Modelos!$AZ$68:$AZ$83,0),MATCH("β3",Modelos!$AY$68:$BG$68,0))*$T17+INDEX(Modelos!$AY$68:$BG$83,MATCH(Projeçao!U$2,Modelos!$AZ$68:$AZ$83,0),MATCH("θ1",Modelos!$AY$68:$BG$68,0))*Y19+INDEX(Modelos!$AY$68:$BG$83,MATCH(Projeçao!U$2,Modelos!$AZ$68:$AZ$83,0),MATCH("θ2",Modelos!$AY$68:$BG$68,0))*Y18+INDEX(Modelos!$AY$68:$BG$83,MATCH(Projeçao!U$2,Modelos!$AZ$68:$AZ$83,0),MATCH("θ3",Modelos!$AY$68:$BG$68,0))*Y17+INDEX(Modelos!$AY$68:$BG$83,MATCH(Projeçao!U$2,Modelos!$AZ$68:$AZ$83,0),MATCH("c",Modelos!$AY$68:$BG$68,0))</f>
        <v>0.34920950477369983</v>
      </c>
      <c r="V20" s="6">
        <f ca="1">INDEX(Modelos!$AY$68:$BG$83,MATCH(Projeçao!V$2,Modelos!$AZ$68:$AZ$83,0),MATCH("β1",Modelos!$AY$68:$BG$68,0))*$T19+INDEX(Modelos!$AY$68:$BG$83,MATCH(Projeçao!V$2,Modelos!$AZ$68:$AZ$83,0),MATCH("β2",Modelos!$AY$68:$BG$68,0))*$T18+INDEX(Modelos!$AY$68:$BG$83,MATCH(Projeçao!V$2,Modelos!$AZ$68:$AZ$83,0),MATCH("β3",Modelos!$AY$68:$BG$68,0))*$T17+INDEX(Modelos!$AY$68:$BG$83,MATCH(Projeçao!V$2,Modelos!$AZ$68:$AZ$83,0),MATCH("θ1",Modelos!$AY$68:$BG$68,0))*Z19+INDEX(Modelos!$AY$68:$BG$83,MATCH(Projeçao!V$2,Modelos!$AZ$68:$AZ$83,0),MATCH("θ2",Modelos!$AY$68:$BG$68,0))*Z18+INDEX(Modelos!$AY$68:$BG$83,MATCH(Projeçao!V$2,Modelos!$AZ$68:$AZ$83,0),MATCH("θ3",Modelos!$AY$68:$BG$68,0))*Z17+INDEX(Modelos!$AY$68:$BG$83,MATCH(Projeçao!V$2,Modelos!$AZ$68:$AZ$83,0),MATCH("c",Modelos!$AY$68:$BG$68,0))</f>
        <v>1.6002194112515264</v>
      </c>
      <c r="W20" s="6">
        <f ca="1">INDEX(Modelos!$AY$68:$BG$83,MATCH(Projeçao!W$2,Modelos!$AZ$68:$AZ$83,0),MATCH("β1",Modelos!$AY$68:$BG$68,0))*$T19+INDEX(Modelos!$AY$68:$BG$83,MATCH(Projeçao!W$2,Modelos!$AZ$68:$AZ$83,0),MATCH("β2",Modelos!$AY$68:$BG$68,0))*$T18+INDEX(Modelos!$AY$68:$BG$83,MATCH(Projeçao!W$2,Modelos!$AZ$68:$AZ$83,0),MATCH("β3",Modelos!$AY$68:$BG$68,0))*$T17+INDEX(Modelos!$AY$68:$BG$83,MATCH(Projeçao!W$2,Modelos!$AZ$68:$AZ$83,0),MATCH("θ1",Modelos!$AY$68:$BG$68,0))*AA19+INDEX(Modelos!$AY$68:$BG$83,MATCH(Projeçao!W$2,Modelos!$AZ$68:$AZ$83,0),MATCH("θ2",Modelos!$AY$68:$BG$68,0))*AA18+INDEX(Modelos!$AY$68:$BG$83,MATCH(Projeçao!W$2,Modelos!$AZ$68:$AZ$83,0),MATCH("θ3",Modelos!$AY$68:$BG$68,0))*AA17+INDEX(Modelos!$AY$68:$BG$83,MATCH(Projeçao!W$2,Modelos!$AZ$68:$AZ$83,0),MATCH("c",Modelos!$AY$68:$BG$68,0))</f>
        <v>-0.33142712347589831</v>
      </c>
      <c r="Y20" s="6">
        <f t="shared" ca="1" si="19"/>
        <v>-0.36209999514215552</v>
      </c>
      <c r="Z20" s="6">
        <f t="shared" ca="1" si="20"/>
        <v>-1.6131099016199821</v>
      </c>
      <c r="AA20" s="6">
        <f t="shared" ca="1" si="21"/>
        <v>0.31853663310744262</v>
      </c>
    </row>
    <row r="21" spans="1:27" x14ac:dyDescent="0.15">
      <c r="A21" s="8">
        <f t="shared" si="10"/>
        <v>43738</v>
      </c>
      <c r="B21" s="6">
        <f ca="1">INDEX(Dados!$I:$N,MATCH($A21,Dados!$A:$A,0),MATCH(B$2,Dados!$I$2:$N$2,0))</f>
        <v>2.7820440014564074</v>
      </c>
      <c r="C21" s="19">
        <f ca="1">INDEX(Modelos!$AY$30:$BG$45,MATCH(Projeçao!C$2,Modelos!$AZ$49:$AZ$64,0),MATCH("β1",Modelos!$AY$30:$BG$30,0))*$B20+INDEX(Modelos!$AY$30:$BG$45,MATCH(Projeçao!C$2,Modelos!$AZ$49:$AZ$64,0),MATCH("β2",Modelos!$AY$30:$BG$30,0))*$B19+INDEX(Modelos!$AY$30:$BG$45,MATCH(Projeçao!C$2,Modelos!$AZ$49:$AZ$64,0),MATCH("β3",Modelos!$AY$30:$BG$30,0))*$B18+INDEX(Modelos!$AY$30:$BG$45,MATCH(Projeçao!C$2,Modelos!$AZ$49:$AZ$64,0),MATCH("θ1",Modelos!$AY$30:$BG$30,0))*G20+INDEX(Modelos!$AY$30:$BG$45,MATCH(Projeçao!C$2,Modelos!$AZ$49:$AZ$64,0),MATCH("θ2",Modelos!$AY$30:$BG$30,0))*G19+INDEX(Modelos!$AY$30:$BG$45,MATCH(Projeçao!C$2,Modelos!$AZ$49:$AZ$64,0),MATCH("θ3",Modelos!$AY$30:$BG$30,0))*G18+INDEX(Modelos!$AY$30:$BG$45,MATCH(Projeçao!C$2,Modelos!$AZ$49:$AZ$64,0),MATCH("c",Modelos!$AY$30:$BG$30,0))</f>
        <v>3.8553549463314409</v>
      </c>
      <c r="D21" s="19">
        <f ca="1">INDEX(Modelos!$AY$30:$BG$45,MATCH(Projeçao!D$2,Modelos!$AZ$49:$AZ$64,0),MATCH("β1",Modelos!$AY$30:$BG$30,0))*$B20+INDEX(Modelos!$AY$30:$BG$45,MATCH(Projeçao!D$2,Modelos!$AZ$49:$AZ$64,0),MATCH("β2",Modelos!$AY$30:$BG$30,0))*$B19+INDEX(Modelos!$AY$30:$BG$45,MATCH(Projeçao!D$2,Modelos!$AZ$49:$AZ$64,0),MATCH("β3",Modelos!$AY$30:$BG$30,0))*$B18+INDEX(Modelos!$AY$30:$BG$45,MATCH(Projeçao!D$2,Modelos!$AZ$49:$AZ$64,0),MATCH("θ1",Modelos!$AY$30:$BG$30,0))*H20+INDEX(Modelos!$AY$30:$BG$45,MATCH(Projeçao!D$2,Modelos!$AZ$49:$AZ$64,0),MATCH("θ2",Modelos!$AY$30:$BG$30,0))*H19+INDEX(Modelos!$AY$30:$BG$45,MATCH(Projeçao!D$2,Modelos!$AZ$49:$AZ$64,0),MATCH("θ3",Modelos!$AY$30:$BG$30,0))*H18+INDEX(Modelos!$AY$30:$BG$45,MATCH(Projeçao!D$2,Modelos!$AZ$49:$AZ$64,0),MATCH("c",Modelos!$AY$30:$BG$30,0))</f>
        <v>0.56214883121543258</v>
      </c>
      <c r="E21" s="19">
        <f ca="1">INDEX(Modelos!$AY$30:$BG$45,MATCH(Projeçao!E$2,Modelos!$AZ$49:$AZ$64,0),MATCH("β1",Modelos!$AY$30:$BG$30,0))*$B20+INDEX(Modelos!$AY$30:$BG$45,MATCH(Projeçao!E$2,Modelos!$AZ$49:$AZ$64,0),MATCH("β2",Modelos!$AY$30:$BG$30,0))*$B19+INDEX(Modelos!$AY$30:$BG$45,MATCH(Projeçao!E$2,Modelos!$AZ$49:$AZ$64,0),MATCH("β3",Modelos!$AY$30:$BG$30,0))*$B18+INDEX(Modelos!$AY$30:$BG$45,MATCH(Projeçao!E$2,Modelos!$AZ$49:$AZ$64,0),MATCH("θ1",Modelos!$AY$30:$BG$30,0))*I20+INDEX(Modelos!$AY$30:$BG$45,MATCH(Projeçao!E$2,Modelos!$AZ$49:$AZ$64,0),MATCH("θ2",Modelos!$AY$30:$BG$30,0))*I19+INDEX(Modelos!$AY$30:$BG$45,MATCH(Projeçao!E$2,Modelos!$AZ$49:$AZ$64,0),MATCH("θ3",Modelos!$AY$30:$BG$30,0))*I18+INDEX(Modelos!$AY$30:$BG$45,MATCH(Projeçao!E$2,Modelos!$AZ$49:$AZ$64,0),MATCH("c",Modelos!$AY$30:$BG$30,0))</f>
        <v>2.3402624465131803</v>
      </c>
      <c r="G21" s="6">
        <f t="shared" ca="1" si="15"/>
        <v>-1.0733109448750335</v>
      </c>
      <c r="H21" s="6">
        <f t="shared" ca="1" si="11"/>
        <v>2.2198951702409748</v>
      </c>
      <c r="I21" s="6">
        <f t="shared" ca="1" si="12"/>
        <v>0.44178155494322713</v>
      </c>
      <c r="K21" s="6">
        <f ca="1">INDEX(Dados!$I:$N,MATCH($A21,Dados!$A:$A,0),MATCH(K$2,Dados!$I$2:$N$2,0))</f>
        <v>-0.30090598848411254</v>
      </c>
      <c r="L21" s="6">
        <f ca="1">INDEX(Modelos!$AY$49:$BG$64,MATCH(Projeçao!L$2,Modelos!$AZ$49:$AZ$64,0),MATCH("β1",Modelos!$AY$49:$BG$49,0))*$K20+INDEX(Modelos!$AY$49:$BG$64,MATCH(Projeçao!L$2,Modelos!$AZ$49:$AZ$64,0),MATCH("β2",Modelos!$AY$49:$BG$49,0))*$K19+INDEX(Modelos!$AY$49:$BG$64,MATCH(Projeçao!L$2,Modelos!$AZ$49:$AZ$64,0),MATCH("β3",Modelos!$AY$49:$BG$49,0))*$K18+INDEX(Modelos!$AY$49:$BG$64,MATCH(Projeçao!L$2,Modelos!$AZ$49:$AZ$64,0),MATCH("θ1",Modelos!$AY$49:$BG$49,0))*P20+INDEX(Modelos!$AY$49:$BG$64,MATCH(Projeçao!L$2,Modelos!$AZ$49:$AZ$64,0),MATCH("θ2",Modelos!$AY$49:$BG$49,0))*P19+INDEX(Modelos!$AY$49:$BG$64,MATCH(Projeçao!L$2,Modelos!$AZ$49:$AZ$64,0),MATCH("θ3",Modelos!$AY$49:$BG$49,0))*P18+INDEX(Modelos!$AY$49:$BG$64,MATCH(Projeçao!L$2,Modelos!$AZ$49:$AZ$64,0),MATCH("c",Modelos!$AY$49:$BG$49,0))</f>
        <v>0.44764682987189441</v>
      </c>
      <c r="M21" s="6">
        <f ca="1">INDEX(Modelos!$AY$49:$BG$64,MATCH(Projeçao!M$2,Modelos!$AZ$49:$AZ$64,0),MATCH("β1",Modelos!$AY$49:$BG$49,0))*$K20+INDEX(Modelos!$AY$49:$BG$64,MATCH(Projeçao!M$2,Modelos!$AZ$49:$AZ$64,0),MATCH("β2",Modelos!$AY$49:$BG$49,0))*$K19+INDEX(Modelos!$AY$49:$BG$64,MATCH(Projeçao!M$2,Modelos!$AZ$49:$AZ$64,0),MATCH("β3",Modelos!$AY$49:$BG$49,0))*$K18+INDEX(Modelos!$AY$49:$BG$64,MATCH(Projeçao!M$2,Modelos!$AZ$49:$AZ$64,0),MATCH("θ1",Modelos!$AY$49:$BG$49,0))*Q20+INDEX(Modelos!$AY$49:$BG$64,MATCH(Projeçao!M$2,Modelos!$AZ$49:$AZ$64,0),MATCH("θ2",Modelos!$AY$49:$BG$49,0))*Q19+INDEX(Modelos!$AY$49:$BG$64,MATCH(Projeçao!M$2,Modelos!$AZ$49:$AZ$64,0),MATCH("θ3",Modelos!$AY$49:$BG$49,0))*Q18+INDEX(Modelos!$AY$49:$BG$64,MATCH(Projeçao!M$2,Modelos!$AZ$49:$AZ$64,0),MATCH("c",Modelos!$AY$49:$BG$49,0))</f>
        <v>-0.7349451854182103</v>
      </c>
      <c r="N21" s="6">
        <f ca="1">INDEX(Modelos!$AY$49:$BG$64,MATCH(Projeçao!N$2,Modelos!$AZ$49:$AZ$64,0),MATCH("β1",Modelos!$AY$49:$BG$49,0))*$K20+INDEX(Modelos!$AY$49:$BG$64,MATCH(Projeçao!N$2,Modelos!$AZ$49:$AZ$64,0),MATCH("β2",Modelos!$AY$49:$BG$49,0))*$K19+INDEX(Modelos!$AY$49:$BG$64,MATCH(Projeçao!N$2,Modelos!$AZ$49:$AZ$64,0),MATCH("β3",Modelos!$AY$49:$BG$49,0))*$K18+INDEX(Modelos!$AY$49:$BG$64,MATCH(Projeçao!N$2,Modelos!$AZ$49:$AZ$64,0),MATCH("θ1",Modelos!$AY$49:$BG$49,0))*R20+INDEX(Modelos!$AY$49:$BG$64,MATCH(Projeçao!N$2,Modelos!$AZ$49:$AZ$64,0),MATCH("θ2",Modelos!$AY$49:$BG$49,0))*R19+INDEX(Modelos!$AY$49:$BG$64,MATCH(Projeçao!N$2,Modelos!$AZ$49:$AZ$64,0),MATCH("θ3",Modelos!$AY$49:$BG$49,0))*R18+INDEX(Modelos!$AY$49:$BG$64,MATCH(Projeçao!N$2,Modelos!$AZ$49:$AZ$64,0),MATCH("c",Modelos!$AY$49:$BG$49,0))</f>
        <v>-0.31338512410745872</v>
      </c>
      <c r="P21" s="6">
        <f t="shared" ca="1" si="16"/>
        <v>-0.74855281835600695</v>
      </c>
      <c r="Q21" s="6">
        <f t="shared" ca="1" si="17"/>
        <v>0.43403919693409776</v>
      </c>
      <c r="R21" s="6">
        <f t="shared" ca="1" si="18"/>
        <v>1.2479135623346183E-2</v>
      </c>
      <c r="T21" s="6">
        <f ca="1">INDEX(Dados!$I:$N,MATCH($A21,Dados!$A:$A,0),MATCH(T$2,Dados!$I$2:$N$2,0))</f>
        <v>4.0599353972070595E-2</v>
      </c>
      <c r="U21" s="6">
        <f ca="1">INDEX(Modelos!$AY$68:$BG$83,MATCH(Projeçao!U$2,Modelos!$AZ$68:$AZ$83,0),MATCH("β1",Modelos!$AY$68:$BG$68,0))*$T20+INDEX(Modelos!$AY$68:$BG$83,MATCH(Projeçao!U$2,Modelos!$AZ$68:$AZ$83,0),MATCH("β2",Modelos!$AY$68:$BG$68,0))*$T19+INDEX(Modelos!$AY$68:$BG$83,MATCH(Projeçao!U$2,Modelos!$AZ$68:$AZ$83,0),MATCH("β3",Modelos!$AY$68:$BG$68,0))*$T18+INDEX(Modelos!$AY$68:$BG$83,MATCH(Projeçao!U$2,Modelos!$AZ$68:$AZ$83,0),MATCH("θ1",Modelos!$AY$68:$BG$68,0))*Y20+INDEX(Modelos!$AY$68:$BG$83,MATCH(Projeçao!U$2,Modelos!$AZ$68:$AZ$83,0),MATCH("θ2",Modelos!$AY$68:$BG$68,0))*Y19+INDEX(Modelos!$AY$68:$BG$83,MATCH(Projeçao!U$2,Modelos!$AZ$68:$AZ$83,0),MATCH("θ3",Modelos!$AY$68:$BG$68,0))*Y18+INDEX(Modelos!$AY$68:$BG$83,MATCH(Projeçao!U$2,Modelos!$AZ$68:$AZ$83,0),MATCH("c",Modelos!$AY$68:$BG$68,0))</f>
        <v>0.78842787358449473</v>
      </c>
      <c r="V21" s="6">
        <f ca="1">INDEX(Modelos!$AY$68:$BG$83,MATCH(Projeçao!V$2,Modelos!$AZ$68:$AZ$83,0),MATCH("β1",Modelos!$AY$68:$BG$68,0))*$T20+INDEX(Modelos!$AY$68:$BG$83,MATCH(Projeçao!V$2,Modelos!$AZ$68:$AZ$83,0),MATCH("β2",Modelos!$AY$68:$BG$68,0))*$T19+INDEX(Modelos!$AY$68:$BG$83,MATCH(Projeçao!V$2,Modelos!$AZ$68:$AZ$83,0),MATCH("β3",Modelos!$AY$68:$BG$68,0))*$T18+INDEX(Modelos!$AY$68:$BG$83,MATCH(Projeçao!V$2,Modelos!$AZ$68:$AZ$83,0),MATCH("θ1",Modelos!$AY$68:$BG$68,0))*Z20+INDEX(Modelos!$AY$68:$BG$83,MATCH(Projeçao!V$2,Modelos!$AZ$68:$AZ$83,0),MATCH("θ2",Modelos!$AY$68:$BG$68,0))*Z19+INDEX(Modelos!$AY$68:$BG$83,MATCH(Projeçao!V$2,Modelos!$AZ$68:$AZ$83,0),MATCH("θ3",Modelos!$AY$68:$BG$68,0))*Z18+INDEX(Modelos!$AY$68:$BG$83,MATCH(Projeçao!V$2,Modelos!$AZ$68:$AZ$83,0),MATCH("c",Modelos!$AY$68:$BG$68,0))</f>
        <v>0.80711230199946338</v>
      </c>
      <c r="W21" s="6">
        <f ca="1">INDEX(Modelos!$AY$68:$BG$83,MATCH(Projeçao!W$2,Modelos!$AZ$68:$AZ$83,0),MATCH("β1",Modelos!$AY$68:$BG$68,0))*$T20+INDEX(Modelos!$AY$68:$BG$83,MATCH(Projeçao!W$2,Modelos!$AZ$68:$AZ$83,0),MATCH("β2",Modelos!$AY$68:$BG$68,0))*$T19+INDEX(Modelos!$AY$68:$BG$83,MATCH(Projeçao!W$2,Modelos!$AZ$68:$AZ$83,0),MATCH("β3",Modelos!$AY$68:$BG$68,0))*$T18+INDEX(Modelos!$AY$68:$BG$83,MATCH(Projeçao!W$2,Modelos!$AZ$68:$AZ$83,0),MATCH("θ1",Modelos!$AY$68:$BG$68,0))*AA20+INDEX(Modelos!$AY$68:$BG$83,MATCH(Projeçao!W$2,Modelos!$AZ$68:$AZ$83,0),MATCH("θ2",Modelos!$AY$68:$BG$68,0))*AA19+INDEX(Modelos!$AY$68:$BG$83,MATCH(Projeçao!W$2,Modelos!$AZ$68:$AZ$83,0),MATCH("θ3",Modelos!$AY$68:$BG$68,0))*AA18+INDEX(Modelos!$AY$68:$BG$83,MATCH(Projeçao!W$2,Modelos!$AZ$68:$AZ$83,0),MATCH("c",Modelos!$AY$68:$BG$68,0))</f>
        <v>0.78093655077699209</v>
      </c>
      <c r="Y21" s="6">
        <f t="shared" ca="1" si="19"/>
        <v>-0.74782851961242414</v>
      </c>
      <c r="Z21" s="6">
        <f t="shared" ca="1" si="20"/>
        <v>-0.76651294802739278</v>
      </c>
      <c r="AA21" s="6">
        <f t="shared" ca="1" si="21"/>
        <v>-0.74033719680492149</v>
      </c>
    </row>
    <row r="22" spans="1:27" x14ac:dyDescent="0.15">
      <c r="A22" s="8">
        <f t="shared" si="10"/>
        <v>43830</v>
      </c>
      <c r="B22" s="6">
        <f ca="1">INDEX(Dados!$I:$N,MATCH($A22,Dados!$A:$A,0),MATCH(B$2,Dados!$I$2:$N$2,0))</f>
        <v>-0.67798520989259536</v>
      </c>
      <c r="C22" s="19">
        <f ca="1">INDEX(Modelos!$AY$30:$BG$45,MATCH(Projeçao!C$2,Modelos!$AZ$49:$AZ$64,0),MATCH("β1",Modelos!$AY$30:$BG$30,0))*$B21+INDEX(Modelos!$AY$30:$BG$45,MATCH(Projeçao!C$2,Modelos!$AZ$49:$AZ$64,0),MATCH("β2",Modelos!$AY$30:$BG$30,0))*$B20+INDEX(Modelos!$AY$30:$BG$45,MATCH(Projeçao!C$2,Modelos!$AZ$49:$AZ$64,0),MATCH("β3",Modelos!$AY$30:$BG$30,0))*$B19+INDEX(Modelos!$AY$30:$BG$45,MATCH(Projeçao!C$2,Modelos!$AZ$49:$AZ$64,0),MATCH("θ1",Modelos!$AY$30:$BG$30,0))*G21+INDEX(Modelos!$AY$30:$BG$45,MATCH(Projeçao!C$2,Modelos!$AZ$49:$AZ$64,0),MATCH("θ2",Modelos!$AY$30:$BG$30,0))*G20+INDEX(Modelos!$AY$30:$BG$45,MATCH(Projeçao!C$2,Modelos!$AZ$49:$AZ$64,0),MATCH("θ3",Modelos!$AY$30:$BG$30,0))*G19+INDEX(Modelos!$AY$30:$BG$45,MATCH(Projeçao!C$2,Modelos!$AZ$49:$AZ$64,0),MATCH("c",Modelos!$AY$30:$BG$30,0))</f>
        <v>-0.80752693498089378</v>
      </c>
      <c r="D22" s="19">
        <f ca="1">INDEX(Modelos!$AY$30:$BG$45,MATCH(Projeçao!D$2,Modelos!$AZ$49:$AZ$64,0),MATCH("β1",Modelos!$AY$30:$BG$30,0))*$B21+INDEX(Modelos!$AY$30:$BG$45,MATCH(Projeçao!D$2,Modelos!$AZ$49:$AZ$64,0),MATCH("β2",Modelos!$AY$30:$BG$30,0))*$B20+INDEX(Modelos!$AY$30:$BG$45,MATCH(Projeçao!D$2,Modelos!$AZ$49:$AZ$64,0),MATCH("β3",Modelos!$AY$30:$BG$30,0))*$B19+INDEX(Modelos!$AY$30:$BG$45,MATCH(Projeçao!D$2,Modelos!$AZ$49:$AZ$64,0),MATCH("θ1",Modelos!$AY$30:$BG$30,0))*H21+INDEX(Modelos!$AY$30:$BG$45,MATCH(Projeçao!D$2,Modelos!$AZ$49:$AZ$64,0),MATCH("θ2",Modelos!$AY$30:$BG$30,0))*H20+INDEX(Modelos!$AY$30:$BG$45,MATCH(Projeçao!D$2,Modelos!$AZ$49:$AZ$64,0),MATCH("θ3",Modelos!$AY$30:$BG$30,0))*H19+INDEX(Modelos!$AY$30:$BG$45,MATCH(Projeçao!D$2,Modelos!$AZ$49:$AZ$64,0),MATCH("c",Modelos!$AY$30:$BG$30,0))</f>
        <v>-0.16067168519454361</v>
      </c>
      <c r="E22" s="19">
        <f ca="1">INDEX(Modelos!$AY$30:$BG$45,MATCH(Projeçao!E$2,Modelos!$AZ$49:$AZ$64,0),MATCH("β1",Modelos!$AY$30:$BG$30,0))*$B21+INDEX(Modelos!$AY$30:$BG$45,MATCH(Projeçao!E$2,Modelos!$AZ$49:$AZ$64,0),MATCH("β2",Modelos!$AY$30:$BG$30,0))*$B20+INDEX(Modelos!$AY$30:$BG$45,MATCH(Projeçao!E$2,Modelos!$AZ$49:$AZ$64,0),MATCH("β3",Modelos!$AY$30:$BG$30,0))*$B19+INDEX(Modelos!$AY$30:$BG$45,MATCH(Projeçao!E$2,Modelos!$AZ$49:$AZ$64,0),MATCH("θ1",Modelos!$AY$30:$BG$30,0))*I21+INDEX(Modelos!$AY$30:$BG$45,MATCH(Projeçao!E$2,Modelos!$AZ$49:$AZ$64,0),MATCH("θ2",Modelos!$AY$30:$BG$30,0))*I20+INDEX(Modelos!$AY$30:$BG$45,MATCH(Projeçao!E$2,Modelos!$AZ$49:$AZ$64,0),MATCH("θ3",Modelos!$AY$30:$BG$30,0))*I19+INDEX(Modelos!$AY$30:$BG$45,MATCH(Projeçao!E$2,Modelos!$AZ$49:$AZ$64,0),MATCH("c",Modelos!$AY$30:$BG$30,0))</f>
        <v>0.19761543961023365</v>
      </c>
      <c r="G22" s="6">
        <f t="shared" ca="1" si="15"/>
        <v>0.12954172508829842</v>
      </c>
      <c r="H22" s="6">
        <f t="shared" ca="1" si="11"/>
        <v>-0.51731352469805181</v>
      </c>
      <c r="I22" s="6">
        <f t="shared" ca="1" si="12"/>
        <v>-0.87560064950282901</v>
      </c>
      <c r="K22" s="6">
        <f ca="1">INDEX(Dados!$I:$N,MATCH($A22,Dados!$A:$A,0),MATCH(K$2,Dados!$I$2:$N$2,0))</f>
        <v>-0.22761138709348483</v>
      </c>
      <c r="L22" s="6">
        <f ca="1">INDEX(Modelos!$AY$49:$BG$64,MATCH(Projeçao!L$2,Modelos!$AZ$49:$AZ$64,0),MATCH("β1",Modelos!$AY$49:$BG$49,0))*$K21+INDEX(Modelos!$AY$49:$BG$64,MATCH(Projeçao!L$2,Modelos!$AZ$49:$AZ$64,0),MATCH("β2",Modelos!$AY$49:$BG$49,0))*$K20+INDEX(Modelos!$AY$49:$BG$64,MATCH(Projeçao!L$2,Modelos!$AZ$49:$AZ$64,0),MATCH("β3",Modelos!$AY$49:$BG$49,0))*$K19+INDEX(Modelos!$AY$49:$BG$64,MATCH(Projeçao!L$2,Modelos!$AZ$49:$AZ$64,0),MATCH("θ1",Modelos!$AY$49:$BG$49,0))*P21+INDEX(Modelos!$AY$49:$BG$64,MATCH(Projeçao!L$2,Modelos!$AZ$49:$AZ$64,0),MATCH("θ2",Modelos!$AY$49:$BG$49,0))*P20+INDEX(Modelos!$AY$49:$BG$64,MATCH(Projeçao!L$2,Modelos!$AZ$49:$AZ$64,0),MATCH("θ3",Modelos!$AY$49:$BG$49,0))*P19+INDEX(Modelos!$AY$49:$BG$64,MATCH(Projeçao!L$2,Modelos!$AZ$49:$AZ$64,0),MATCH("c",Modelos!$AY$49:$BG$49,0))</f>
        <v>-1.0804972787798073E-2</v>
      </c>
      <c r="M22" s="6">
        <f ca="1">INDEX(Modelos!$AY$49:$BG$64,MATCH(Projeçao!M$2,Modelos!$AZ$49:$AZ$64,0),MATCH("β1",Modelos!$AY$49:$BG$49,0))*$K21+INDEX(Modelos!$AY$49:$BG$64,MATCH(Projeçao!M$2,Modelos!$AZ$49:$AZ$64,0),MATCH("β2",Modelos!$AY$49:$BG$49,0))*$K20+INDEX(Modelos!$AY$49:$BG$64,MATCH(Projeçao!M$2,Modelos!$AZ$49:$AZ$64,0),MATCH("β3",Modelos!$AY$49:$BG$49,0))*$K19+INDEX(Modelos!$AY$49:$BG$64,MATCH(Projeçao!M$2,Modelos!$AZ$49:$AZ$64,0),MATCH("θ1",Modelos!$AY$49:$BG$49,0))*Q21+INDEX(Modelos!$AY$49:$BG$64,MATCH(Projeçao!M$2,Modelos!$AZ$49:$AZ$64,0),MATCH("θ2",Modelos!$AY$49:$BG$49,0))*Q20+INDEX(Modelos!$AY$49:$BG$64,MATCH(Projeçao!M$2,Modelos!$AZ$49:$AZ$64,0),MATCH("θ3",Modelos!$AY$49:$BG$49,0))*Q19+INDEX(Modelos!$AY$49:$BG$64,MATCH(Projeçao!M$2,Modelos!$AZ$49:$AZ$64,0),MATCH("c",Modelos!$AY$49:$BG$49,0))</f>
        <v>0.5330209261201253</v>
      </c>
      <c r="N22" s="6">
        <f ca="1">INDEX(Modelos!$AY$49:$BG$64,MATCH(Projeçao!N$2,Modelos!$AZ$49:$AZ$64,0),MATCH("β1",Modelos!$AY$49:$BG$49,0))*$K21+INDEX(Modelos!$AY$49:$BG$64,MATCH(Projeçao!N$2,Modelos!$AZ$49:$AZ$64,0),MATCH("β2",Modelos!$AY$49:$BG$49,0))*$K20+INDEX(Modelos!$AY$49:$BG$64,MATCH(Projeçao!N$2,Modelos!$AZ$49:$AZ$64,0),MATCH("β3",Modelos!$AY$49:$BG$49,0))*$K19+INDEX(Modelos!$AY$49:$BG$64,MATCH(Projeçao!N$2,Modelos!$AZ$49:$AZ$64,0),MATCH("θ1",Modelos!$AY$49:$BG$49,0))*R21+INDEX(Modelos!$AY$49:$BG$64,MATCH(Projeçao!N$2,Modelos!$AZ$49:$AZ$64,0),MATCH("θ2",Modelos!$AY$49:$BG$49,0))*R20+INDEX(Modelos!$AY$49:$BG$64,MATCH(Projeçao!N$2,Modelos!$AZ$49:$AZ$64,0),MATCH("θ3",Modelos!$AY$49:$BG$49,0))*R19+INDEX(Modelos!$AY$49:$BG$64,MATCH(Projeçao!N$2,Modelos!$AZ$49:$AZ$64,0),MATCH("c",Modelos!$AY$49:$BG$49,0))</f>
        <v>0.43114886277958198</v>
      </c>
      <c r="P22" s="6">
        <f t="shared" ca="1" si="16"/>
        <v>-0.21680641430568676</v>
      </c>
      <c r="Q22" s="6">
        <f t="shared" ca="1" si="17"/>
        <v>-0.76063231321361013</v>
      </c>
      <c r="R22" s="6">
        <f t="shared" ca="1" si="18"/>
        <v>-0.65876024987306681</v>
      </c>
      <c r="T22" s="6">
        <f ca="1">INDEX(Dados!$I:$N,MATCH($A22,Dados!$A:$A,0),MATCH(T$2,Dados!$I$2:$N$2,0))</f>
        <v>9.9141916772116367E-2</v>
      </c>
      <c r="U22" s="6">
        <f ca="1">INDEX(Modelos!$AY$68:$BG$83,MATCH(Projeçao!U$2,Modelos!$AZ$68:$AZ$83,0),MATCH("β1",Modelos!$AY$68:$BG$68,0))*$T21+INDEX(Modelos!$AY$68:$BG$83,MATCH(Projeçao!U$2,Modelos!$AZ$68:$AZ$83,0),MATCH("β2",Modelos!$AY$68:$BG$68,0))*$T20+INDEX(Modelos!$AY$68:$BG$83,MATCH(Projeçao!U$2,Modelos!$AZ$68:$AZ$83,0),MATCH("β3",Modelos!$AY$68:$BG$68,0))*$T19+INDEX(Modelos!$AY$68:$BG$83,MATCH(Projeçao!U$2,Modelos!$AZ$68:$AZ$83,0),MATCH("θ1",Modelos!$AY$68:$BG$68,0))*Y21+INDEX(Modelos!$AY$68:$BG$83,MATCH(Projeçao!U$2,Modelos!$AZ$68:$AZ$83,0),MATCH("θ2",Modelos!$AY$68:$BG$68,0))*Y20+INDEX(Modelos!$AY$68:$BG$83,MATCH(Projeçao!U$2,Modelos!$AZ$68:$AZ$83,0),MATCH("θ3",Modelos!$AY$68:$BG$68,0))*Y19+INDEX(Modelos!$AY$68:$BG$83,MATCH(Projeçao!U$2,Modelos!$AZ$68:$AZ$83,0),MATCH("c",Modelos!$AY$68:$BG$68,0))</f>
        <v>0.47857441771921305</v>
      </c>
      <c r="V22" s="6">
        <f ca="1">INDEX(Modelos!$AY$68:$BG$83,MATCH(Projeçao!V$2,Modelos!$AZ$68:$AZ$83,0),MATCH("β1",Modelos!$AY$68:$BG$68,0))*$T21+INDEX(Modelos!$AY$68:$BG$83,MATCH(Projeçao!V$2,Modelos!$AZ$68:$AZ$83,0),MATCH("β2",Modelos!$AY$68:$BG$68,0))*$T20+INDEX(Modelos!$AY$68:$BG$83,MATCH(Projeçao!V$2,Modelos!$AZ$68:$AZ$83,0),MATCH("β3",Modelos!$AY$68:$BG$68,0))*$T19+INDEX(Modelos!$AY$68:$BG$83,MATCH(Projeçao!V$2,Modelos!$AZ$68:$AZ$83,0),MATCH("θ1",Modelos!$AY$68:$BG$68,0))*Z21+INDEX(Modelos!$AY$68:$BG$83,MATCH(Projeçao!V$2,Modelos!$AZ$68:$AZ$83,0),MATCH("θ2",Modelos!$AY$68:$BG$68,0))*Z20+INDEX(Modelos!$AY$68:$BG$83,MATCH(Projeçao!V$2,Modelos!$AZ$68:$AZ$83,0),MATCH("θ3",Modelos!$AY$68:$BG$68,0))*Z19+INDEX(Modelos!$AY$68:$BG$83,MATCH(Projeçao!V$2,Modelos!$AZ$68:$AZ$83,0),MATCH("c",Modelos!$AY$68:$BG$68,0))</f>
        <v>0.1891350651478359</v>
      </c>
      <c r="W22" s="6">
        <f ca="1">INDEX(Modelos!$AY$68:$BG$83,MATCH(Projeçao!W$2,Modelos!$AZ$68:$AZ$83,0),MATCH("β1",Modelos!$AY$68:$BG$68,0))*$T21+INDEX(Modelos!$AY$68:$BG$83,MATCH(Projeçao!W$2,Modelos!$AZ$68:$AZ$83,0),MATCH("β2",Modelos!$AY$68:$BG$68,0))*$T20+INDEX(Modelos!$AY$68:$BG$83,MATCH(Projeçao!W$2,Modelos!$AZ$68:$AZ$83,0),MATCH("β3",Modelos!$AY$68:$BG$68,0))*$T19+INDEX(Modelos!$AY$68:$BG$83,MATCH(Projeçao!W$2,Modelos!$AZ$68:$AZ$83,0),MATCH("θ1",Modelos!$AY$68:$BG$68,0))*AA21+INDEX(Modelos!$AY$68:$BG$83,MATCH(Projeçao!W$2,Modelos!$AZ$68:$AZ$83,0),MATCH("θ2",Modelos!$AY$68:$BG$68,0))*AA20+INDEX(Modelos!$AY$68:$BG$83,MATCH(Projeçao!W$2,Modelos!$AZ$68:$AZ$83,0),MATCH("θ3",Modelos!$AY$68:$BG$68,0))*AA19+INDEX(Modelos!$AY$68:$BG$83,MATCH(Projeçao!W$2,Modelos!$AZ$68:$AZ$83,0),MATCH("c",Modelos!$AY$68:$BG$68,0))</f>
        <v>1.3973082410411153</v>
      </c>
      <c r="Y22" s="6">
        <f t="shared" ca="1" si="19"/>
        <v>-0.37943250094709668</v>
      </c>
      <c r="Z22" s="6">
        <f t="shared" ca="1" si="20"/>
        <v>-8.9993148375719534E-2</v>
      </c>
      <c r="AA22" s="6">
        <f t="shared" ca="1" si="21"/>
        <v>-1.2981663242689989</v>
      </c>
    </row>
    <row r="23" spans="1:27" x14ac:dyDescent="0.15">
      <c r="A23" s="8">
        <f t="shared" si="10"/>
        <v>43921</v>
      </c>
      <c r="B23" s="6">
        <f ca="1">INDEX(Dados!$I:$N,MATCH($A23,Dados!$A:$A,0),MATCH(B$2,Dados!$I$2:$N$2,0))</f>
        <v>0.78853765576762935</v>
      </c>
      <c r="C23" s="19">
        <f ca="1">INDEX(Modelos!$AY$30:$BG$45,MATCH(Projeçao!C$2,Modelos!$AZ$49:$AZ$64,0),MATCH("β1",Modelos!$AY$30:$BG$30,0))*$B22+INDEX(Modelos!$AY$30:$BG$45,MATCH(Projeçao!C$2,Modelos!$AZ$49:$AZ$64,0),MATCH("β2",Modelos!$AY$30:$BG$30,0))*$B21+INDEX(Modelos!$AY$30:$BG$45,MATCH(Projeçao!C$2,Modelos!$AZ$49:$AZ$64,0),MATCH("β3",Modelos!$AY$30:$BG$30,0))*$B20+INDEX(Modelos!$AY$30:$BG$45,MATCH(Projeçao!C$2,Modelos!$AZ$49:$AZ$64,0),MATCH("θ1",Modelos!$AY$30:$BG$30,0))*G22+INDEX(Modelos!$AY$30:$BG$45,MATCH(Projeçao!C$2,Modelos!$AZ$49:$AZ$64,0),MATCH("θ2",Modelos!$AY$30:$BG$30,0))*G21+INDEX(Modelos!$AY$30:$BG$45,MATCH(Projeçao!C$2,Modelos!$AZ$49:$AZ$64,0),MATCH("θ3",Modelos!$AY$30:$BG$30,0))*G20+INDEX(Modelos!$AY$30:$BG$45,MATCH(Projeçao!C$2,Modelos!$AZ$49:$AZ$64,0),MATCH("c",Modelos!$AY$30:$BG$30,0))</f>
        <v>-0.17974710998772903</v>
      </c>
      <c r="D23" s="19">
        <f ca="1">INDEX(Modelos!$AY$30:$BG$45,MATCH(Projeçao!D$2,Modelos!$AZ$49:$AZ$64,0),MATCH("β1",Modelos!$AY$30:$BG$30,0))*$B22+INDEX(Modelos!$AY$30:$BG$45,MATCH(Projeçao!D$2,Modelos!$AZ$49:$AZ$64,0),MATCH("β2",Modelos!$AY$30:$BG$30,0))*$B21+INDEX(Modelos!$AY$30:$BG$45,MATCH(Projeçao!D$2,Modelos!$AZ$49:$AZ$64,0),MATCH("β3",Modelos!$AY$30:$BG$30,0))*$B20+INDEX(Modelos!$AY$30:$BG$45,MATCH(Projeçao!D$2,Modelos!$AZ$49:$AZ$64,0),MATCH("θ1",Modelos!$AY$30:$BG$30,0))*H22+INDEX(Modelos!$AY$30:$BG$45,MATCH(Projeçao!D$2,Modelos!$AZ$49:$AZ$64,0),MATCH("θ2",Modelos!$AY$30:$BG$30,0))*H21+INDEX(Modelos!$AY$30:$BG$45,MATCH(Projeçao!D$2,Modelos!$AZ$49:$AZ$64,0),MATCH("θ3",Modelos!$AY$30:$BG$30,0))*H20+INDEX(Modelos!$AY$30:$BG$45,MATCH(Projeçao!D$2,Modelos!$AZ$49:$AZ$64,0),MATCH("c",Modelos!$AY$30:$BG$30,0))</f>
        <v>0.69576727333322763</v>
      </c>
      <c r="E23" s="19">
        <f ca="1">INDEX(Modelos!$AY$30:$BG$45,MATCH(Projeçao!E$2,Modelos!$AZ$49:$AZ$64,0),MATCH("β1",Modelos!$AY$30:$BG$30,0))*$B22+INDEX(Modelos!$AY$30:$BG$45,MATCH(Projeçao!E$2,Modelos!$AZ$49:$AZ$64,0),MATCH("β2",Modelos!$AY$30:$BG$30,0))*$B21+INDEX(Modelos!$AY$30:$BG$45,MATCH(Projeçao!E$2,Modelos!$AZ$49:$AZ$64,0),MATCH("β3",Modelos!$AY$30:$BG$30,0))*$B20+INDEX(Modelos!$AY$30:$BG$45,MATCH(Projeçao!E$2,Modelos!$AZ$49:$AZ$64,0),MATCH("θ1",Modelos!$AY$30:$BG$30,0))*I22+INDEX(Modelos!$AY$30:$BG$45,MATCH(Projeçao!E$2,Modelos!$AZ$49:$AZ$64,0),MATCH("θ2",Modelos!$AY$30:$BG$30,0))*I21+INDEX(Modelos!$AY$30:$BG$45,MATCH(Projeçao!E$2,Modelos!$AZ$49:$AZ$64,0),MATCH("θ3",Modelos!$AY$30:$BG$30,0))*I20+INDEX(Modelos!$AY$30:$BG$45,MATCH(Projeçao!E$2,Modelos!$AZ$49:$AZ$64,0),MATCH("c",Modelos!$AY$30:$BG$30,0))</f>
        <v>1.2256650613008588</v>
      </c>
      <c r="G23" s="6">
        <f t="shared" ca="1" si="15"/>
        <v>0.96828476575535838</v>
      </c>
      <c r="H23" s="6">
        <f t="shared" ca="1" si="11"/>
        <v>9.2770382434401721E-2</v>
      </c>
      <c r="I23" s="6">
        <f t="shared" ca="1" si="12"/>
        <v>-0.43712740553322949</v>
      </c>
      <c r="K23" s="6">
        <f ca="1">INDEX(Dados!$I:$N,MATCH($A23,Dados!$A:$A,0),MATCH(K$2,Dados!$I$2:$N$2,0))</f>
        <v>-1.8862105682528552</v>
      </c>
      <c r="L23" s="6">
        <f ca="1">INDEX(Modelos!$AY$49:$BG$64,MATCH(Projeçao!L$2,Modelos!$AZ$49:$AZ$64,0),MATCH("β1",Modelos!$AY$49:$BG$49,0))*$K22+INDEX(Modelos!$AY$49:$BG$64,MATCH(Projeçao!L$2,Modelos!$AZ$49:$AZ$64,0),MATCH("β2",Modelos!$AY$49:$BG$49,0))*$K21+INDEX(Modelos!$AY$49:$BG$64,MATCH(Projeçao!L$2,Modelos!$AZ$49:$AZ$64,0),MATCH("β3",Modelos!$AY$49:$BG$49,0))*$K20+INDEX(Modelos!$AY$49:$BG$64,MATCH(Projeçao!L$2,Modelos!$AZ$49:$AZ$64,0),MATCH("θ1",Modelos!$AY$49:$BG$49,0))*P22+INDEX(Modelos!$AY$49:$BG$64,MATCH(Projeçao!L$2,Modelos!$AZ$49:$AZ$64,0),MATCH("θ2",Modelos!$AY$49:$BG$49,0))*P21+INDEX(Modelos!$AY$49:$BG$64,MATCH(Projeçao!L$2,Modelos!$AZ$49:$AZ$64,0),MATCH("θ3",Modelos!$AY$49:$BG$49,0))*P20+INDEX(Modelos!$AY$49:$BG$64,MATCH(Projeçao!L$2,Modelos!$AZ$49:$AZ$64,0),MATCH("c",Modelos!$AY$49:$BG$49,0))</f>
        <v>0.38102316558709531</v>
      </c>
      <c r="M23" s="6">
        <f ca="1">INDEX(Modelos!$AY$49:$BG$64,MATCH(Projeçao!M$2,Modelos!$AZ$49:$AZ$64,0),MATCH("β1",Modelos!$AY$49:$BG$49,0))*$K22+INDEX(Modelos!$AY$49:$BG$64,MATCH(Projeçao!M$2,Modelos!$AZ$49:$AZ$64,0),MATCH("β2",Modelos!$AY$49:$BG$49,0))*$K21+INDEX(Modelos!$AY$49:$BG$64,MATCH(Projeçao!M$2,Modelos!$AZ$49:$AZ$64,0),MATCH("β3",Modelos!$AY$49:$BG$49,0))*$K20+INDEX(Modelos!$AY$49:$BG$64,MATCH(Projeçao!M$2,Modelos!$AZ$49:$AZ$64,0),MATCH("θ1",Modelos!$AY$49:$BG$49,0))*Q22+INDEX(Modelos!$AY$49:$BG$64,MATCH(Projeçao!M$2,Modelos!$AZ$49:$AZ$64,0),MATCH("θ2",Modelos!$AY$49:$BG$49,0))*Q21+INDEX(Modelos!$AY$49:$BG$64,MATCH(Projeçao!M$2,Modelos!$AZ$49:$AZ$64,0),MATCH("θ3",Modelos!$AY$49:$BG$49,0))*Q20+INDEX(Modelos!$AY$49:$BG$64,MATCH(Projeçao!M$2,Modelos!$AZ$49:$AZ$64,0),MATCH("c",Modelos!$AY$49:$BG$49,0))</f>
        <v>0.41210022760729603</v>
      </c>
      <c r="N23" s="6">
        <f ca="1">INDEX(Modelos!$AY$49:$BG$64,MATCH(Projeçao!N$2,Modelos!$AZ$49:$AZ$64,0),MATCH("β1",Modelos!$AY$49:$BG$49,0))*$K22+INDEX(Modelos!$AY$49:$BG$64,MATCH(Projeçao!N$2,Modelos!$AZ$49:$AZ$64,0),MATCH("β2",Modelos!$AY$49:$BG$49,0))*$K21+INDEX(Modelos!$AY$49:$BG$64,MATCH(Projeçao!N$2,Modelos!$AZ$49:$AZ$64,0),MATCH("β3",Modelos!$AY$49:$BG$49,0))*$K20+INDEX(Modelos!$AY$49:$BG$64,MATCH(Projeçao!N$2,Modelos!$AZ$49:$AZ$64,0),MATCH("θ1",Modelos!$AY$49:$BG$49,0))*R22+INDEX(Modelos!$AY$49:$BG$64,MATCH(Projeçao!N$2,Modelos!$AZ$49:$AZ$64,0),MATCH("θ2",Modelos!$AY$49:$BG$49,0))*R21+INDEX(Modelos!$AY$49:$BG$64,MATCH(Projeçao!N$2,Modelos!$AZ$49:$AZ$64,0),MATCH("θ3",Modelos!$AY$49:$BG$49,0))*R20+INDEX(Modelos!$AY$49:$BG$64,MATCH(Projeçao!N$2,Modelos!$AZ$49:$AZ$64,0),MATCH("c",Modelos!$AY$49:$BG$49,0))</f>
        <v>0.29927104459376203</v>
      </c>
      <c r="P23" s="6">
        <f t="shared" ca="1" si="16"/>
        <v>-2.2672337338399506</v>
      </c>
      <c r="Q23" s="6">
        <f t="shared" ca="1" si="17"/>
        <v>-2.298310795860151</v>
      </c>
      <c r="R23" s="6">
        <f t="shared" ca="1" si="18"/>
        <v>-2.1854816128466172</v>
      </c>
      <c r="T23" s="6">
        <f ca="1">INDEX(Dados!$I:$N,MATCH($A23,Dados!$A:$A,0),MATCH(T$2,Dados!$I$2:$N$2,0))</f>
        <v>-1.5994284747321341</v>
      </c>
      <c r="U23" s="6">
        <f ca="1">INDEX(Modelos!$AY$68:$BG$83,MATCH(Projeçao!U$2,Modelos!$AZ$68:$AZ$83,0),MATCH("β1",Modelos!$AY$68:$BG$68,0))*$T22+INDEX(Modelos!$AY$68:$BG$83,MATCH(Projeçao!U$2,Modelos!$AZ$68:$AZ$83,0),MATCH("β2",Modelos!$AY$68:$BG$68,0))*$T21+INDEX(Modelos!$AY$68:$BG$83,MATCH(Projeçao!U$2,Modelos!$AZ$68:$AZ$83,0),MATCH("β3",Modelos!$AY$68:$BG$68,0))*$T20+INDEX(Modelos!$AY$68:$BG$83,MATCH(Projeçao!U$2,Modelos!$AZ$68:$AZ$83,0),MATCH("θ1",Modelos!$AY$68:$BG$68,0))*Y22+INDEX(Modelos!$AY$68:$BG$83,MATCH(Projeçao!U$2,Modelos!$AZ$68:$AZ$83,0),MATCH("θ2",Modelos!$AY$68:$BG$68,0))*Y21+INDEX(Modelos!$AY$68:$BG$83,MATCH(Projeçao!U$2,Modelos!$AZ$68:$AZ$83,0),MATCH("θ3",Modelos!$AY$68:$BG$68,0))*Y20+INDEX(Modelos!$AY$68:$BG$83,MATCH(Projeçao!U$2,Modelos!$AZ$68:$AZ$83,0),MATCH("c",Modelos!$AY$68:$BG$68,0))</f>
        <v>0.40587580171896914</v>
      </c>
      <c r="V23" s="6">
        <f ca="1">INDEX(Modelos!$AY$68:$BG$83,MATCH(Projeçao!V$2,Modelos!$AZ$68:$AZ$83,0),MATCH("β1",Modelos!$AY$68:$BG$68,0))*$T22+INDEX(Modelos!$AY$68:$BG$83,MATCH(Projeçao!V$2,Modelos!$AZ$68:$AZ$83,0),MATCH("β2",Modelos!$AY$68:$BG$68,0))*$T21+INDEX(Modelos!$AY$68:$BG$83,MATCH(Projeçao!V$2,Modelos!$AZ$68:$AZ$83,0),MATCH("β3",Modelos!$AY$68:$BG$68,0))*$T20+INDEX(Modelos!$AY$68:$BG$83,MATCH(Projeçao!V$2,Modelos!$AZ$68:$AZ$83,0),MATCH("θ1",Modelos!$AY$68:$BG$68,0))*Z22+INDEX(Modelos!$AY$68:$BG$83,MATCH(Projeçao!V$2,Modelos!$AZ$68:$AZ$83,0),MATCH("θ2",Modelos!$AY$68:$BG$68,0))*Z21+INDEX(Modelos!$AY$68:$BG$83,MATCH(Projeçao!V$2,Modelos!$AZ$68:$AZ$83,0),MATCH("θ3",Modelos!$AY$68:$BG$68,0))*Z20+INDEX(Modelos!$AY$68:$BG$83,MATCH(Projeçao!V$2,Modelos!$AZ$68:$AZ$83,0),MATCH("c",Modelos!$AY$68:$BG$68,0))</f>
        <v>0.48500760822459876</v>
      </c>
      <c r="W23" s="6">
        <f ca="1">INDEX(Modelos!$AY$68:$BG$83,MATCH(Projeçao!W$2,Modelos!$AZ$68:$AZ$83,0),MATCH("β1",Modelos!$AY$68:$BG$68,0))*$T22+INDEX(Modelos!$AY$68:$BG$83,MATCH(Projeçao!W$2,Modelos!$AZ$68:$AZ$83,0),MATCH("β2",Modelos!$AY$68:$BG$68,0))*$T21+INDEX(Modelos!$AY$68:$BG$83,MATCH(Projeçao!W$2,Modelos!$AZ$68:$AZ$83,0),MATCH("β3",Modelos!$AY$68:$BG$68,0))*$T20+INDEX(Modelos!$AY$68:$BG$83,MATCH(Projeçao!W$2,Modelos!$AZ$68:$AZ$83,0),MATCH("θ1",Modelos!$AY$68:$BG$68,0))*AA22+INDEX(Modelos!$AY$68:$BG$83,MATCH(Projeçao!W$2,Modelos!$AZ$68:$AZ$83,0),MATCH("θ2",Modelos!$AY$68:$BG$68,0))*AA21+INDEX(Modelos!$AY$68:$BG$83,MATCH(Projeçao!W$2,Modelos!$AZ$68:$AZ$83,0),MATCH("θ3",Modelos!$AY$68:$BG$68,0))*AA20+INDEX(Modelos!$AY$68:$BG$83,MATCH(Projeçao!W$2,Modelos!$AZ$68:$AZ$83,0),MATCH("c",Modelos!$AY$68:$BG$68,0))</f>
        <v>3.228283550915878E-2</v>
      </c>
      <c r="Y23" s="6">
        <f t="shared" ca="1" si="19"/>
        <v>-2.0053042764511031</v>
      </c>
      <c r="Z23" s="6">
        <f t="shared" ca="1" si="20"/>
        <v>-2.0844360829567328</v>
      </c>
      <c r="AA23" s="6">
        <f t="shared" ca="1" si="21"/>
        <v>-1.6317113102412928</v>
      </c>
    </row>
    <row r="24" spans="1:27" x14ac:dyDescent="0.15">
      <c r="A24" s="8">
        <f t="shared" si="10"/>
        <v>44012</v>
      </c>
      <c r="B24" s="6">
        <f ca="1">INDEX(Dados!$I:$N,MATCH($A24,Dados!$A:$A,0),MATCH(B$2,Dados!$I$2:$N$2,0))</f>
        <v>1.8128403171414842</v>
      </c>
      <c r="C24" s="19">
        <f ca="1">INDEX(Modelos!$AY$30:$BG$45,MATCH(Projeçao!C$2,Modelos!$AZ$49:$AZ$64,0),MATCH("β1",Modelos!$AY$30:$BG$30,0))*$B23+INDEX(Modelos!$AY$30:$BG$45,MATCH(Projeçao!C$2,Modelos!$AZ$49:$AZ$64,0),MATCH("β2",Modelos!$AY$30:$BG$30,0))*$B22+INDEX(Modelos!$AY$30:$BG$45,MATCH(Projeçao!C$2,Modelos!$AZ$49:$AZ$64,0),MATCH("β3",Modelos!$AY$30:$BG$30,0))*$B21+INDEX(Modelos!$AY$30:$BG$45,MATCH(Projeçao!C$2,Modelos!$AZ$49:$AZ$64,0),MATCH("θ1",Modelos!$AY$30:$BG$30,0))*G23+INDEX(Modelos!$AY$30:$BG$45,MATCH(Projeçao!C$2,Modelos!$AZ$49:$AZ$64,0),MATCH("θ2",Modelos!$AY$30:$BG$30,0))*G22+INDEX(Modelos!$AY$30:$BG$45,MATCH(Projeçao!C$2,Modelos!$AZ$49:$AZ$64,0),MATCH("θ3",Modelos!$AY$30:$BG$30,0))*G21+INDEX(Modelos!$AY$30:$BG$45,MATCH(Projeçao!C$2,Modelos!$AZ$49:$AZ$64,0),MATCH("c",Modelos!$AY$30:$BG$30,0))</f>
        <v>1.272754962410289</v>
      </c>
      <c r="D24" s="19">
        <f ca="1">INDEX(Modelos!$AY$30:$BG$45,MATCH(Projeçao!D$2,Modelos!$AZ$49:$AZ$64,0),MATCH("β1",Modelos!$AY$30:$BG$30,0))*$B23+INDEX(Modelos!$AY$30:$BG$45,MATCH(Projeçao!D$2,Modelos!$AZ$49:$AZ$64,0),MATCH("β2",Modelos!$AY$30:$BG$30,0))*$B22+INDEX(Modelos!$AY$30:$BG$45,MATCH(Projeçao!D$2,Modelos!$AZ$49:$AZ$64,0),MATCH("β3",Modelos!$AY$30:$BG$30,0))*$B21+INDEX(Modelos!$AY$30:$BG$45,MATCH(Projeçao!D$2,Modelos!$AZ$49:$AZ$64,0),MATCH("θ1",Modelos!$AY$30:$BG$30,0))*H23+INDEX(Modelos!$AY$30:$BG$45,MATCH(Projeçao!D$2,Modelos!$AZ$49:$AZ$64,0),MATCH("θ2",Modelos!$AY$30:$BG$30,0))*H22+INDEX(Modelos!$AY$30:$BG$45,MATCH(Projeçao!D$2,Modelos!$AZ$49:$AZ$64,0),MATCH("θ3",Modelos!$AY$30:$BG$30,0))*H21+INDEX(Modelos!$AY$30:$BG$45,MATCH(Projeçao!D$2,Modelos!$AZ$49:$AZ$64,0),MATCH("c",Modelos!$AY$30:$BG$30,0))</f>
        <v>1.0562030688247124</v>
      </c>
      <c r="E24" s="19">
        <f ca="1">INDEX(Modelos!$AY$30:$BG$45,MATCH(Projeçao!E$2,Modelos!$AZ$49:$AZ$64,0),MATCH("β1",Modelos!$AY$30:$BG$30,0))*$B23+INDEX(Modelos!$AY$30:$BG$45,MATCH(Projeçao!E$2,Modelos!$AZ$49:$AZ$64,0),MATCH("β2",Modelos!$AY$30:$BG$30,0))*$B22+INDEX(Modelos!$AY$30:$BG$45,MATCH(Projeçao!E$2,Modelos!$AZ$49:$AZ$64,0),MATCH("β3",Modelos!$AY$30:$BG$30,0))*$B21+INDEX(Modelos!$AY$30:$BG$45,MATCH(Projeçao!E$2,Modelos!$AZ$49:$AZ$64,0),MATCH("θ1",Modelos!$AY$30:$BG$30,0))*I23+INDEX(Modelos!$AY$30:$BG$45,MATCH(Projeçao!E$2,Modelos!$AZ$49:$AZ$64,0),MATCH("θ2",Modelos!$AY$30:$BG$30,0))*I22+INDEX(Modelos!$AY$30:$BG$45,MATCH(Projeçao!E$2,Modelos!$AZ$49:$AZ$64,0),MATCH("θ3",Modelos!$AY$30:$BG$30,0))*I21+INDEX(Modelos!$AY$30:$BG$45,MATCH(Projeçao!E$2,Modelos!$AZ$49:$AZ$64,0),MATCH("c",Modelos!$AY$30:$BG$30,0))</f>
        <v>1.3616979336694777</v>
      </c>
      <c r="G24" s="6">
        <f t="shared" ref="G24" ca="1" si="22">$B24-C24</f>
        <v>0.54008535473119523</v>
      </c>
      <c r="H24" s="6">
        <f t="shared" ref="H24" ca="1" si="23">$B24-D24</f>
        <v>0.75663724831677182</v>
      </c>
      <c r="I24" s="6">
        <f t="shared" ref="I24" ca="1" si="24">$B24-E24</f>
        <v>0.45114238347200653</v>
      </c>
      <c r="K24" s="6">
        <f ca="1">INDEX(Dados!$I:$N,MATCH($A24,Dados!$A:$A,0),MATCH(K$2,Dados!$I$2:$N$2,0))</f>
        <v>-10.866902340683682</v>
      </c>
      <c r="L24" s="6">
        <f ca="1">INDEX(Modelos!$AY$49:$BG$64,MATCH(Projeçao!L$2,Modelos!$AZ$49:$AZ$64,0),MATCH("β1",Modelos!$AY$49:$BG$49,0))*$K23+INDEX(Modelos!$AY$49:$BG$64,MATCH(Projeçao!L$2,Modelos!$AZ$49:$AZ$64,0),MATCH("β2",Modelos!$AY$49:$BG$49,0))*$K22+INDEX(Modelos!$AY$49:$BG$64,MATCH(Projeçao!L$2,Modelos!$AZ$49:$AZ$64,0),MATCH("β3",Modelos!$AY$49:$BG$49,0))*$K21+INDEX(Modelos!$AY$49:$BG$64,MATCH(Projeçao!L$2,Modelos!$AZ$49:$AZ$64,0),MATCH("θ1",Modelos!$AY$49:$BG$49,0))*P23+INDEX(Modelos!$AY$49:$BG$64,MATCH(Projeçao!L$2,Modelos!$AZ$49:$AZ$64,0),MATCH("θ2",Modelos!$AY$49:$BG$49,0))*P22+INDEX(Modelos!$AY$49:$BG$64,MATCH(Projeçao!L$2,Modelos!$AZ$49:$AZ$64,0),MATCH("θ3",Modelos!$AY$49:$BG$49,0))*P21+INDEX(Modelos!$AY$49:$BG$64,MATCH(Projeçao!L$2,Modelos!$AZ$49:$AZ$64,0),MATCH("c",Modelos!$AY$49:$BG$49,0))</f>
        <v>4.0274369213431832E-2</v>
      </c>
      <c r="M24" s="6">
        <f ca="1">INDEX(Modelos!$AY$49:$BG$64,MATCH(Projeçao!M$2,Modelos!$AZ$49:$AZ$64,0),MATCH("β1",Modelos!$AY$49:$BG$49,0))*$K23+INDEX(Modelos!$AY$49:$BG$64,MATCH(Projeçao!M$2,Modelos!$AZ$49:$AZ$64,0),MATCH("β2",Modelos!$AY$49:$BG$49,0))*$K22+INDEX(Modelos!$AY$49:$BG$64,MATCH(Projeçao!M$2,Modelos!$AZ$49:$AZ$64,0),MATCH("β3",Modelos!$AY$49:$BG$49,0))*$K21+INDEX(Modelos!$AY$49:$BG$64,MATCH(Projeçao!M$2,Modelos!$AZ$49:$AZ$64,0),MATCH("θ1",Modelos!$AY$49:$BG$49,0))*Q23+INDEX(Modelos!$AY$49:$BG$64,MATCH(Projeçao!M$2,Modelos!$AZ$49:$AZ$64,0),MATCH("θ2",Modelos!$AY$49:$BG$49,0))*Q22+INDEX(Modelos!$AY$49:$BG$64,MATCH(Projeçao!M$2,Modelos!$AZ$49:$AZ$64,0),MATCH("θ3",Modelos!$AY$49:$BG$49,0))*Q21+INDEX(Modelos!$AY$49:$BG$64,MATCH(Projeçao!M$2,Modelos!$AZ$49:$AZ$64,0),MATCH("c",Modelos!$AY$49:$BG$49,0))</f>
        <v>0.69650733641553242</v>
      </c>
      <c r="N24" s="6">
        <f ca="1">INDEX(Modelos!$AY$49:$BG$64,MATCH(Projeçao!N$2,Modelos!$AZ$49:$AZ$64,0),MATCH("β1",Modelos!$AY$49:$BG$49,0))*$K23+INDEX(Modelos!$AY$49:$BG$64,MATCH(Projeçao!N$2,Modelos!$AZ$49:$AZ$64,0),MATCH("β2",Modelos!$AY$49:$BG$49,0))*$K22+INDEX(Modelos!$AY$49:$BG$64,MATCH(Projeçao!N$2,Modelos!$AZ$49:$AZ$64,0),MATCH("β3",Modelos!$AY$49:$BG$49,0))*$K21+INDEX(Modelos!$AY$49:$BG$64,MATCH(Projeçao!N$2,Modelos!$AZ$49:$AZ$64,0),MATCH("θ1",Modelos!$AY$49:$BG$49,0))*R23+INDEX(Modelos!$AY$49:$BG$64,MATCH(Projeçao!N$2,Modelos!$AZ$49:$AZ$64,0),MATCH("θ2",Modelos!$AY$49:$BG$49,0))*R22+INDEX(Modelos!$AY$49:$BG$64,MATCH(Projeçao!N$2,Modelos!$AZ$49:$AZ$64,0),MATCH("θ3",Modelos!$AY$49:$BG$49,0))*R21+INDEX(Modelos!$AY$49:$BG$64,MATCH(Projeçao!N$2,Modelos!$AZ$49:$AZ$64,0),MATCH("c",Modelos!$AY$49:$BG$49,0))</f>
        <v>0.78494963207088908</v>
      </c>
      <c r="P24" s="6">
        <f t="shared" ca="1" si="16"/>
        <v>-10.907176709897113</v>
      </c>
      <c r="Q24" s="6">
        <f t="shared" ca="1" si="17"/>
        <v>-11.563409677099214</v>
      </c>
      <c r="R24" s="6">
        <f t="shared" ca="1" si="18"/>
        <v>-11.651851972754571</v>
      </c>
      <c r="T24" s="6">
        <f ca="1">INDEX(Dados!$I:$N,MATCH($A24,Dados!$A:$A,0),MATCH(T$2,Dados!$I$2:$N$2,0))</f>
        <v>-8.9734718209266155</v>
      </c>
      <c r="U24" s="6">
        <f ca="1">INDEX(Modelos!$AY$68:$BG$83,MATCH(Projeçao!U$2,Modelos!$AZ$68:$AZ$83,0),MATCH("β1",Modelos!$AY$68:$BG$68,0))*$T23+INDEX(Modelos!$AY$68:$BG$83,MATCH(Projeçao!U$2,Modelos!$AZ$68:$AZ$83,0),MATCH("β2",Modelos!$AY$68:$BG$68,0))*$T22+INDEX(Modelos!$AY$68:$BG$83,MATCH(Projeçao!U$2,Modelos!$AZ$68:$AZ$83,0),MATCH("β3",Modelos!$AY$68:$BG$68,0))*$T21+INDEX(Modelos!$AY$68:$BG$83,MATCH(Projeçao!U$2,Modelos!$AZ$68:$AZ$83,0),MATCH("θ1",Modelos!$AY$68:$BG$68,0))*Y23+INDEX(Modelos!$AY$68:$BG$83,MATCH(Projeçao!U$2,Modelos!$AZ$68:$AZ$83,0),MATCH("θ2",Modelos!$AY$68:$BG$68,0))*Y22+INDEX(Modelos!$AY$68:$BG$83,MATCH(Projeçao!U$2,Modelos!$AZ$68:$AZ$83,0),MATCH("θ3",Modelos!$AY$68:$BG$68,0))*Y21+INDEX(Modelos!$AY$68:$BG$83,MATCH(Projeçao!U$2,Modelos!$AZ$68:$AZ$83,0),MATCH("c",Modelos!$AY$68:$BG$68,0))</f>
        <v>0.47891110750343802</v>
      </c>
      <c r="V24" s="6">
        <f ca="1">INDEX(Modelos!$AY$68:$BG$83,MATCH(Projeçao!V$2,Modelos!$AZ$68:$AZ$83,0),MATCH("β1",Modelos!$AY$68:$BG$68,0))*$T23+INDEX(Modelos!$AY$68:$BG$83,MATCH(Projeçao!V$2,Modelos!$AZ$68:$AZ$83,0),MATCH("β2",Modelos!$AY$68:$BG$68,0))*$T22+INDEX(Modelos!$AY$68:$BG$83,MATCH(Projeçao!V$2,Modelos!$AZ$68:$AZ$83,0),MATCH("β3",Modelos!$AY$68:$BG$68,0))*$T21+INDEX(Modelos!$AY$68:$BG$83,MATCH(Projeçao!V$2,Modelos!$AZ$68:$AZ$83,0),MATCH("θ1",Modelos!$AY$68:$BG$68,0))*Z23+INDEX(Modelos!$AY$68:$BG$83,MATCH(Projeçao!V$2,Modelos!$AZ$68:$AZ$83,0),MATCH("θ2",Modelos!$AY$68:$BG$68,0))*Z22+INDEX(Modelos!$AY$68:$BG$83,MATCH(Projeçao!V$2,Modelos!$AZ$68:$AZ$83,0),MATCH("θ3",Modelos!$AY$68:$BG$68,0))*Z21+INDEX(Modelos!$AY$68:$BG$83,MATCH(Projeçao!V$2,Modelos!$AZ$68:$AZ$83,0),MATCH("c",Modelos!$AY$68:$BG$68,0))</f>
        <v>-1.0062579181082481</v>
      </c>
      <c r="W24" s="6">
        <f ca="1">INDEX(Modelos!$AY$68:$BG$83,MATCH(Projeçao!W$2,Modelos!$AZ$68:$AZ$83,0),MATCH("β1",Modelos!$AY$68:$BG$68,0))*$T23+INDEX(Modelos!$AY$68:$BG$83,MATCH(Projeçao!W$2,Modelos!$AZ$68:$AZ$83,0),MATCH("β2",Modelos!$AY$68:$BG$68,0))*$T22+INDEX(Modelos!$AY$68:$BG$83,MATCH(Projeçao!W$2,Modelos!$AZ$68:$AZ$83,0),MATCH("β3",Modelos!$AY$68:$BG$68,0))*$T21+INDEX(Modelos!$AY$68:$BG$83,MATCH(Projeçao!W$2,Modelos!$AZ$68:$AZ$83,0),MATCH("θ1",Modelos!$AY$68:$BG$68,0))*AA23+INDEX(Modelos!$AY$68:$BG$83,MATCH(Projeçao!W$2,Modelos!$AZ$68:$AZ$83,0),MATCH("θ2",Modelos!$AY$68:$BG$68,0))*AA22+INDEX(Modelos!$AY$68:$BG$83,MATCH(Projeçao!W$2,Modelos!$AZ$68:$AZ$83,0),MATCH("θ3",Modelos!$AY$68:$BG$68,0))*AA21+INDEX(Modelos!$AY$68:$BG$83,MATCH(Projeçao!W$2,Modelos!$AZ$68:$AZ$83,0),MATCH("c",Modelos!$AY$68:$BG$68,0))</f>
        <v>1.261137103486172</v>
      </c>
      <c r="Y24" s="6">
        <f t="shared" ca="1" si="19"/>
        <v>-9.4523829284300529</v>
      </c>
      <c r="Z24" s="6">
        <f t="shared" ca="1" si="20"/>
        <v>-7.9672139028183677</v>
      </c>
      <c r="AA24" s="6">
        <f t="shared" ca="1" si="21"/>
        <v>-10.234608924412788</v>
      </c>
    </row>
    <row r="25" spans="1:27" x14ac:dyDescent="0.15">
      <c r="A25" s="8">
        <f t="shared" si="10"/>
        <v>44104</v>
      </c>
      <c r="B25" s="6">
        <f ca="1">INDEX(Dados!$I:$N,MATCH($A25,Dados!$A:$A,0),MATCH(B$2,Dados!$I$2:$N$2,0))</f>
        <v>0.57109563777908434</v>
      </c>
      <c r="C25" s="19">
        <f ca="1">INDEX(Modelos!$AY$30:$BG$45,MATCH(Projeçao!C$2,Modelos!$AZ$49:$AZ$64,0),MATCH("β1",Modelos!$AY$30:$BG$30,0))*$B24+INDEX(Modelos!$AY$30:$BG$45,MATCH(Projeçao!C$2,Modelos!$AZ$49:$AZ$64,0),MATCH("β2",Modelos!$AY$30:$BG$30,0))*$B23+INDEX(Modelos!$AY$30:$BG$45,MATCH(Projeçao!C$2,Modelos!$AZ$49:$AZ$64,0),MATCH("β3",Modelos!$AY$30:$BG$30,0))*$B22+INDEX(Modelos!$AY$30:$BG$45,MATCH(Projeçao!C$2,Modelos!$AZ$49:$AZ$64,0),MATCH("θ1",Modelos!$AY$30:$BG$30,0))*G24+INDEX(Modelos!$AY$30:$BG$45,MATCH(Projeçao!C$2,Modelos!$AZ$49:$AZ$64,0),MATCH("θ2",Modelos!$AY$30:$BG$30,0))*G23+INDEX(Modelos!$AY$30:$BG$45,MATCH(Projeçao!C$2,Modelos!$AZ$49:$AZ$64,0),MATCH("θ3",Modelos!$AY$30:$BG$30,0))*G22+INDEX(Modelos!$AY$30:$BG$45,MATCH(Projeçao!C$2,Modelos!$AZ$49:$AZ$64,0),MATCH("c",Modelos!$AY$30:$BG$30,0))</f>
        <v>0.23380554218948368</v>
      </c>
      <c r="D25" s="19">
        <f ca="1">INDEX(Modelos!$AY$30:$BG$45,MATCH(Projeçao!D$2,Modelos!$AZ$49:$AZ$64,0),MATCH("β1",Modelos!$AY$30:$BG$30,0))*$B24+INDEX(Modelos!$AY$30:$BG$45,MATCH(Projeçao!D$2,Modelos!$AZ$49:$AZ$64,0),MATCH("β2",Modelos!$AY$30:$BG$30,0))*$B23+INDEX(Modelos!$AY$30:$BG$45,MATCH(Projeçao!D$2,Modelos!$AZ$49:$AZ$64,0),MATCH("β3",Modelos!$AY$30:$BG$30,0))*$B22+INDEX(Modelos!$AY$30:$BG$45,MATCH(Projeçao!D$2,Modelos!$AZ$49:$AZ$64,0),MATCH("θ1",Modelos!$AY$30:$BG$30,0))*H24+INDEX(Modelos!$AY$30:$BG$45,MATCH(Projeçao!D$2,Modelos!$AZ$49:$AZ$64,0),MATCH("θ2",Modelos!$AY$30:$BG$30,0))*H23+INDEX(Modelos!$AY$30:$BG$45,MATCH(Projeçao!D$2,Modelos!$AZ$49:$AZ$64,0),MATCH("θ3",Modelos!$AY$30:$BG$30,0))*H22+INDEX(Modelos!$AY$30:$BG$45,MATCH(Projeçao!D$2,Modelos!$AZ$49:$AZ$64,0),MATCH("c",Modelos!$AY$30:$BG$30,0))</f>
        <v>0.64935827617098707</v>
      </c>
      <c r="E25" s="19">
        <f ca="1">INDEX(Modelos!$AY$30:$BG$45,MATCH(Projeçao!E$2,Modelos!$AZ$49:$AZ$64,0),MATCH("β1",Modelos!$AY$30:$BG$30,0))*$B24+INDEX(Modelos!$AY$30:$BG$45,MATCH(Projeçao!E$2,Modelos!$AZ$49:$AZ$64,0),MATCH("β2",Modelos!$AY$30:$BG$30,0))*$B23+INDEX(Modelos!$AY$30:$BG$45,MATCH(Projeçao!E$2,Modelos!$AZ$49:$AZ$64,0),MATCH("β3",Modelos!$AY$30:$BG$30,0))*$B22+INDEX(Modelos!$AY$30:$BG$45,MATCH(Projeçao!E$2,Modelos!$AZ$49:$AZ$64,0),MATCH("θ1",Modelos!$AY$30:$BG$30,0))*I24+INDEX(Modelos!$AY$30:$BG$45,MATCH(Projeçao!E$2,Modelos!$AZ$49:$AZ$64,0),MATCH("θ2",Modelos!$AY$30:$BG$30,0))*I23+INDEX(Modelos!$AY$30:$BG$45,MATCH(Projeçao!E$2,Modelos!$AZ$49:$AZ$64,0),MATCH("θ3",Modelos!$AY$30:$BG$30,0))*I22+INDEX(Modelos!$AY$30:$BG$45,MATCH(Projeçao!E$2,Modelos!$AZ$49:$AZ$64,0),MATCH("c",Modelos!$AY$30:$BG$30,0))</f>
        <v>0.52967953423708536</v>
      </c>
      <c r="G25" s="6">
        <f t="shared" ref="G25" ca="1" si="25">$B25-C25</f>
        <v>0.33729009558960066</v>
      </c>
      <c r="H25" s="6">
        <f t="shared" ref="H25" ca="1" si="26">$B25-D25</f>
        <v>-7.8262638391902728E-2</v>
      </c>
      <c r="I25" s="6">
        <f t="shared" ref="I25" ca="1" si="27">$B25-E25</f>
        <v>4.1416103541998983E-2</v>
      </c>
      <c r="K25" s="6">
        <f ca="1">INDEX(Dados!$I:$N,MATCH($A25,Dados!$A:$A,0),MATCH(K$2,Dados!$I$2:$N$2,0))</f>
        <v>14.11025652281397</v>
      </c>
      <c r="L25" s="6">
        <f ca="1">INDEX(Modelos!$AY$49:$BG$64,MATCH(Projeçao!L$2,Modelos!$AZ$49:$AZ$64,0),MATCH("β1",Modelos!$AY$49:$BG$49,0))*$K24+INDEX(Modelos!$AY$49:$BG$64,MATCH(Projeçao!L$2,Modelos!$AZ$49:$AZ$64,0),MATCH("β2",Modelos!$AY$49:$BG$49,0))*$K23+INDEX(Modelos!$AY$49:$BG$64,MATCH(Projeçao!L$2,Modelos!$AZ$49:$AZ$64,0),MATCH("β3",Modelos!$AY$49:$BG$49,0))*$K22+INDEX(Modelos!$AY$49:$BG$64,MATCH(Projeçao!L$2,Modelos!$AZ$49:$AZ$64,0),MATCH("θ1",Modelos!$AY$49:$BG$49,0))*P24+INDEX(Modelos!$AY$49:$BG$64,MATCH(Projeçao!L$2,Modelos!$AZ$49:$AZ$64,0),MATCH("θ2",Modelos!$AY$49:$BG$49,0))*P23+INDEX(Modelos!$AY$49:$BG$64,MATCH(Projeçao!L$2,Modelos!$AZ$49:$AZ$64,0),MATCH("θ3",Modelos!$AY$49:$BG$49,0))*P22+INDEX(Modelos!$AY$49:$BG$64,MATCH(Projeçao!L$2,Modelos!$AZ$49:$AZ$64,0),MATCH("c",Modelos!$AY$49:$BG$49,0))</f>
        <v>-0.47524953012668325</v>
      </c>
      <c r="M25" s="6">
        <f ca="1">INDEX(Modelos!$AY$49:$BG$64,MATCH(Projeçao!M$2,Modelos!$AZ$49:$AZ$64,0),MATCH("β1",Modelos!$AY$49:$BG$49,0))*$K24+INDEX(Modelos!$AY$49:$BG$64,MATCH(Projeçao!M$2,Modelos!$AZ$49:$AZ$64,0),MATCH("β2",Modelos!$AY$49:$BG$49,0))*$K23+INDEX(Modelos!$AY$49:$BG$64,MATCH(Projeçao!M$2,Modelos!$AZ$49:$AZ$64,0),MATCH("β3",Modelos!$AY$49:$BG$49,0))*$K22+INDEX(Modelos!$AY$49:$BG$64,MATCH(Projeçao!M$2,Modelos!$AZ$49:$AZ$64,0),MATCH("θ1",Modelos!$AY$49:$BG$49,0))*Q24+INDEX(Modelos!$AY$49:$BG$64,MATCH(Projeçao!M$2,Modelos!$AZ$49:$AZ$64,0),MATCH("θ2",Modelos!$AY$49:$BG$49,0))*Q23+INDEX(Modelos!$AY$49:$BG$64,MATCH(Projeçao!M$2,Modelos!$AZ$49:$AZ$64,0),MATCH("θ3",Modelos!$AY$49:$BG$49,0))*Q22+INDEX(Modelos!$AY$49:$BG$64,MATCH(Projeçao!M$2,Modelos!$AZ$49:$AZ$64,0),MATCH("c",Modelos!$AY$49:$BG$49,0))</f>
        <v>3.3780072010162532</v>
      </c>
      <c r="N25" s="6">
        <f ca="1">INDEX(Modelos!$AY$49:$BG$64,MATCH(Projeçao!N$2,Modelos!$AZ$49:$AZ$64,0),MATCH("β1",Modelos!$AY$49:$BG$49,0))*$K24+INDEX(Modelos!$AY$49:$BG$64,MATCH(Projeçao!N$2,Modelos!$AZ$49:$AZ$64,0),MATCH("β2",Modelos!$AY$49:$BG$49,0))*$K23+INDEX(Modelos!$AY$49:$BG$64,MATCH(Projeçao!N$2,Modelos!$AZ$49:$AZ$64,0),MATCH("β3",Modelos!$AY$49:$BG$49,0))*$K22+INDEX(Modelos!$AY$49:$BG$64,MATCH(Projeçao!N$2,Modelos!$AZ$49:$AZ$64,0),MATCH("θ1",Modelos!$AY$49:$BG$49,0))*R24+INDEX(Modelos!$AY$49:$BG$64,MATCH(Projeçao!N$2,Modelos!$AZ$49:$AZ$64,0),MATCH("θ2",Modelos!$AY$49:$BG$49,0))*R23+INDEX(Modelos!$AY$49:$BG$64,MATCH(Projeçao!N$2,Modelos!$AZ$49:$AZ$64,0),MATCH("θ3",Modelos!$AY$49:$BG$49,0))*R22+INDEX(Modelos!$AY$49:$BG$64,MATCH(Projeçao!N$2,Modelos!$AZ$49:$AZ$64,0),MATCH("c",Modelos!$AY$49:$BG$49,0))</f>
        <v>3.2917303357665322</v>
      </c>
      <c r="P25" s="6">
        <f t="shared" ref="P25" ca="1" si="28">$K25-L25</f>
        <v>14.585506052940653</v>
      </c>
      <c r="Q25" s="6">
        <f t="shared" ref="Q25" ca="1" si="29">$K25-M25</f>
        <v>10.732249321797717</v>
      </c>
      <c r="R25" s="6">
        <f t="shared" ref="R25" ca="1" si="30">$K25-N25</f>
        <v>10.818526187047437</v>
      </c>
      <c r="T25" s="6">
        <f ca="1">INDEX(Dados!$I:$N,MATCH($A25,Dados!$A:$A,0),MATCH(T$2,Dados!$I$2:$N$2,0))</f>
        <v>6.1997296134866486</v>
      </c>
      <c r="U25" s="6">
        <f ca="1">INDEX(Modelos!$AY$68:$BG$83,MATCH(Projeçao!U$2,Modelos!$AZ$68:$AZ$83,0),MATCH("β1",Modelos!$AY$68:$BG$68,0))*$T24+INDEX(Modelos!$AY$68:$BG$83,MATCH(Projeçao!U$2,Modelos!$AZ$68:$AZ$83,0),MATCH("β2",Modelos!$AY$68:$BG$68,0))*$T23+INDEX(Modelos!$AY$68:$BG$83,MATCH(Projeçao!U$2,Modelos!$AZ$68:$AZ$83,0),MATCH("β3",Modelos!$AY$68:$BG$68,0))*$T22+INDEX(Modelos!$AY$68:$BG$83,MATCH(Projeçao!U$2,Modelos!$AZ$68:$AZ$83,0),MATCH("θ1",Modelos!$AY$68:$BG$68,0))*Y24+INDEX(Modelos!$AY$68:$BG$83,MATCH(Projeçao!U$2,Modelos!$AZ$68:$AZ$83,0),MATCH("θ2",Modelos!$AY$68:$BG$68,0))*Y23+INDEX(Modelos!$AY$68:$BG$83,MATCH(Projeçao!U$2,Modelos!$AZ$68:$AZ$83,0),MATCH("θ3",Modelos!$AY$68:$BG$68,0))*Y22+INDEX(Modelos!$AY$68:$BG$83,MATCH(Projeçao!U$2,Modelos!$AZ$68:$AZ$83,0),MATCH("c",Modelos!$AY$68:$BG$68,0))</f>
        <v>8.4769576468125551E-3</v>
      </c>
      <c r="V25" s="6">
        <f ca="1">INDEX(Modelos!$AY$68:$BG$83,MATCH(Projeçao!V$2,Modelos!$AZ$68:$AZ$83,0),MATCH("β1",Modelos!$AY$68:$BG$68,0))*$T24+INDEX(Modelos!$AY$68:$BG$83,MATCH(Projeçao!V$2,Modelos!$AZ$68:$AZ$83,0),MATCH("β2",Modelos!$AY$68:$BG$68,0))*$T23+INDEX(Modelos!$AY$68:$BG$83,MATCH(Projeçao!V$2,Modelos!$AZ$68:$AZ$83,0),MATCH("β3",Modelos!$AY$68:$BG$68,0))*$T22+INDEX(Modelos!$AY$68:$BG$83,MATCH(Projeçao!V$2,Modelos!$AZ$68:$AZ$83,0),MATCH("θ1",Modelos!$AY$68:$BG$68,0))*Z24+INDEX(Modelos!$AY$68:$BG$83,MATCH(Projeçao!V$2,Modelos!$AZ$68:$AZ$83,0),MATCH("θ2",Modelos!$AY$68:$BG$68,0))*Z23+INDEX(Modelos!$AY$68:$BG$83,MATCH(Projeçao!V$2,Modelos!$AZ$68:$AZ$83,0),MATCH("θ3",Modelos!$AY$68:$BG$68,0))*Z22+INDEX(Modelos!$AY$68:$BG$83,MATCH(Projeçao!V$2,Modelos!$AZ$68:$AZ$83,0),MATCH("c",Modelos!$AY$68:$BG$68,0))</f>
        <v>-8.4812244367690255</v>
      </c>
      <c r="W25" s="6">
        <f ca="1">INDEX(Modelos!$AY$68:$BG$83,MATCH(Projeçao!W$2,Modelos!$AZ$68:$AZ$83,0),MATCH("β1",Modelos!$AY$68:$BG$68,0))*$T24+INDEX(Modelos!$AY$68:$BG$83,MATCH(Projeçao!W$2,Modelos!$AZ$68:$AZ$83,0),MATCH("β2",Modelos!$AY$68:$BG$68,0))*$T23+INDEX(Modelos!$AY$68:$BG$83,MATCH(Projeçao!W$2,Modelos!$AZ$68:$AZ$83,0),MATCH("β3",Modelos!$AY$68:$BG$68,0))*$T22+INDEX(Modelos!$AY$68:$BG$83,MATCH(Projeçao!W$2,Modelos!$AZ$68:$AZ$83,0),MATCH("θ1",Modelos!$AY$68:$BG$68,0))*AA24+INDEX(Modelos!$AY$68:$BG$83,MATCH(Projeçao!W$2,Modelos!$AZ$68:$AZ$83,0),MATCH("θ2",Modelos!$AY$68:$BG$68,0))*AA23+INDEX(Modelos!$AY$68:$BG$83,MATCH(Projeçao!W$2,Modelos!$AZ$68:$AZ$83,0),MATCH("θ3",Modelos!$AY$68:$BG$68,0))*AA22+INDEX(Modelos!$AY$68:$BG$83,MATCH(Projeçao!W$2,Modelos!$AZ$68:$AZ$83,0),MATCH("c",Modelos!$AY$68:$BG$68,0))</f>
        <v>4.7700303751581874</v>
      </c>
      <c r="Y25" s="6">
        <f t="shared" ref="Y25" ca="1" si="31">$T25-U25</f>
        <v>6.1912526558398362</v>
      </c>
      <c r="Z25" s="6">
        <f t="shared" ref="Z25" ca="1" si="32">$T25-V25</f>
        <v>14.680954050255675</v>
      </c>
      <c r="AA25" s="6">
        <f t="shared" ref="AA25" ca="1" si="33">$T25-W25</f>
        <v>1.4296992383284612</v>
      </c>
    </row>
    <row r="26" spans="1:27" x14ac:dyDescent="0.15">
      <c r="A26" s="8">
        <f t="shared" si="10"/>
        <v>44196</v>
      </c>
      <c r="B26" s="6">
        <f ca="1">INDEX(Dados!$I:$N,MATCH($A26,Dados!$A:$A,0),MATCH(B$2,Dados!$I$2:$N$2,0))</f>
        <v>-1.0694289710100335</v>
      </c>
      <c r="C26" s="19">
        <f ca="1">INDEX(Modelos!$AY$30:$BG$45,MATCH(Projeçao!C$2,Modelos!$AZ$49:$AZ$64,0),MATCH("β1",Modelos!$AY$30:$BG$30,0))*$B25+INDEX(Modelos!$AY$30:$BG$45,MATCH(Projeçao!C$2,Modelos!$AZ$49:$AZ$64,0),MATCH("β2",Modelos!$AY$30:$BG$30,0))*$B24+INDEX(Modelos!$AY$30:$BG$45,MATCH(Projeçao!C$2,Modelos!$AZ$49:$AZ$64,0),MATCH("β3",Modelos!$AY$30:$BG$30,0))*$B23+INDEX(Modelos!$AY$30:$BG$45,MATCH(Projeçao!C$2,Modelos!$AZ$49:$AZ$64,0),MATCH("θ1",Modelos!$AY$30:$BG$30,0))*G25+INDEX(Modelos!$AY$30:$BG$45,MATCH(Projeçao!C$2,Modelos!$AZ$49:$AZ$64,0),MATCH("θ2",Modelos!$AY$30:$BG$30,0))*G24+INDEX(Modelos!$AY$30:$BG$45,MATCH(Projeçao!C$2,Modelos!$AZ$49:$AZ$64,0),MATCH("θ3",Modelos!$AY$30:$BG$30,0))*G23+INDEX(Modelos!$AY$30:$BG$45,MATCH(Projeçao!C$2,Modelos!$AZ$49:$AZ$64,0),MATCH("c",Modelos!$AY$30:$BG$30,0))</f>
        <v>-5.8575356487497121E-2</v>
      </c>
      <c r="D26" s="19">
        <f ca="1">INDEX(Modelos!$AY$30:$BG$45,MATCH(Projeçao!D$2,Modelos!$AZ$49:$AZ$64,0),MATCH("β1",Modelos!$AY$30:$BG$30,0))*$B25+INDEX(Modelos!$AY$30:$BG$45,MATCH(Projeçao!D$2,Modelos!$AZ$49:$AZ$64,0),MATCH("β2",Modelos!$AY$30:$BG$30,0))*$B24+INDEX(Modelos!$AY$30:$BG$45,MATCH(Projeçao!D$2,Modelos!$AZ$49:$AZ$64,0),MATCH("β3",Modelos!$AY$30:$BG$30,0))*$B23+INDEX(Modelos!$AY$30:$BG$45,MATCH(Projeçao!D$2,Modelos!$AZ$49:$AZ$64,0),MATCH("θ1",Modelos!$AY$30:$BG$30,0))*H25+INDEX(Modelos!$AY$30:$BG$45,MATCH(Projeçao!D$2,Modelos!$AZ$49:$AZ$64,0),MATCH("θ2",Modelos!$AY$30:$BG$30,0))*H24+INDEX(Modelos!$AY$30:$BG$45,MATCH(Projeçao!D$2,Modelos!$AZ$49:$AZ$64,0),MATCH("θ3",Modelos!$AY$30:$BG$30,0))*H23+INDEX(Modelos!$AY$30:$BG$45,MATCH(Projeçao!D$2,Modelos!$AZ$49:$AZ$64,0),MATCH("c",Modelos!$AY$30:$BG$30,0))</f>
        <v>0.80503624852424416</v>
      </c>
      <c r="E26" s="19">
        <f ca="1">INDEX(Modelos!$AY$30:$BG$45,MATCH(Projeçao!E$2,Modelos!$AZ$49:$AZ$64,0),MATCH("β1",Modelos!$AY$30:$BG$30,0))*$B25+INDEX(Modelos!$AY$30:$BG$45,MATCH(Projeçao!E$2,Modelos!$AZ$49:$AZ$64,0),MATCH("β2",Modelos!$AY$30:$BG$30,0))*$B24+INDEX(Modelos!$AY$30:$BG$45,MATCH(Projeçao!E$2,Modelos!$AZ$49:$AZ$64,0),MATCH("β3",Modelos!$AY$30:$BG$30,0))*$B23+INDEX(Modelos!$AY$30:$BG$45,MATCH(Projeçao!E$2,Modelos!$AZ$49:$AZ$64,0),MATCH("θ1",Modelos!$AY$30:$BG$30,0))*I25+INDEX(Modelos!$AY$30:$BG$45,MATCH(Projeçao!E$2,Modelos!$AZ$49:$AZ$64,0),MATCH("θ2",Modelos!$AY$30:$BG$30,0))*I24+INDEX(Modelos!$AY$30:$BG$45,MATCH(Projeçao!E$2,Modelos!$AZ$49:$AZ$64,0),MATCH("θ3",Modelos!$AY$30:$BG$30,0))*I23+INDEX(Modelos!$AY$30:$BG$45,MATCH(Projeçao!E$2,Modelos!$AZ$49:$AZ$64,0),MATCH("c",Modelos!$AY$30:$BG$30,0))</f>
        <v>0.75063799314730584</v>
      </c>
      <c r="G26" s="6">
        <f t="shared" ref="G26" ca="1" si="34">$B26-C26</f>
        <v>-1.0108536145225364</v>
      </c>
      <c r="H26" s="6">
        <f t="shared" ref="H26" ca="1" si="35">$B26-D26</f>
        <v>-1.8744652195342777</v>
      </c>
      <c r="I26" s="6">
        <f t="shared" ref="I26" ca="1" si="36">$B26-E26</f>
        <v>-1.8200669641573395</v>
      </c>
      <c r="K26" s="6">
        <f ca="1">INDEX(Dados!$I:$N,MATCH($A26,Dados!$A:$A,0),MATCH(K$2,Dados!$I$2:$N$2,0))</f>
        <v>1.0385797640302563</v>
      </c>
      <c r="L26" s="6">
        <f ca="1">INDEX(Modelos!$AY$49:$BG$64,MATCH(Projeçao!L$2,Modelos!$AZ$49:$AZ$64,0),MATCH("β1",Modelos!$AY$49:$BG$49,0))*$K25+INDEX(Modelos!$AY$49:$BG$64,MATCH(Projeçao!L$2,Modelos!$AZ$49:$AZ$64,0),MATCH("β2",Modelos!$AY$49:$BG$49,0))*$K24+INDEX(Modelos!$AY$49:$BG$64,MATCH(Projeçao!L$2,Modelos!$AZ$49:$AZ$64,0),MATCH("β3",Modelos!$AY$49:$BG$49,0))*$K23+INDEX(Modelos!$AY$49:$BG$64,MATCH(Projeçao!L$2,Modelos!$AZ$49:$AZ$64,0),MATCH("θ1",Modelos!$AY$49:$BG$49,0))*P25+INDEX(Modelos!$AY$49:$BG$64,MATCH(Projeçao!L$2,Modelos!$AZ$49:$AZ$64,0),MATCH("θ2",Modelos!$AY$49:$BG$49,0))*P24+INDEX(Modelos!$AY$49:$BG$64,MATCH(Projeçao!L$2,Modelos!$AZ$49:$AZ$64,0),MATCH("θ3",Modelos!$AY$49:$BG$49,0))*P23+INDEX(Modelos!$AY$49:$BG$64,MATCH(Projeçao!L$2,Modelos!$AZ$49:$AZ$64,0),MATCH("c",Modelos!$AY$49:$BG$49,0))</f>
        <v>2.6501306309365327</v>
      </c>
      <c r="M26" s="6">
        <f ca="1">INDEX(Modelos!$AY$49:$BG$64,MATCH(Projeçao!M$2,Modelos!$AZ$49:$AZ$64,0),MATCH("β1",Modelos!$AY$49:$BG$49,0))*$K25+INDEX(Modelos!$AY$49:$BG$64,MATCH(Projeçao!M$2,Modelos!$AZ$49:$AZ$64,0),MATCH("β2",Modelos!$AY$49:$BG$49,0))*$K24+INDEX(Modelos!$AY$49:$BG$64,MATCH(Projeçao!M$2,Modelos!$AZ$49:$AZ$64,0),MATCH("β3",Modelos!$AY$49:$BG$49,0))*$K23+INDEX(Modelos!$AY$49:$BG$64,MATCH(Projeçao!M$2,Modelos!$AZ$49:$AZ$64,0),MATCH("θ1",Modelos!$AY$49:$BG$49,0))*Q25+INDEX(Modelos!$AY$49:$BG$64,MATCH(Projeçao!M$2,Modelos!$AZ$49:$AZ$64,0),MATCH("θ2",Modelos!$AY$49:$BG$49,0))*Q24+INDEX(Modelos!$AY$49:$BG$64,MATCH(Projeçao!M$2,Modelos!$AZ$49:$AZ$64,0),MATCH("θ3",Modelos!$AY$49:$BG$49,0))*Q23+INDEX(Modelos!$AY$49:$BG$64,MATCH(Projeçao!M$2,Modelos!$AZ$49:$AZ$64,0),MATCH("c",Modelos!$AY$49:$BG$49,0))</f>
        <v>-7.446662755622441</v>
      </c>
      <c r="N26" s="6">
        <f ca="1">INDEX(Modelos!$AY$49:$BG$64,MATCH(Projeçao!N$2,Modelos!$AZ$49:$AZ$64,0),MATCH("β1",Modelos!$AY$49:$BG$49,0))*$K25+INDEX(Modelos!$AY$49:$BG$64,MATCH(Projeçao!N$2,Modelos!$AZ$49:$AZ$64,0),MATCH("β2",Modelos!$AY$49:$BG$49,0))*$K24+INDEX(Modelos!$AY$49:$BG$64,MATCH(Projeçao!N$2,Modelos!$AZ$49:$AZ$64,0),MATCH("β3",Modelos!$AY$49:$BG$49,0))*$K23+INDEX(Modelos!$AY$49:$BG$64,MATCH(Projeçao!N$2,Modelos!$AZ$49:$AZ$64,0),MATCH("θ1",Modelos!$AY$49:$BG$49,0))*R25+INDEX(Modelos!$AY$49:$BG$64,MATCH(Projeçao!N$2,Modelos!$AZ$49:$AZ$64,0),MATCH("θ2",Modelos!$AY$49:$BG$49,0))*R24+INDEX(Modelos!$AY$49:$BG$64,MATCH(Projeçao!N$2,Modelos!$AZ$49:$AZ$64,0),MATCH("θ3",Modelos!$AY$49:$BG$49,0))*R23+INDEX(Modelos!$AY$49:$BG$64,MATCH(Projeçao!N$2,Modelos!$AZ$49:$AZ$64,0),MATCH("c",Modelos!$AY$49:$BG$49,0))</f>
        <v>-4.8047753907598905</v>
      </c>
      <c r="P26" s="6">
        <f t="shared" ref="P26" ca="1" si="37">$K26-L26</f>
        <v>-1.6115508669062764</v>
      </c>
      <c r="Q26" s="6">
        <f t="shared" ref="Q26" ca="1" si="38">$K26-M26</f>
        <v>8.4852425196526973</v>
      </c>
      <c r="R26" s="6">
        <f t="shared" ref="R26" ca="1" si="39">$K26-N26</f>
        <v>5.8433551547901468</v>
      </c>
      <c r="T26" s="6">
        <f ca="1">INDEX(Dados!$I:$N,MATCH($A26,Dados!$A:$A,0),MATCH(T$2,Dados!$I$2:$N$2,0))</f>
        <v>3.0340669663287301</v>
      </c>
      <c r="U26" s="6">
        <f ca="1">INDEX(Modelos!$AY$68:$BG$83,MATCH(Projeçao!U$2,Modelos!$AZ$68:$AZ$83,0),MATCH("β1",Modelos!$AY$68:$BG$68,0))*$T25+INDEX(Modelos!$AY$68:$BG$83,MATCH(Projeçao!U$2,Modelos!$AZ$68:$AZ$83,0),MATCH("β2",Modelos!$AY$68:$BG$68,0))*$T24+INDEX(Modelos!$AY$68:$BG$83,MATCH(Projeçao!U$2,Modelos!$AZ$68:$AZ$83,0),MATCH("β3",Modelos!$AY$68:$BG$68,0))*$T23+INDEX(Modelos!$AY$68:$BG$83,MATCH(Projeçao!U$2,Modelos!$AZ$68:$AZ$83,0),MATCH("θ1",Modelos!$AY$68:$BG$68,0))*Y25+INDEX(Modelos!$AY$68:$BG$83,MATCH(Projeçao!U$2,Modelos!$AZ$68:$AZ$83,0),MATCH("θ2",Modelos!$AY$68:$BG$68,0))*Y24+INDEX(Modelos!$AY$68:$BG$83,MATCH(Projeçao!U$2,Modelos!$AZ$68:$AZ$83,0),MATCH("θ3",Modelos!$AY$68:$BG$68,0))*Y23+INDEX(Modelos!$AY$68:$BG$83,MATCH(Projeçao!U$2,Modelos!$AZ$68:$AZ$83,0),MATCH("c",Modelos!$AY$68:$BG$68,0))</f>
        <v>-1.5639675493103349</v>
      </c>
      <c r="V26" s="6">
        <f ca="1">INDEX(Modelos!$AY$68:$BG$83,MATCH(Projeçao!V$2,Modelos!$AZ$68:$AZ$83,0),MATCH("β1",Modelos!$AY$68:$BG$68,0))*$T25+INDEX(Modelos!$AY$68:$BG$83,MATCH(Projeçao!V$2,Modelos!$AZ$68:$AZ$83,0),MATCH("β2",Modelos!$AY$68:$BG$68,0))*$T24+INDEX(Modelos!$AY$68:$BG$83,MATCH(Projeçao!V$2,Modelos!$AZ$68:$AZ$83,0),MATCH("β3",Modelos!$AY$68:$BG$68,0))*$T23+INDEX(Modelos!$AY$68:$BG$83,MATCH(Projeçao!V$2,Modelos!$AZ$68:$AZ$83,0),MATCH("θ1",Modelos!$AY$68:$BG$68,0))*Z25+INDEX(Modelos!$AY$68:$BG$83,MATCH(Projeçao!V$2,Modelos!$AZ$68:$AZ$83,0),MATCH("θ2",Modelos!$AY$68:$BG$68,0))*Z24+INDEX(Modelos!$AY$68:$BG$83,MATCH(Projeçao!V$2,Modelos!$AZ$68:$AZ$83,0),MATCH("θ3",Modelos!$AY$68:$BG$68,0))*Z23+INDEX(Modelos!$AY$68:$BG$83,MATCH(Projeçao!V$2,Modelos!$AZ$68:$AZ$83,0),MATCH("c",Modelos!$AY$68:$BG$68,0))</f>
        <v>5.1773360039570013</v>
      </c>
      <c r="W26" s="6">
        <f ca="1">INDEX(Modelos!$AY$68:$BG$83,MATCH(Projeçao!W$2,Modelos!$AZ$68:$AZ$83,0),MATCH("β1",Modelos!$AY$68:$BG$68,0))*$T25+INDEX(Modelos!$AY$68:$BG$83,MATCH(Projeçao!W$2,Modelos!$AZ$68:$AZ$83,0),MATCH("β2",Modelos!$AY$68:$BG$68,0))*$T24+INDEX(Modelos!$AY$68:$BG$83,MATCH(Projeçao!W$2,Modelos!$AZ$68:$AZ$83,0),MATCH("β3",Modelos!$AY$68:$BG$68,0))*$T23+INDEX(Modelos!$AY$68:$BG$83,MATCH(Projeçao!W$2,Modelos!$AZ$68:$AZ$83,0),MATCH("θ1",Modelos!$AY$68:$BG$68,0))*AA25+INDEX(Modelos!$AY$68:$BG$83,MATCH(Projeçao!W$2,Modelos!$AZ$68:$AZ$83,0),MATCH("θ2",Modelos!$AY$68:$BG$68,0))*AA24+INDEX(Modelos!$AY$68:$BG$83,MATCH(Projeçao!W$2,Modelos!$AZ$68:$AZ$83,0),MATCH("θ3",Modelos!$AY$68:$BG$68,0))*AA23+INDEX(Modelos!$AY$68:$BG$83,MATCH(Projeçao!W$2,Modelos!$AZ$68:$AZ$83,0),MATCH("c",Modelos!$AY$68:$BG$68,0))</f>
        <v>-7.9416521629184729</v>
      </c>
      <c r="Y26" s="6">
        <f t="shared" ref="Y26" ca="1" si="40">$T26-U26</f>
        <v>4.598034515639065</v>
      </c>
      <c r="Z26" s="6">
        <f t="shared" ref="Z26" ca="1" si="41">$T26-V26</f>
        <v>-2.1432690376282713</v>
      </c>
      <c r="AA26" s="6">
        <f t="shared" ref="AA26" ca="1" si="42">$T26-W26</f>
        <v>10.975719129247203</v>
      </c>
    </row>
    <row r="27" spans="1:27" x14ac:dyDescent="0.15">
      <c r="A27" s="8">
        <f t="shared" si="10"/>
        <v>44286</v>
      </c>
      <c r="B27" s="6">
        <f ca="1">INDEX(Dados!$I:$N,MATCH($A27,Dados!$A:$A,0),MATCH(B$2,Dados!$I$2:$N$2,0))</f>
        <v>3.8271662916093296</v>
      </c>
      <c r="C27" s="19">
        <f ca="1">INDEX(Modelos!$AY$30:$BG$45,MATCH(Projeçao!C$2,Modelos!$AZ$49:$AZ$64,0),MATCH("β1",Modelos!$AY$30:$BG$30,0))*$B26+INDEX(Modelos!$AY$30:$BG$45,MATCH(Projeçao!C$2,Modelos!$AZ$49:$AZ$64,0),MATCH("β2",Modelos!$AY$30:$BG$30,0))*$B25+INDEX(Modelos!$AY$30:$BG$45,MATCH(Projeçao!C$2,Modelos!$AZ$49:$AZ$64,0),MATCH("β3",Modelos!$AY$30:$BG$30,0))*$B24+INDEX(Modelos!$AY$30:$BG$45,MATCH(Projeçao!C$2,Modelos!$AZ$49:$AZ$64,0),MATCH("θ1",Modelos!$AY$30:$BG$30,0))*G26+INDEX(Modelos!$AY$30:$BG$45,MATCH(Projeçao!C$2,Modelos!$AZ$49:$AZ$64,0),MATCH("θ2",Modelos!$AY$30:$BG$30,0))*G25+INDEX(Modelos!$AY$30:$BG$45,MATCH(Projeçao!C$2,Modelos!$AZ$49:$AZ$64,0),MATCH("θ3",Modelos!$AY$30:$BG$30,0))*G24+INDEX(Modelos!$AY$30:$BG$45,MATCH(Projeçao!C$2,Modelos!$AZ$49:$AZ$64,0),MATCH("c",Modelos!$AY$30:$BG$30,0))</f>
        <v>0.77152609697907837</v>
      </c>
      <c r="D27" s="19">
        <f ca="1">INDEX(Modelos!$AY$30:$BG$45,MATCH(Projeçao!D$2,Modelos!$AZ$49:$AZ$64,0),MATCH("β1",Modelos!$AY$30:$BG$30,0))*$B26+INDEX(Modelos!$AY$30:$BG$45,MATCH(Projeçao!D$2,Modelos!$AZ$49:$AZ$64,0),MATCH("β2",Modelos!$AY$30:$BG$30,0))*$B25+INDEX(Modelos!$AY$30:$BG$45,MATCH(Projeçao!D$2,Modelos!$AZ$49:$AZ$64,0),MATCH("β3",Modelos!$AY$30:$BG$30,0))*$B24+INDEX(Modelos!$AY$30:$BG$45,MATCH(Projeçao!D$2,Modelos!$AZ$49:$AZ$64,0),MATCH("θ1",Modelos!$AY$30:$BG$30,0))*H26+INDEX(Modelos!$AY$30:$BG$45,MATCH(Projeçao!D$2,Modelos!$AZ$49:$AZ$64,0),MATCH("θ2",Modelos!$AY$30:$BG$30,0))*H25+INDEX(Modelos!$AY$30:$BG$45,MATCH(Projeçao!D$2,Modelos!$AZ$49:$AZ$64,0),MATCH("θ3",Modelos!$AY$30:$BG$30,0))*H24+INDEX(Modelos!$AY$30:$BG$45,MATCH(Projeçao!D$2,Modelos!$AZ$49:$AZ$64,0),MATCH("c",Modelos!$AY$30:$BG$30,0))</f>
        <v>0.86530359478972141</v>
      </c>
      <c r="E27" s="19">
        <f ca="1">INDEX(Modelos!$AY$30:$BG$45,MATCH(Projeçao!E$2,Modelos!$AZ$49:$AZ$64,0),MATCH("β1",Modelos!$AY$30:$BG$30,0))*$B26+INDEX(Modelos!$AY$30:$BG$45,MATCH(Projeçao!E$2,Modelos!$AZ$49:$AZ$64,0),MATCH("β2",Modelos!$AY$30:$BG$30,0))*$B25+INDEX(Modelos!$AY$30:$BG$45,MATCH(Projeçao!E$2,Modelos!$AZ$49:$AZ$64,0),MATCH("β3",Modelos!$AY$30:$BG$30,0))*$B24+INDEX(Modelos!$AY$30:$BG$45,MATCH(Projeçao!E$2,Modelos!$AZ$49:$AZ$64,0),MATCH("θ1",Modelos!$AY$30:$BG$30,0))*I26+INDEX(Modelos!$AY$30:$BG$45,MATCH(Projeçao!E$2,Modelos!$AZ$49:$AZ$64,0),MATCH("θ2",Modelos!$AY$30:$BG$30,0))*I25+INDEX(Modelos!$AY$30:$BG$45,MATCH(Projeçao!E$2,Modelos!$AZ$49:$AZ$64,0),MATCH("θ3",Modelos!$AY$30:$BG$30,0))*I24+INDEX(Modelos!$AY$30:$BG$45,MATCH(Projeçao!E$2,Modelos!$AZ$49:$AZ$64,0),MATCH("c",Modelos!$AY$30:$BG$30,0))</f>
        <v>1.9236078740674074</v>
      </c>
      <c r="G27" s="6">
        <f t="shared" ref="G27" ca="1" si="43">$B27-C27</f>
        <v>3.0556401946302514</v>
      </c>
      <c r="H27" s="6">
        <f t="shared" ref="H27" ca="1" si="44">$B27-D27</f>
        <v>2.9618626968196082</v>
      </c>
      <c r="I27" s="6">
        <f t="shared" ref="I27" ca="1" si="45">$B27-E27</f>
        <v>1.9035584175419222</v>
      </c>
      <c r="K27" s="6">
        <f ca="1">INDEX(Dados!$I:$N,MATCH($A27,Dados!$A:$A,0),MATCH(K$2,Dados!$I$2:$N$2,0))</f>
        <v>0.88983618204423465</v>
      </c>
      <c r="L27" s="6">
        <f ca="1">INDEX(Modelos!$AY$49:$BG$64,MATCH(Projeçao!L$2,Modelos!$AZ$49:$AZ$64,0),MATCH("β1",Modelos!$AY$49:$BG$49,0))*$K26+INDEX(Modelos!$AY$49:$BG$64,MATCH(Projeçao!L$2,Modelos!$AZ$49:$AZ$64,0),MATCH("β2",Modelos!$AY$49:$BG$49,0))*$K25+INDEX(Modelos!$AY$49:$BG$64,MATCH(Projeçao!L$2,Modelos!$AZ$49:$AZ$64,0),MATCH("β3",Modelos!$AY$49:$BG$49,0))*$K24+INDEX(Modelos!$AY$49:$BG$64,MATCH(Projeçao!L$2,Modelos!$AZ$49:$AZ$64,0),MATCH("θ1",Modelos!$AY$49:$BG$49,0))*P26+INDEX(Modelos!$AY$49:$BG$64,MATCH(Projeçao!L$2,Modelos!$AZ$49:$AZ$64,0),MATCH("θ2",Modelos!$AY$49:$BG$49,0))*P25+INDEX(Modelos!$AY$49:$BG$64,MATCH(Projeçao!L$2,Modelos!$AZ$49:$AZ$64,0),MATCH("θ3",Modelos!$AY$49:$BG$49,0))*P24+INDEX(Modelos!$AY$49:$BG$64,MATCH(Projeçao!L$2,Modelos!$AZ$49:$AZ$64,0),MATCH("c",Modelos!$AY$49:$BG$49,0))</f>
        <v>-2.0494013911075881</v>
      </c>
      <c r="M27" s="6">
        <f ca="1">INDEX(Modelos!$AY$49:$BG$64,MATCH(Projeçao!M$2,Modelos!$AZ$49:$AZ$64,0),MATCH("β1",Modelos!$AY$49:$BG$49,0))*$K26+INDEX(Modelos!$AY$49:$BG$64,MATCH(Projeçao!M$2,Modelos!$AZ$49:$AZ$64,0),MATCH("β2",Modelos!$AY$49:$BG$49,0))*$K25+INDEX(Modelos!$AY$49:$BG$64,MATCH(Projeçao!M$2,Modelos!$AZ$49:$AZ$64,0),MATCH("β3",Modelos!$AY$49:$BG$49,0))*$K24+INDEX(Modelos!$AY$49:$BG$64,MATCH(Projeçao!M$2,Modelos!$AZ$49:$AZ$64,0),MATCH("θ1",Modelos!$AY$49:$BG$49,0))*Q26+INDEX(Modelos!$AY$49:$BG$64,MATCH(Projeçao!M$2,Modelos!$AZ$49:$AZ$64,0),MATCH("θ2",Modelos!$AY$49:$BG$49,0))*Q25+INDEX(Modelos!$AY$49:$BG$64,MATCH(Projeçao!M$2,Modelos!$AZ$49:$AZ$64,0),MATCH("θ3",Modelos!$AY$49:$BG$49,0))*Q24+INDEX(Modelos!$AY$49:$BG$64,MATCH(Projeçao!M$2,Modelos!$AZ$49:$AZ$64,0),MATCH("c",Modelos!$AY$49:$BG$49,0))</f>
        <v>1.9542097169607222</v>
      </c>
      <c r="N27" s="6">
        <f ca="1">INDEX(Modelos!$AY$49:$BG$64,MATCH(Projeçao!N$2,Modelos!$AZ$49:$AZ$64,0),MATCH("β1",Modelos!$AY$49:$BG$49,0))*$K26+INDEX(Modelos!$AY$49:$BG$64,MATCH(Projeçao!N$2,Modelos!$AZ$49:$AZ$64,0),MATCH("β2",Modelos!$AY$49:$BG$49,0))*$K25+INDEX(Modelos!$AY$49:$BG$64,MATCH(Projeçao!N$2,Modelos!$AZ$49:$AZ$64,0),MATCH("β3",Modelos!$AY$49:$BG$49,0))*$K24+INDEX(Modelos!$AY$49:$BG$64,MATCH(Projeçao!N$2,Modelos!$AZ$49:$AZ$64,0),MATCH("θ1",Modelos!$AY$49:$BG$49,0))*R26+INDEX(Modelos!$AY$49:$BG$64,MATCH(Projeçao!N$2,Modelos!$AZ$49:$AZ$64,0),MATCH("θ2",Modelos!$AY$49:$BG$49,0))*R25+INDEX(Modelos!$AY$49:$BG$64,MATCH(Projeçao!N$2,Modelos!$AZ$49:$AZ$64,0),MATCH("θ3",Modelos!$AY$49:$BG$49,0))*R24+INDEX(Modelos!$AY$49:$BG$64,MATCH(Projeçao!N$2,Modelos!$AZ$49:$AZ$64,0),MATCH("c",Modelos!$AY$49:$BG$49,0))</f>
        <v>0.88834134386413099</v>
      </c>
      <c r="P27" s="6">
        <f t="shared" ref="P27" ca="1" si="46">$K27-L27</f>
        <v>2.9392375731518228</v>
      </c>
      <c r="Q27" s="6">
        <f t="shared" ref="Q27" ca="1" si="47">$K27-M27</f>
        <v>-1.0643735349164876</v>
      </c>
      <c r="R27" s="6">
        <f t="shared" ref="R27" ca="1" si="48">$K27-N27</f>
        <v>1.4948381801036525E-3</v>
      </c>
      <c r="T27" s="6">
        <f ca="1">INDEX(Dados!$I:$N,MATCH($A27,Dados!$A:$A,0),MATCH(T$2,Dados!$I$2:$N$2,0))</f>
        <v>0.93990014628906327</v>
      </c>
      <c r="U27" s="6">
        <f ca="1">INDEX(Modelos!$AY$68:$BG$83,MATCH(Projeçao!U$2,Modelos!$AZ$68:$AZ$83,0),MATCH("β1",Modelos!$AY$68:$BG$68,0))*$T26+INDEX(Modelos!$AY$68:$BG$83,MATCH(Projeçao!U$2,Modelos!$AZ$68:$AZ$83,0),MATCH("β2",Modelos!$AY$68:$BG$68,0))*$T25+INDEX(Modelos!$AY$68:$BG$83,MATCH(Projeçao!U$2,Modelos!$AZ$68:$AZ$83,0),MATCH("β3",Modelos!$AY$68:$BG$68,0))*$T24+INDEX(Modelos!$AY$68:$BG$83,MATCH(Projeçao!U$2,Modelos!$AZ$68:$AZ$83,0),MATCH("θ1",Modelos!$AY$68:$BG$68,0))*Y26+INDEX(Modelos!$AY$68:$BG$83,MATCH(Projeçao!U$2,Modelos!$AZ$68:$AZ$83,0),MATCH("θ2",Modelos!$AY$68:$BG$68,0))*Y25+INDEX(Modelos!$AY$68:$BG$83,MATCH(Projeçao!U$2,Modelos!$AZ$68:$AZ$83,0),MATCH("θ3",Modelos!$AY$68:$BG$68,0))*Y24+INDEX(Modelos!$AY$68:$BG$83,MATCH(Projeçao!U$2,Modelos!$AZ$68:$AZ$83,0),MATCH("c",Modelos!$AY$68:$BG$68,0))</f>
        <v>2.2028708015622067</v>
      </c>
      <c r="V27" s="6">
        <f ca="1">INDEX(Modelos!$AY$68:$BG$83,MATCH(Projeçao!V$2,Modelos!$AZ$68:$AZ$83,0),MATCH("β1",Modelos!$AY$68:$BG$68,0))*$T26+INDEX(Modelos!$AY$68:$BG$83,MATCH(Projeçao!V$2,Modelos!$AZ$68:$AZ$83,0),MATCH("β2",Modelos!$AY$68:$BG$68,0))*$T25+INDEX(Modelos!$AY$68:$BG$83,MATCH(Projeçao!V$2,Modelos!$AZ$68:$AZ$83,0),MATCH("β3",Modelos!$AY$68:$BG$68,0))*$T24+INDEX(Modelos!$AY$68:$BG$83,MATCH(Projeçao!V$2,Modelos!$AZ$68:$AZ$83,0),MATCH("θ1",Modelos!$AY$68:$BG$68,0))*Z26+INDEX(Modelos!$AY$68:$BG$83,MATCH(Projeçao!V$2,Modelos!$AZ$68:$AZ$83,0),MATCH("θ2",Modelos!$AY$68:$BG$68,0))*Z25+INDEX(Modelos!$AY$68:$BG$83,MATCH(Projeçao!V$2,Modelos!$AZ$68:$AZ$83,0),MATCH("θ3",Modelos!$AY$68:$BG$68,0))*Z24+INDEX(Modelos!$AY$68:$BG$83,MATCH(Projeçao!V$2,Modelos!$AZ$68:$AZ$83,0),MATCH("c",Modelos!$AY$68:$BG$68,0))</f>
        <v>6.6727263389856741</v>
      </c>
      <c r="W27" s="6">
        <f ca="1">INDEX(Modelos!$AY$68:$BG$83,MATCH(Projeçao!W$2,Modelos!$AZ$68:$AZ$83,0),MATCH("β1",Modelos!$AY$68:$BG$68,0))*$T26+INDEX(Modelos!$AY$68:$BG$83,MATCH(Projeçao!W$2,Modelos!$AZ$68:$AZ$83,0),MATCH("β2",Modelos!$AY$68:$BG$68,0))*$T25+INDEX(Modelos!$AY$68:$BG$83,MATCH(Projeçao!W$2,Modelos!$AZ$68:$AZ$83,0),MATCH("β3",Modelos!$AY$68:$BG$68,0))*$T24+INDEX(Modelos!$AY$68:$BG$83,MATCH(Projeçao!W$2,Modelos!$AZ$68:$AZ$83,0),MATCH("θ1",Modelos!$AY$68:$BG$68,0))*AA26+INDEX(Modelos!$AY$68:$BG$83,MATCH(Projeçao!W$2,Modelos!$AZ$68:$AZ$83,0),MATCH("θ2",Modelos!$AY$68:$BG$68,0))*AA25+INDEX(Modelos!$AY$68:$BG$83,MATCH(Projeçao!W$2,Modelos!$AZ$68:$AZ$83,0),MATCH("θ3",Modelos!$AY$68:$BG$68,0))*AA24+INDEX(Modelos!$AY$68:$BG$83,MATCH(Projeçao!W$2,Modelos!$AZ$68:$AZ$83,0),MATCH("c",Modelos!$AY$68:$BG$68,0))</f>
        <v>-2.5872796977183308</v>
      </c>
      <c r="Y27" s="6">
        <f t="shared" ref="Y27" ca="1" si="49">$T27-U27</f>
        <v>-1.2629706552731434</v>
      </c>
      <c r="Z27" s="6">
        <f t="shared" ref="Z27" ca="1" si="50">$T27-V27</f>
        <v>-5.7328261926966109</v>
      </c>
      <c r="AA27" s="6">
        <f t="shared" ref="AA27" ca="1" si="51">$T27-W27</f>
        <v>3.527179844007394</v>
      </c>
    </row>
    <row r="28" spans="1:27" x14ac:dyDescent="0.15">
      <c r="A28" s="8">
        <f t="shared" si="10"/>
        <v>44377</v>
      </c>
      <c r="B28" s="6">
        <f ca="1">INDEX(Dados!$I:$N,MATCH($A28,Dados!$A:$A,0),MATCH(B$2,Dados!$I$2:$N$2,0))</f>
        <v>-2.8525973423573769</v>
      </c>
      <c r="C28" s="19">
        <f ca="1">INDEX(Modelos!$AY$30:$BG$45,MATCH(Projeçao!C$2,Modelos!$AZ$49:$AZ$64,0),MATCH("β1",Modelos!$AY$30:$BG$30,0))*$B27+INDEX(Modelos!$AY$30:$BG$45,MATCH(Projeçao!C$2,Modelos!$AZ$49:$AZ$64,0),MATCH("β2",Modelos!$AY$30:$BG$30,0))*$B26+INDEX(Modelos!$AY$30:$BG$45,MATCH(Projeçao!C$2,Modelos!$AZ$49:$AZ$64,0),MATCH("β3",Modelos!$AY$30:$BG$30,0))*$B25+INDEX(Modelos!$AY$30:$BG$45,MATCH(Projeçao!C$2,Modelos!$AZ$49:$AZ$64,0),MATCH("θ1",Modelos!$AY$30:$BG$30,0))*G27+INDEX(Modelos!$AY$30:$BG$45,MATCH(Projeçao!C$2,Modelos!$AZ$49:$AZ$64,0),MATCH("θ2",Modelos!$AY$30:$BG$30,0))*G26+INDEX(Modelos!$AY$30:$BG$45,MATCH(Projeçao!C$2,Modelos!$AZ$49:$AZ$64,0),MATCH("θ3",Modelos!$AY$30:$BG$30,0))*G25+INDEX(Modelos!$AY$30:$BG$45,MATCH(Projeçao!C$2,Modelos!$AZ$49:$AZ$64,0),MATCH("c",Modelos!$AY$30:$BG$30,0))</f>
        <v>1.5238366788555435</v>
      </c>
      <c r="D28" s="19">
        <f ca="1">INDEX(Modelos!$AY$30:$BG$45,MATCH(Projeçao!D$2,Modelos!$AZ$49:$AZ$64,0),MATCH("β1",Modelos!$AY$30:$BG$30,0))*$B27+INDEX(Modelos!$AY$30:$BG$45,MATCH(Projeçao!D$2,Modelos!$AZ$49:$AZ$64,0),MATCH("β2",Modelos!$AY$30:$BG$30,0))*$B26+INDEX(Modelos!$AY$30:$BG$45,MATCH(Projeçao!D$2,Modelos!$AZ$49:$AZ$64,0),MATCH("β3",Modelos!$AY$30:$BG$30,0))*$B25+INDEX(Modelos!$AY$30:$BG$45,MATCH(Projeçao!D$2,Modelos!$AZ$49:$AZ$64,0),MATCH("θ1",Modelos!$AY$30:$BG$30,0))*H27+INDEX(Modelos!$AY$30:$BG$45,MATCH(Projeçao!D$2,Modelos!$AZ$49:$AZ$64,0),MATCH("θ2",Modelos!$AY$30:$BG$30,0))*H26+INDEX(Modelos!$AY$30:$BG$45,MATCH(Projeçao!D$2,Modelos!$AZ$49:$AZ$64,0),MATCH("θ3",Modelos!$AY$30:$BG$30,0))*H25+INDEX(Modelos!$AY$30:$BG$45,MATCH(Projeçao!D$2,Modelos!$AZ$49:$AZ$64,0),MATCH("c",Modelos!$AY$30:$BG$30,0))</f>
        <v>0.82795180862251616</v>
      </c>
      <c r="E28" s="19">
        <f ca="1">INDEX(Modelos!$AY$30:$BG$45,MATCH(Projeçao!E$2,Modelos!$AZ$49:$AZ$64,0),MATCH("β1",Modelos!$AY$30:$BG$30,0))*$B27+INDEX(Modelos!$AY$30:$BG$45,MATCH(Projeçao!E$2,Modelos!$AZ$49:$AZ$64,0),MATCH("β2",Modelos!$AY$30:$BG$30,0))*$B26+INDEX(Modelos!$AY$30:$BG$45,MATCH(Projeçao!E$2,Modelos!$AZ$49:$AZ$64,0),MATCH("β3",Modelos!$AY$30:$BG$30,0))*$B25+INDEX(Modelos!$AY$30:$BG$45,MATCH(Projeçao!E$2,Modelos!$AZ$49:$AZ$64,0),MATCH("θ1",Modelos!$AY$30:$BG$30,0))*I27+INDEX(Modelos!$AY$30:$BG$45,MATCH(Projeçao!E$2,Modelos!$AZ$49:$AZ$64,0),MATCH("θ2",Modelos!$AY$30:$BG$30,0))*I26+INDEX(Modelos!$AY$30:$BG$45,MATCH(Projeçao!E$2,Modelos!$AZ$49:$AZ$64,0),MATCH("θ3",Modelos!$AY$30:$BG$30,0))*I25+INDEX(Modelos!$AY$30:$BG$45,MATCH(Projeçao!E$2,Modelos!$AZ$49:$AZ$64,0),MATCH("c",Modelos!$AY$30:$BG$30,0))</f>
        <v>8.8725276870258885E-2</v>
      </c>
      <c r="G28" s="6">
        <f t="shared" ref="G28" ca="1" si="52">$B28-C28</f>
        <v>-4.3764340212129209</v>
      </c>
      <c r="H28" s="6">
        <f t="shared" ref="H28" ca="1" si="53">$B28-D28</f>
        <v>-3.6805491509798931</v>
      </c>
      <c r="I28" s="6">
        <f t="shared" ref="I28" ca="1" si="54">$B28-E28</f>
        <v>-2.9413226192276358</v>
      </c>
      <c r="K28" s="6">
        <f ca="1">INDEX(Dados!$I:$N,MATCH($A28,Dados!$A:$A,0),MATCH(K$2,Dados!$I$2:$N$2,0))</f>
        <v>-0.54898991020682075</v>
      </c>
      <c r="L28" s="6">
        <f ca="1">INDEX(Modelos!$AY$49:$BG$64,MATCH(Projeçao!L$2,Modelos!$AZ$49:$AZ$64,0),MATCH("β1",Modelos!$AY$49:$BG$49,0))*$K27+INDEX(Modelos!$AY$49:$BG$64,MATCH(Projeçao!L$2,Modelos!$AZ$49:$AZ$64,0),MATCH("β2",Modelos!$AY$49:$BG$49,0))*$K26+INDEX(Modelos!$AY$49:$BG$64,MATCH(Projeçao!L$2,Modelos!$AZ$49:$AZ$64,0),MATCH("β3",Modelos!$AY$49:$BG$49,0))*$K25+INDEX(Modelos!$AY$49:$BG$64,MATCH(Projeçao!L$2,Modelos!$AZ$49:$AZ$64,0),MATCH("θ1",Modelos!$AY$49:$BG$49,0))*P27+INDEX(Modelos!$AY$49:$BG$64,MATCH(Projeçao!L$2,Modelos!$AZ$49:$AZ$64,0),MATCH("θ2",Modelos!$AY$49:$BG$49,0))*P26+INDEX(Modelos!$AY$49:$BG$64,MATCH(Projeçao!L$2,Modelos!$AZ$49:$AZ$64,0),MATCH("θ3",Modelos!$AY$49:$BG$49,0))*P25+INDEX(Modelos!$AY$49:$BG$64,MATCH(Projeçao!L$2,Modelos!$AZ$49:$AZ$64,0),MATCH("c",Modelos!$AY$49:$BG$49,0))</f>
        <v>1.4241884803125675</v>
      </c>
      <c r="M28" s="6">
        <f ca="1">INDEX(Modelos!$AY$49:$BG$64,MATCH(Projeçao!M$2,Modelos!$AZ$49:$AZ$64,0),MATCH("β1",Modelos!$AY$49:$BG$49,0))*$K27+INDEX(Modelos!$AY$49:$BG$64,MATCH(Projeçao!M$2,Modelos!$AZ$49:$AZ$64,0),MATCH("β2",Modelos!$AY$49:$BG$49,0))*$K26+INDEX(Modelos!$AY$49:$BG$64,MATCH(Projeçao!M$2,Modelos!$AZ$49:$AZ$64,0),MATCH("β3",Modelos!$AY$49:$BG$49,0))*$K25+INDEX(Modelos!$AY$49:$BG$64,MATCH(Projeçao!M$2,Modelos!$AZ$49:$AZ$64,0),MATCH("θ1",Modelos!$AY$49:$BG$49,0))*Q27+INDEX(Modelos!$AY$49:$BG$64,MATCH(Projeçao!M$2,Modelos!$AZ$49:$AZ$64,0),MATCH("θ2",Modelos!$AY$49:$BG$49,0))*Q26+INDEX(Modelos!$AY$49:$BG$64,MATCH(Projeçao!M$2,Modelos!$AZ$49:$AZ$64,0),MATCH("θ3",Modelos!$AY$49:$BG$49,0))*Q25+INDEX(Modelos!$AY$49:$BG$64,MATCH(Projeçao!M$2,Modelos!$AZ$49:$AZ$64,0),MATCH("c",Modelos!$AY$49:$BG$49,0))</f>
        <v>2.1492232784454592</v>
      </c>
      <c r="N28" s="6">
        <f ca="1">INDEX(Modelos!$AY$49:$BG$64,MATCH(Projeçao!N$2,Modelos!$AZ$49:$AZ$64,0),MATCH("β1",Modelos!$AY$49:$BG$49,0))*$K27+INDEX(Modelos!$AY$49:$BG$64,MATCH(Projeçao!N$2,Modelos!$AZ$49:$AZ$64,0),MATCH("β2",Modelos!$AY$49:$BG$49,0))*$K26+INDEX(Modelos!$AY$49:$BG$64,MATCH(Projeçao!N$2,Modelos!$AZ$49:$AZ$64,0),MATCH("β3",Modelos!$AY$49:$BG$49,0))*$K25+INDEX(Modelos!$AY$49:$BG$64,MATCH(Projeçao!N$2,Modelos!$AZ$49:$AZ$64,0),MATCH("θ1",Modelos!$AY$49:$BG$49,0))*R27+INDEX(Modelos!$AY$49:$BG$64,MATCH(Projeçao!N$2,Modelos!$AZ$49:$AZ$64,0),MATCH("θ2",Modelos!$AY$49:$BG$49,0))*R26+INDEX(Modelos!$AY$49:$BG$64,MATCH(Projeçao!N$2,Modelos!$AZ$49:$AZ$64,0),MATCH("θ3",Modelos!$AY$49:$BG$49,0))*R25+INDEX(Modelos!$AY$49:$BG$64,MATCH(Projeçao!N$2,Modelos!$AZ$49:$AZ$64,0),MATCH("c",Modelos!$AY$49:$BG$49,0))</f>
        <v>0.18756377062098734</v>
      </c>
      <c r="P28" s="6">
        <f t="shared" ref="P28" ca="1" si="55">$K28-L28</f>
        <v>-1.9731783905193883</v>
      </c>
      <c r="Q28" s="6">
        <f t="shared" ref="Q28" ca="1" si="56">$K28-M28</f>
        <v>-2.69821318865228</v>
      </c>
      <c r="R28" s="6">
        <f t="shared" ref="R28" ca="1" si="57">$K28-N28</f>
        <v>-0.73655368082780814</v>
      </c>
      <c r="T28" s="6">
        <f ca="1">INDEX(Dados!$I:$N,MATCH($A28,Dados!$A:$A,0),MATCH(T$2,Dados!$I$2:$N$2,0))</f>
        <v>0.57544519405470229</v>
      </c>
      <c r="U28" s="6">
        <f ca="1">INDEX(Modelos!$AY$68:$BG$83,MATCH(Projeçao!U$2,Modelos!$AZ$68:$AZ$83,0),MATCH("β1",Modelos!$AY$68:$BG$68,0))*$T27+INDEX(Modelos!$AY$68:$BG$83,MATCH(Projeçao!U$2,Modelos!$AZ$68:$AZ$83,0),MATCH("β2",Modelos!$AY$68:$BG$68,0))*$T26+INDEX(Modelos!$AY$68:$BG$83,MATCH(Projeçao!U$2,Modelos!$AZ$68:$AZ$83,0),MATCH("β3",Modelos!$AY$68:$BG$68,0))*$T25+INDEX(Modelos!$AY$68:$BG$83,MATCH(Projeçao!U$2,Modelos!$AZ$68:$AZ$83,0),MATCH("θ1",Modelos!$AY$68:$BG$68,0))*Y27+INDEX(Modelos!$AY$68:$BG$83,MATCH(Projeçao!U$2,Modelos!$AZ$68:$AZ$83,0),MATCH("θ2",Modelos!$AY$68:$BG$68,0))*Y26+INDEX(Modelos!$AY$68:$BG$83,MATCH(Projeçao!U$2,Modelos!$AZ$68:$AZ$83,0),MATCH("θ3",Modelos!$AY$68:$BG$68,0))*Y25+INDEX(Modelos!$AY$68:$BG$83,MATCH(Projeçao!U$2,Modelos!$AZ$68:$AZ$83,0),MATCH("c",Modelos!$AY$68:$BG$68,0))</f>
        <v>1.5818248483050938</v>
      </c>
      <c r="V28" s="6">
        <f ca="1">INDEX(Modelos!$AY$68:$BG$83,MATCH(Projeçao!V$2,Modelos!$AZ$68:$AZ$83,0),MATCH("β1",Modelos!$AY$68:$BG$68,0))*$T27+INDEX(Modelos!$AY$68:$BG$83,MATCH(Projeçao!V$2,Modelos!$AZ$68:$AZ$83,0),MATCH("β2",Modelos!$AY$68:$BG$68,0))*$T26+INDEX(Modelos!$AY$68:$BG$83,MATCH(Projeçao!V$2,Modelos!$AZ$68:$AZ$83,0),MATCH("β3",Modelos!$AY$68:$BG$68,0))*$T25+INDEX(Modelos!$AY$68:$BG$83,MATCH(Projeçao!V$2,Modelos!$AZ$68:$AZ$83,0),MATCH("θ1",Modelos!$AY$68:$BG$68,0))*Z27+INDEX(Modelos!$AY$68:$BG$83,MATCH(Projeçao!V$2,Modelos!$AZ$68:$AZ$83,0),MATCH("θ2",Modelos!$AY$68:$BG$68,0))*Z26+INDEX(Modelos!$AY$68:$BG$83,MATCH(Projeçao!V$2,Modelos!$AZ$68:$AZ$83,0),MATCH("θ3",Modelos!$AY$68:$BG$68,0))*Z25+INDEX(Modelos!$AY$68:$BG$83,MATCH(Projeçao!V$2,Modelos!$AZ$68:$AZ$83,0),MATCH("c",Modelos!$AY$68:$BG$68,0))</f>
        <v>0.56509525918974424</v>
      </c>
      <c r="W28" s="6">
        <f ca="1">INDEX(Modelos!$AY$68:$BG$83,MATCH(Projeçao!W$2,Modelos!$AZ$68:$AZ$83,0),MATCH("β1",Modelos!$AY$68:$BG$68,0))*$T27+INDEX(Modelos!$AY$68:$BG$83,MATCH(Projeçao!W$2,Modelos!$AZ$68:$AZ$83,0),MATCH("β2",Modelos!$AY$68:$BG$68,0))*$T26+INDEX(Modelos!$AY$68:$BG$83,MATCH(Projeçao!W$2,Modelos!$AZ$68:$AZ$83,0),MATCH("β3",Modelos!$AY$68:$BG$68,0))*$T25+INDEX(Modelos!$AY$68:$BG$83,MATCH(Projeçao!W$2,Modelos!$AZ$68:$AZ$83,0),MATCH("θ1",Modelos!$AY$68:$BG$68,0))*AA27+INDEX(Modelos!$AY$68:$BG$83,MATCH(Projeçao!W$2,Modelos!$AZ$68:$AZ$83,0),MATCH("θ2",Modelos!$AY$68:$BG$68,0))*AA26+INDEX(Modelos!$AY$68:$BG$83,MATCH(Projeçao!W$2,Modelos!$AZ$68:$AZ$83,0),MATCH("θ3",Modelos!$AY$68:$BG$68,0))*AA25+INDEX(Modelos!$AY$68:$BG$83,MATCH(Projeçao!W$2,Modelos!$AZ$68:$AZ$83,0),MATCH("c",Modelos!$AY$68:$BG$68,0))</f>
        <v>8.0813725774375023</v>
      </c>
      <c r="Y28" s="6">
        <f t="shared" ref="Y28" ca="1" si="58">$T28-U28</f>
        <v>-1.0063796542503916</v>
      </c>
      <c r="Z28" s="6">
        <f t="shared" ref="Z28" ca="1" si="59">$T28-V28</f>
        <v>1.0349934864958055E-2</v>
      </c>
      <c r="AA28" s="6">
        <f t="shared" ref="AA28" ca="1" si="60">$T28-W28</f>
        <v>-7.5059273833828</v>
      </c>
    </row>
    <row r="29" spans="1:27" x14ac:dyDescent="0.15">
      <c r="A29" s="8">
        <f t="shared" si="10"/>
        <v>44469</v>
      </c>
      <c r="B29" s="6">
        <f ca="1">INDEX(Dados!$I:$N,MATCH($A29,Dados!$A:$A,0),MATCH(B$2,Dados!$I$2:$N$2,0))</f>
        <v>-7.960230914207223</v>
      </c>
      <c r="C29" s="19">
        <f ca="1">INDEX(Modelos!$AY$30:$BG$45,MATCH(Projeçao!C$2,Modelos!$AZ$49:$AZ$64,0),MATCH("β1",Modelos!$AY$30:$BG$30,0))*$B28+INDEX(Modelos!$AY$30:$BG$45,MATCH(Projeçao!C$2,Modelos!$AZ$49:$AZ$64,0),MATCH("β2",Modelos!$AY$30:$BG$30,0))*$B27+INDEX(Modelos!$AY$30:$BG$45,MATCH(Projeçao!C$2,Modelos!$AZ$49:$AZ$64,0),MATCH("β3",Modelos!$AY$30:$BG$30,0))*$B26+INDEX(Modelos!$AY$30:$BG$45,MATCH(Projeçao!C$2,Modelos!$AZ$49:$AZ$64,0),MATCH("θ1",Modelos!$AY$30:$BG$30,0))*G28+INDEX(Modelos!$AY$30:$BG$45,MATCH(Projeçao!C$2,Modelos!$AZ$49:$AZ$64,0),MATCH("θ2",Modelos!$AY$30:$BG$30,0))*G27+INDEX(Modelos!$AY$30:$BG$45,MATCH(Projeçao!C$2,Modelos!$AZ$49:$AZ$64,0),MATCH("θ3",Modelos!$AY$30:$BG$30,0))*G26+INDEX(Modelos!$AY$30:$BG$45,MATCH(Projeçao!C$2,Modelos!$AZ$49:$AZ$64,0),MATCH("c",Modelos!$AY$30:$BG$30,0))</f>
        <v>-1.6118722483337262</v>
      </c>
      <c r="D29" s="19">
        <f ca="1">INDEX(Modelos!$AY$30:$BG$45,MATCH(Projeçao!D$2,Modelos!$AZ$49:$AZ$64,0),MATCH("β1",Modelos!$AY$30:$BG$30,0))*$B28+INDEX(Modelos!$AY$30:$BG$45,MATCH(Projeçao!D$2,Modelos!$AZ$49:$AZ$64,0),MATCH("β2",Modelos!$AY$30:$BG$30,0))*$B27+INDEX(Modelos!$AY$30:$BG$45,MATCH(Projeçao!D$2,Modelos!$AZ$49:$AZ$64,0),MATCH("β3",Modelos!$AY$30:$BG$30,0))*$B26+INDEX(Modelos!$AY$30:$BG$45,MATCH(Projeçao!D$2,Modelos!$AZ$49:$AZ$64,0),MATCH("θ1",Modelos!$AY$30:$BG$30,0))*H28+INDEX(Modelos!$AY$30:$BG$45,MATCH(Projeçao!D$2,Modelos!$AZ$49:$AZ$64,0),MATCH("θ2",Modelos!$AY$30:$BG$30,0))*H27+INDEX(Modelos!$AY$30:$BG$45,MATCH(Projeçao!D$2,Modelos!$AZ$49:$AZ$64,0),MATCH("θ3",Modelos!$AY$30:$BG$30,0))*H26+INDEX(Modelos!$AY$30:$BG$45,MATCH(Projeçao!D$2,Modelos!$AZ$49:$AZ$64,0),MATCH("c",Modelos!$AY$30:$BG$30,0))</f>
        <v>0.40451136115841141</v>
      </c>
      <c r="E29" s="19">
        <f ca="1">INDEX(Modelos!$AY$30:$BG$45,MATCH(Projeçao!E$2,Modelos!$AZ$49:$AZ$64,0),MATCH("β1",Modelos!$AY$30:$BG$30,0))*$B28+INDEX(Modelos!$AY$30:$BG$45,MATCH(Projeçao!E$2,Modelos!$AZ$49:$AZ$64,0),MATCH("β2",Modelos!$AY$30:$BG$30,0))*$B27+INDEX(Modelos!$AY$30:$BG$45,MATCH(Projeçao!E$2,Modelos!$AZ$49:$AZ$64,0),MATCH("β3",Modelos!$AY$30:$BG$30,0))*$B26+INDEX(Modelos!$AY$30:$BG$45,MATCH(Projeçao!E$2,Modelos!$AZ$49:$AZ$64,0),MATCH("θ1",Modelos!$AY$30:$BG$30,0))*I28+INDEX(Modelos!$AY$30:$BG$45,MATCH(Projeçao!E$2,Modelos!$AZ$49:$AZ$64,0),MATCH("θ2",Modelos!$AY$30:$BG$30,0))*I27+INDEX(Modelos!$AY$30:$BG$45,MATCH(Projeçao!E$2,Modelos!$AZ$49:$AZ$64,0),MATCH("θ3",Modelos!$AY$30:$BG$30,0))*I26+INDEX(Modelos!$AY$30:$BG$45,MATCH(Projeçao!E$2,Modelos!$AZ$49:$AZ$64,0),MATCH("c",Modelos!$AY$30:$BG$30,0))</f>
        <v>1.9232411835394321</v>
      </c>
      <c r="G29" s="6">
        <f t="shared" ref="G29" ca="1" si="61">$B29-C29</f>
        <v>-6.348358665873497</v>
      </c>
      <c r="H29" s="6">
        <f t="shared" ref="H29" ca="1" si="62">$B29-D29</f>
        <v>-8.364742275365634</v>
      </c>
      <c r="I29" s="6">
        <f t="shared" ref="I29" ca="1" si="63">$B29-E29</f>
        <v>-9.8834720977466546</v>
      </c>
      <c r="K29" s="6">
        <f ca="1">INDEX(Dados!$I:$N,MATCH($A29,Dados!$A:$A,0),MATCH(K$2,Dados!$I$2:$N$2,0))</f>
        <v>-2.6108584477158026E-2</v>
      </c>
      <c r="L29" s="6">
        <f ca="1">INDEX(Modelos!$AY$49:$BG$64,MATCH(Projeçao!L$2,Modelos!$AZ$49:$AZ$64,0),MATCH("β1",Modelos!$AY$49:$BG$49,0))*$K28+INDEX(Modelos!$AY$49:$BG$64,MATCH(Projeçao!L$2,Modelos!$AZ$49:$AZ$64,0),MATCH("β2",Modelos!$AY$49:$BG$49,0))*$K27+INDEX(Modelos!$AY$49:$BG$64,MATCH(Projeçao!L$2,Modelos!$AZ$49:$AZ$64,0),MATCH("β3",Modelos!$AY$49:$BG$49,0))*$K26+INDEX(Modelos!$AY$49:$BG$64,MATCH(Projeçao!L$2,Modelos!$AZ$49:$AZ$64,0),MATCH("θ1",Modelos!$AY$49:$BG$49,0))*P28+INDEX(Modelos!$AY$49:$BG$64,MATCH(Projeçao!L$2,Modelos!$AZ$49:$AZ$64,0),MATCH("θ2",Modelos!$AY$49:$BG$49,0))*P27+INDEX(Modelos!$AY$49:$BG$64,MATCH(Projeçao!L$2,Modelos!$AZ$49:$AZ$64,0),MATCH("θ3",Modelos!$AY$49:$BG$49,0))*P26+INDEX(Modelos!$AY$49:$BG$64,MATCH(Projeçao!L$2,Modelos!$AZ$49:$AZ$64,0),MATCH("c",Modelos!$AY$49:$BG$49,0))</f>
        <v>-0.32647405941195473</v>
      </c>
      <c r="M29" s="6">
        <f ca="1">INDEX(Modelos!$AY$49:$BG$64,MATCH(Projeçao!M$2,Modelos!$AZ$49:$AZ$64,0),MATCH("β1",Modelos!$AY$49:$BG$49,0))*$K28+INDEX(Modelos!$AY$49:$BG$64,MATCH(Projeçao!M$2,Modelos!$AZ$49:$AZ$64,0),MATCH("β2",Modelos!$AY$49:$BG$49,0))*$K27+INDEX(Modelos!$AY$49:$BG$64,MATCH(Projeçao!M$2,Modelos!$AZ$49:$AZ$64,0),MATCH("β3",Modelos!$AY$49:$BG$49,0))*$K26+INDEX(Modelos!$AY$49:$BG$64,MATCH(Projeçao!M$2,Modelos!$AZ$49:$AZ$64,0),MATCH("θ1",Modelos!$AY$49:$BG$49,0))*Q28+INDEX(Modelos!$AY$49:$BG$64,MATCH(Projeçao!M$2,Modelos!$AZ$49:$AZ$64,0),MATCH("θ2",Modelos!$AY$49:$BG$49,0))*Q27+INDEX(Modelos!$AY$49:$BG$64,MATCH(Projeçao!M$2,Modelos!$AZ$49:$AZ$64,0),MATCH("θ3",Modelos!$AY$49:$BG$49,0))*Q26+INDEX(Modelos!$AY$49:$BG$64,MATCH(Projeçao!M$2,Modelos!$AZ$49:$AZ$64,0),MATCH("c",Modelos!$AY$49:$BG$49,0))</f>
        <v>0.37895933802923298</v>
      </c>
      <c r="N29" s="6">
        <f ca="1">INDEX(Modelos!$AY$49:$BG$64,MATCH(Projeçao!N$2,Modelos!$AZ$49:$AZ$64,0),MATCH("β1",Modelos!$AY$49:$BG$49,0))*$K28+INDEX(Modelos!$AY$49:$BG$64,MATCH(Projeçao!N$2,Modelos!$AZ$49:$AZ$64,0),MATCH("β2",Modelos!$AY$49:$BG$49,0))*$K27+INDEX(Modelos!$AY$49:$BG$64,MATCH(Projeçao!N$2,Modelos!$AZ$49:$AZ$64,0),MATCH("β3",Modelos!$AY$49:$BG$49,0))*$K26+INDEX(Modelos!$AY$49:$BG$64,MATCH(Projeçao!N$2,Modelos!$AZ$49:$AZ$64,0),MATCH("θ1",Modelos!$AY$49:$BG$49,0))*R28+INDEX(Modelos!$AY$49:$BG$64,MATCH(Projeçao!N$2,Modelos!$AZ$49:$AZ$64,0),MATCH("θ2",Modelos!$AY$49:$BG$49,0))*R27+INDEX(Modelos!$AY$49:$BG$64,MATCH(Projeçao!N$2,Modelos!$AZ$49:$AZ$64,0),MATCH("θ3",Modelos!$AY$49:$BG$49,0))*R26+INDEX(Modelos!$AY$49:$BG$64,MATCH(Projeçao!N$2,Modelos!$AZ$49:$AZ$64,0),MATCH("c",Modelos!$AY$49:$BG$49,0))</f>
        <v>0.57347027757426161</v>
      </c>
      <c r="P29" s="6">
        <f t="shared" ref="P29" ca="1" si="64">$K29-L29</f>
        <v>0.30036547493479671</v>
      </c>
      <c r="Q29" s="6">
        <f t="shared" ref="Q29" ca="1" si="65">$K29-M29</f>
        <v>-0.40506792250639101</v>
      </c>
      <c r="R29" s="6">
        <f t="shared" ref="R29" ca="1" si="66">$K29-N29</f>
        <v>-0.59957886205141964</v>
      </c>
      <c r="T29" s="6">
        <f ca="1">INDEX(Dados!$I:$N,MATCH($A29,Dados!$A:$A,0),MATCH(T$2,Dados!$I$2:$N$2,0))</f>
        <v>1.131925953423929</v>
      </c>
      <c r="U29" s="6">
        <f ca="1">INDEX(Modelos!$AY$68:$BG$83,MATCH(Projeçao!U$2,Modelos!$AZ$68:$AZ$83,0),MATCH("β1",Modelos!$AY$68:$BG$68,0))*$T28+INDEX(Modelos!$AY$68:$BG$83,MATCH(Projeçao!U$2,Modelos!$AZ$68:$AZ$83,0),MATCH("β2",Modelos!$AY$68:$BG$68,0))*$T27+INDEX(Modelos!$AY$68:$BG$83,MATCH(Projeçao!U$2,Modelos!$AZ$68:$AZ$83,0),MATCH("β3",Modelos!$AY$68:$BG$68,0))*$T26+INDEX(Modelos!$AY$68:$BG$83,MATCH(Projeçao!U$2,Modelos!$AZ$68:$AZ$83,0),MATCH("θ1",Modelos!$AY$68:$BG$68,0))*Y28+INDEX(Modelos!$AY$68:$BG$83,MATCH(Projeçao!U$2,Modelos!$AZ$68:$AZ$83,0),MATCH("θ2",Modelos!$AY$68:$BG$68,0))*Y27+INDEX(Modelos!$AY$68:$BG$83,MATCH(Projeçao!U$2,Modelos!$AZ$68:$AZ$83,0),MATCH("θ3",Modelos!$AY$68:$BG$68,0))*Y26+INDEX(Modelos!$AY$68:$BG$83,MATCH(Projeçao!U$2,Modelos!$AZ$68:$AZ$83,0),MATCH("c",Modelos!$AY$68:$BG$68,0))</f>
        <v>0.22439195410143881</v>
      </c>
      <c r="V29" s="6">
        <f ca="1">INDEX(Modelos!$AY$68:$BG$83,MATCH(Projeçao!V$2,Modelos!$AZ$68:$AZ$83,0),MATCH("β1",Modelos!$AY$68:$BG$68,0))*$T28+INDEX(Modelos!$AY$68:$BG$83,MATCH(Projeçao!V$2,Modelos!$AZ$68:$AZ$83,0),MATCH("β2",Modelos!$AY$68:$BG$68,0))*$T27+INDEX(Modelos!$AY$68:$BG$83,MATCH(Projeçao!V$2,Modelos!$AZ$68:$AZ$83,0),MATCH("β3",Modelos!$AY$68:$BG$68,0))*$T26+INDEX(Modelos!$AY$68:$BG$83,MATCH(Projeçao!V$2,Modelos!$AZ$68:$AZ$83,0),MATCH("θ1",Modelos!$AY$68:$BG$68,0))*Z28+INDEX(Modelos!$AY$68:$BG$83,MATCH(Projeçao!V$2,Modelos!$AZ$68:$AZ$83,0),MATCH("θ2",Modelos!$AY$68:$BG$68,0))*Z27+INDEX(Modelos!$AY$68:$BG$83,MATCH(Projeçao!V$2,Modelos!$AZ$68:$AZ$83,0),MATCH("θ3",Modelos!$AY$68:$BG$68,0))*Z26+INDEX(Modelos!$AY$68:$BG$83,MATCH(Projeçao!V$2,Modelos!$AZ$68:$AZ$83,0),MATCH("c",Modelos!$AY$68:$BG$68,0))</f>
        <v>-0.26108151043030869</v>
      </c>
      <c r="W29" s="6">
        <f ca="1">INDEX(Modelos!$AY$68:$BG$83,MATCH(Projeçao!W$2,Modelos!$AZ$68:$AZ$83,0),MATCH("β1",Modelos!$AY$68:$BG$68,0))*$T28+INDEX(Modelos!$AY$68:$BG$83,MATCH(Projeçao!W$2,Modelos!$AZ$68:$AZ$83,0),MATCH("β2",Modelos!$AY$68:$BG$68,0))*$T27+INDEX(Modelos!$AY$68:$BG$83,MATCH(Projeçao!W$2,Modelos!$AZ$68:$AZ$83,0),MATCH("β3",Modelos!$AY$68:$BG$68,0))*$T26+INDEX(Modelos!$AY$68:$BG$83,MATCH(Projeçao!W$2,Modelos!$AZ$68:$AZ$83,0),MATCH("θ1",Modelos!$AY$68:$BG$68,0))*AA28+INDEX(Modelos!$AY$68:$BG$83,MATCH(Projeçao!W$2,Modelos!$AZ$68:$AZ$83,0),MATCH("θ2",Modelos!$AY$68:$BG$68,0))*AA27+INDEX(Modelos!$AY$68:$BG$83,MATCH(Projeçao!W$2,Modelos!$AZ$68:$AZ$83,0),MATCH("θ3",Modelos!$AY$68:$BG$68,0))*AA26+INDEX(Modelos!$AY$68:$BG$83,MATCH(Projeçao!W$2,Modelos!$AZ$68:$AZ$83,0),MATCH("c",Modelos!$AY$68:$BG$68,0))</f>
        <v>0.40762492337116107</v>
      </c>
      <c r="Y29" s="6">
        <f t="shared" ref="Y29" ca="1" si="67">$T29-U29</f>
        <v>0.90753399932249024</v>
      </c>
      <c r="Z29" s="6">
        <f t="shared" ref="Z29" ca="1" si="68">$T29-V29</f>
        <v>1.3930074638542376</v>
      </c>
      <c r="AA29" s="6">
        <f t="shared" ref="AA29" ca="1" si="69">$T29-W29</f>
        <v>0.72430103005276791</v>
      </c>
    </row>
    <row r="30" spans="1:27" x14ac:dyDescent="0.15">
      <c r="A30" s="8">
        <f t="shared" si="10"/>
        <v>44561</v>
      </c>
      <c r="B30" s="6"/>
      <c r="C30" s="19">
        <f ca="1">INDEX(Modelos!$AY$30:$BG$45,MATCH(Projeçao!C$2,Modelos!$AZ$49:$AZ$64,0),MATCH("β1",Modelos!$AY$30:$BG$30,0))*C29+INDEX(Modelos!$AY$30:$BG$45,MATCH(Projeçao!C$2,Modelos!$AZ$49:$AZ$64,0),MATCH("β2",Modelos!$AY$30:$BG$30,0))*C28+INDEX(Modelos!$AY$30:$BG$45,MATCH(Projeçao!C$2,Modelos!$AZ$49:$AZ$64,0),MATCH("β3",Modelos!$AY$30:$BG$30,0))*C27+INDEX(Modelos!$AY$30:$BG$45,MATCH(Projeçao!C$2,Modelos!$AZ$49:$AZ$64,0),MATCH("θ1",Modelos!$AY$30:$BG$30,0))*G29+INDEX(Modelos!$AY$30:$BG$45,MATCH(Projeçao!C$2,Modelos!$AZ$49:$AZ$64,0),MATCH("θ2",Modelos!$AY$30:$BG$30,0))*G28+INDEX(Modelos!$AY$30:$BG$45,MATCH(Projeçao!C$2,Modelos!$AZ$49:$AZ$64,0),MATCH("θ3",Modelos!$AY$30:$BG$30,0))*G27+INDEX(Modelos!$AY$30:$BG$45,MATCH(Projeçao!C$2,Modelos!$AZ$49:$AZ$64,0),MATCH("c",Modelos!$AY$30:$BG$30,0))+G30</f>
        <v>0.95077979568987847</v>
      </c>
      <c r="D30" s="19">
        <f ca="1">INDEX(Modelos!$AY$30:$BG$45,MATCH(Projeçao!D$2,Modelos!$AZ$49:$AZ$64,0),MATCH("β1",Modelos!$AY$30:$BG$30,0))*D29+INDEX(Modelos!$AY$30:$BG$45,MATCH(Projeçao!D$2,Modelos!$AZ$49:$AZ$64,0),MATCH("β2",Modelos!$AY$30:$BG$30,0))*D28+INDEX(Modelos!$AY$30:$BG$45,MATCH(Projeçao!D$2,Modelos!$AZ$49:$AZ$64,0),MATCH("β3",Modelos!$AY$30:$BG$30,0))*D27+INDEX(Modelos!$AY$30:$BG$45,MATCH(Projeçao!D$2,Modelos!$AZ$49:$AZ$64,0),MATCH("θ1",Modelos!$AY$30:$BG$30,0))*H29+INDEX(Modelos!$AY$30:$BG$45,MATCH(Projeçao!D$2,Modelos!$AZ$49:$AZ$64,0),MATCH("θ2",Modelos!$AY$30:$BG$30,0))*H28+INDEX(Modelos!$AY$30:$BG$45,MATCH(Projeçao!D$2,Modelos!$AZ$49:$AZ$64,0),MATCH("θ3",Modelos!$AY$30:$BG$30,0))*H27+INDEX(Modelos!$AY$30:$BG$45,MATCH(Projeçao!D$2,Modelos!$AZ$49:$AZ$64,0),MATCH("c",Modelos!$AY$30:$BG$30,0))+H30</f>
        <v>3.9014189882347101</v>
      </c>
      <c r="E30" s="19">
        <f ca="1">INDEX(Modelos!$AY$30:$BG$45,MATCH(Projeçao!E$2,Modelos!$AZ$49:$AZ$64,0),MATCH("β1",Modelos!$AY$30:$BG$30,0))*E29+INDEX(Modelos!$AY$30:$BG$45,MATCH(Projeçao!E$2,Modelos!$AZ$49:$AZ$64,0),MATCH("β2",Modelos!$AY$30:$BG$30,0))*E28+INDEX(Modelos!$AY$30:$BG$45,MATCH(Projeçao!E$2,Modelos!$AZ$49:$AZ$64,0),MATCH("β3",Modelos!$AY$30:$BG$30,0))*E27+INDEX(Modelos!$AY$30:$BG$45,MATCH(Projeçao!E$2,Modelos!$AZ$49:$AZ$64,0),MATCH("θ1",Modelos!$AY$30:$BG$30,0))*I29+INDEX(Modelos!$AY$30:$BG$45,MATCH(Projeçao!E$2,Modelos!$AZ$49:$AZ$64,0),MATCH("θ2",Modelos!$AY$30:$BG$30,0))*I28+INDEX(Modelos!$AY$30:$BG$45,MATCH(Projeçao!E$2,Modelos!$AZ$49:$AZ$64,0),MATCH("θ3",Modelos!$AY$30:$BG$30,0))*I27+INDEX(Modelos!$AY$30:$BG$45,MATCH(Projeçao!E$2,Modelos!$AZ$49:$AZ$64,0),MATCH("c",Modelos!$AY$30:$BG$30,0))+I30</f>
        <v>5.3502379799341355</v>
      </c>
      <c r="G30" s="10"/>
      <c r="H30" s="10"/>
      <c r="I30" s="10"/>
      <c r="K30" s="6"/>
      <c r="L30" s="6">
        <f ca="1">INDEX(Modelos!$AY$49:$BG$64,MATCH(Projeçao!L$2,Modelos!$AZ$49:$AZ$64,0),MATCH("β1",Modelos!$AY$49:$BG$49,0))*L29+INDEX(Modelos!$AY$49:$BG$64,MATCH(Projeçao!L$2,Modelos!$AZ$49:$AZ$64,0),MATCH("β2",Modelos!$AY$49:$BG$49,0))*L28+INDEX(Modelos!$AY$49:$BG$64,MATCH(Projeçao!L$2,Modelos!$AZ$49:$AZ$64,0),MATCH("β3",Modelos!$AY$49:$BG$49,0))*L27+INDEX(Modelos!$AY$49:$BG$64,MATCH(Projeçao!L$2,Modelos!$AZ$49:$AZ$64,0),MATCH("θ1",Modelos!$AY$49:$BG$49,0))*P29+INDEX(Modelos!$AY$49:$BG$64,MATCH(Projeçao!L$2,Modelos!$AZ$49:$AZ$64,0),MATCH("θ2",Modelos!$AY$49:$BG$49,0))*P28+INDEX(Modelos!$AY$49:$BG$64,MATCH(Projeçao!L$2,Modelos!$AZ$49:$AZ$64,0),MATCH("θ3",Modelos!$AY$49:$BG$49,0))*P27+INDEX(Modelos!$AY$49:$BG$64,MATCH(Projeçao!L$2,Modelos!$AZ$49:$AZ$64,0),MATCH("c",Modelos!$AY$49:$BG$49,0))+P30</f>
        <v>0.64774700125691353</v>
      </c>
      <c r="M30" s="6">
        <f ca="1">INDEX(Modelos!$AY$49:$BG$64,MATCH(Projeçao!M$2,Modelos!$AZ$49:$AZ$64,0),MATCH("β1",Modelos!$AY$49:$BG$49,0))*M29+INDEX(Modelos!$AY$49:$BG$64,MATCH(Projeçao!M$2,Modelos!$AZ$49:$AZ$64,0),MATCH("β2",Modelos!$AY$49:$BG$49,0))*M28+INDEX(Modelos!$AY$49:$BG$64,MATCH(Projeçao!M$2,Modelos!$AZ$49:$AZ$64,0),MATCH("β3",Modelos!$AY$49:$BG$49,0))*M27+INDEX(Modelos!$AY$49:$BG$64,MATCH(Projeçao!M$2,Modelos!$AZ$49:$AZ$64,0),MATCH("θ1",Modelos!$AY$49:$BG$49,0))*Q29+INDEX(Modelos!$AY$49:$BG$64,MATCH(Projeçao!M$2,Modelos!$AZ$49:$AZ$64,0),MATCH("θ2",Modelos!$AY$49:$BG$49,0))*Q28+INDEX(Modelos!$AY$49:$BG$64,MATCH(Projeçao!M$2,Modelos!$AZ$49:$AZ$64,0),MATCH("θ3",Modelos!$AY$49:$BG$49,0))*Q27+INDEX(Modelos!$AY$49:$BG$64,MATCH(Projeçao!M$2,Modelos!$AZ$49:$AZ$64,0),MATCH("c",Modelos!$AY$49:$BG$49,0))+Q30</f>
        <v>0.68902468262386818</v>
      </c>
      <c r="N30" s="6">
        <f ca="1">INDEX(Modelos!$AY$49:$BG$64,MATCH(Projeçao!N$2,Modelos!$AZ$49:$AZ$64,0),MATCH("β1",Modelos!$AY$49:$BG$49,0))*N29+INDEX(Modelos!$AY$49:$BG$64,MATCH(Projeçao!N$2,Modelos!$AZ$49:$AZ$64,0),MATCH("β2",Modelos!$AY$49:$BG$49,0))*N28+INDEX(Modelos!$AY$49:$BG$64,MATCH(Projeçao!N$2,Modelos!$AZ$49:$AZ$64,0),MATCH("β3",Modelos!$AY$49:$BG$49,0))*N27+INDEX(Modelos!$AY$49:$BG$64,MATCH(Projeçao!N$2,Modelos!$AZ$49:$AZ$64,0),MATCH("θ1",Modelos!$AY$49:$BG$49,0))*R29+INDEX(Modelos!$AY$49:$BG$64,MATCH(Projeçao!N$2,Modelos!$AZ$49:$AZ$64,0),MATCH("θ2",Modelos!$AY$49:$BG$49,0))*R28+INDEX(Modelos!$AY$49:$BG$64,MATCH(Projeçao!N$2,Modelos!$AZ$49:$AZ$64,0),MATCH("θ3",Modelos!$AY$49:$BG$49,0))*R27+INDEX(Modelos!$AY$49:$BG$64,MATCH(Projeçao!N$2,Modelos!$AZ$49:$AZ$64,0),MATCH("c",Modelos!$AY$49:$BG$49,0))+R30</f>
        <v>-1.4266159834725742</v>
      </c>
      <c r="P30" s="60"/>
      <c r="Q30" s="10"/>
      <c r="R30" s="20">
        <v>-1.5</v>
      </c>
      <c r="T30" s="6"/>
      <c r="U30" s="6">
        <f ca="1">INDEX(Modelos!$AY$68:$BG$83,MATCH(Projeçao!U$2,Modelos!$AZ$68:$AZ$83,0),MATCH("β1",Modelos!$AY$68:$BG$68,0))*U29+INDEX(Modelos!$AY$68:$BG$83,MATCH(Projeçao!U$2,Modelos!$AZ$68:$AZ$83,0),MATCH("β2",Modelos!$AY$68:$BG$68,0))*U28+INDEX(Modelos!$AY$68:$BG$83,MATCH(Projeçao!U$2,Modelos!$AZ$68:$AZ$83,0),MATCH("β3",Modelos!$AY$68:$BG$68,0))*U27+INDEX(Modelos!$AY$68:$BG$83,MATCH(Projeçao!U$2,Modelos!$AZ$68:$AZ$83,0),MATCH("θ1",Modelos!$AY$68:$BG$68,0))*Y29+INDEX(Modelos!$AY$68:$BG$83,MATCH(Projeçao!U$2,Modelos!$AZ$68:$AZ$83,0),MATCH("θ2",Modelos!$AY$68:$BG$68,0))*Y28+INDEX(Modelos!$AY$68:$BG$83,MATCH(Projeçao!U$2,Modelos!$AZ$68:$AZ$83,0),MATCH("θ3",Modelos!$AY$68:$BG$68,0))*Y27+INDEX(Modelos!$AY$68:$BG$83,MATCH(Projeçao!U$2,Modelos!$AZ$68:$AZ$83,0),MATCH("c",Modelos!$AY$68:$BG$68,0))+Y30</f>
        <v>-0.58610296545515195</v>
      </c>
      <c r="V30" s="6">
        <f ca="1">INDEX(Modelos!$AY$68:$BG$83,MATCH(Projeçao!V$2,Modelos!$AZ$68:$AZ$83,0),MATCH("β1",Modelos!$AY$68:$BG$68,0))*$T29+INDEX(Modelos!$AY$68:$BG$83,MATCH(Projeçao!V$2,Modelos!$AZ$68:$AZ$83,0),MATCH("β2",Modelos!$AY$68:$BG$68,0))*$T28+INDEX(Modelos!$AY$68:$BG$83,MATCH(Projeçao!V$2,Modelos!$AZ$68:$AZ$83,0),MATCH("β3",Modelos!$AY$68:$BG$68,0))*$T27+INDEX(Modelos!$AY$68:$BG$83,MATCH(Projeçao!V$2,Modelos!$AZ$68:$AZ$83,0),MATCH("θ1",Modelos!$AY$68:$BG$68,0))*Z29+INDEX(Modelos!$AY$68:$BG$83,MATCH(Projeçao!V$2,Modelos!$AZ$68:$AZ$83,0),MATCH("θ2",Modelos!$AY$68:$BG$68,0))*Z28+INDEX(Modelos!$AY$68:$BG$83,MATCH(Projeçao!V$2,Modelos!$AZ$68:$AZ$83,0),MATCH("θ3",Modelos!$AY$68:$BG$68,0))*Z27+INDEX(Modelos!$AY$68:$BG$83,MATCH(Projeçao!V$2,Modelos!$AZ$68:$AZ$83,0),MATCH("c",Modelos!$AY$68:$BG$68,0))</f>
        <v>1.6910240666012386</v>
      </c>
      <c r="W30" s="6">
        <f ca="1">INDEX(Modelos!$AY$68:$BG$83,MATCH(Projeçao!W$2,Modelos!$AZ$68:$AZ$83,0),MATCH("β1",Modelos!$AY$68:$BG$68,0))*W29+INDEX(Modelos!$AY$68:$BG$83,MATCH(Projeçao!W$2,Modelos!$AZ$68:$AZ$83,0),MATCH("β2",Modelos!$AY$68:$BG$68,0))*W28+INDEX(Modelos!$AY$68:$BG$83,MATCH(Projeçao!W$2,Modelos!$AZ$68:$AZ$83,0),MATCH("β3",Modelos!$AY$68:$BG$68,0))*W27+INDEX(Modelos!$AY$68:$BG$83,MATCH(Projeçao!W$2,Modelos!$AZ$68:$AZ$83,0),MATCH("θ1",Modelos!$AY$68:$BG$68,0))*AA29+INDEX(Modelos!$AY$68:$BG$83,MATCH(Projeçao!W$2,Modelos!$AZ$68:$AZ$83,0),MATCH("θ2",Modelos!$AY$68:$BG$68,0))*AA28+INDEX(Modelos!$AY$68:$BG$83,MATCH(Projeçao!W$2,Modelos!$AZ$68:$AZ$83,0),MATCH("θ3",Modelos!$AY$68:$BG$68,0))*AA27+INDEX(Modelos!$AY$68:$BG$83,MATCH(Projeçao!W$2,Modelos!$AZ$68:$AZ$83,0),MATCH("c",Modelos!$AY$68:$BG$68,0))+AA30</f>
        <v>-3.6368849443316336</v>
      </c>
      <c r="Y30" s="20">
        <v>-1</v>
      </c>
      <c r="Z30" s="20"/>
      <c r="AA30" s="20"/>
    </row>
    <row r="31" spans="1:27" x14ac:dyDescent="0.15">
      <c r="A31" s="8">
        <f t="shared" si="10"/>
        <v>44651</v>
      </c>
      <c r="B31" s="6"/>
      <c r="C31" s="19">
        <f ca="1">INDEX(Modelos!$AY$30:$BG$45,MATCH(Projeçao!C$2,Modelos!$AZ$49:$AZ$64,0),MATCH("β1",Modelos!$AY$30:$BG$30,0))*C30+INDEX(Modelos!$AY$30:$BG$45,MATCH(Projeçao!C$2,Modelos!$AZ$49:$AZ$64,0),MATCH("β2",Modelos!$AY$30:$BG$30,0))*C29+INDEX(Modelos!$AY$30:$BG$45,MATCH(Projeçao!C$2,Modelos!$AZ$49:$AZ$64,0),MATCH("β3",Modelos!$AY$30:$BG$30,0))*C28+INDEX(Modelos!$AY$30:$BG$45,MATCH(Projeçao!C$2,Modelos!$AZ$49:$AZ$64,0),MATCH("θ1",Modelos!$AY$30:$BG$30,0))*G30+INDEX(Modelos!$AY$30:$BG$45,MATCH(Projeçao!C$2,Modelos!$AZ$49:$AZ$64,0),MATCH("θ2",Modelos!$AY$30:$BG$30,0))*G29+INDEX(Modelos!$AY$30:$BG$45,MATCH(Projeçao!C$2,Modelos!$AZ$49:$AZ$64,0),MATCH("θ3",Modelos!$AY$30:$BG$30,0))*G28+INDEX(Modelos!$AY$30:$BG$45,MATCH(Projeçao!C$2,Modelos!$AZ$49:$AZ$64,0),MATCH("c",Modelos!$AY$30:$BG$30,0))+G31</f>
        <v>2.5682880704882476</v>
      </c>
      <c r="D31" s="19">
        <f ca="1">INDEX(Modelos!$AY$30:$BG$45,MATCH(Projeçao!D$2,Modelos!$AZ$49:$AZ$64,0),MATCH("β1",Modelos!$AY$30:$BG$30,0))*D30+INDEX(Modelos!$AY$30:$BG$45,MATCH(Projeçao!D$2,Modelos!$AZ$49:$AZ$64,0),MATCH("β2",Modelos!$AY$30:$BG$30,0))*D29+INDEX(Modelos!$AY$30:$BG$45,MATCH(Projeçao!D$2,Modelos!$AZ$49:$AZ$64,0),MATCH("β3",Modelos!$AY$30:$BG$30,0))*D28+INDEX(Modelos!$AY$30:$BG$45,MATCH(Projeçao!D$2,Modelos!$AZ$49:$AZ$64,0),MATCH("θ1",Modelos!$AY$30:$BG$30,0))*H30+INDEX(Modelos!$AY$30:$BG$45,MATCH(Projeçao!D$2,Modelos!$AZ$49:$AZ$64,0),MATCH("θ2",Modelos!$AY$30:$BG$30,0))*H29+INDEX(Modelos!$AY$30:$BG$45,MATCH(Projeçao!D$2,Modelos!$AZ$49:$AZ$64,0),MATCH("θ3",Modelos!$AY$30:$BG$30,0))*H28+INDEX(Modelos!$AY$30:$BG$45,MATCH(Projeçao!D$2,Modelos!$AZ$49:$AZ$64,0),MATCH("c",Modelos!$AY$30:$BG$30,0))+H31</f>
        <v>2.2006166601421606</v>
      </c>
      <c r="E31" s="19">
        <f ca="1">INDEX(Modelos!$AY$30:$BG$45,MATCH(Projeçao!E$2,Modelos!$AZ$49:$AZ$64,0),MATCH("β1",Modelos!$AY$30:$BG$30,0))*E30+INDEX(Modelos!$AY$30:$BG$45,MATCH(Projeçao!E$2,Modelos!$AZ$49:$AZ$64,0),MATCH("β2",Modelos!$AY$30:$BG$30,0))*E29+INDEX(Modelos!$AY$30:$BG$45,MATCH(Projeçao!E$2,Modelos!$AZ$49:$AZ$64,0),MATCH("β3",Modelos!$AY$30:$BG$30,0))*E28+INDEX(Modelos!$AY$30:$BG$45,MATCH(Projeçao!E$2,Modelos!$AZ$49:$AZ$64,0),MATCH("θ1",Modelos!$AY$30:$BG$30,0))*I30+INDEX(Modelos!$AY$30:$BG$45,MATCH(Projeçao!E$2,Modelos!$AZ$49:$AZ$64,0),MATCH("θ2",Modelos!$AY$30:$BG$30,0))*I29+INDEX(Modelos!$AY$30:$BG$45,MATCH(Projeçao!E$2,Modelos!$AZ$49:$AZ$64,0),MATCH("θ3",Modelos!$AY$30:$BG$30,0))*I28+INDEX(Modelos!$AY$30:$BG$45,MATCH(Projeçao!E$2,Modelos!$AZ$49:$AZ$64,0),MATCH("c",Modelos!$AY$30:$BG$30,0))+I31</f>
        <v>1.7186038539173758</v>
      </c>
      <c r="G31" s="20"/>
      <c r="H31" s="10"/>
      <c r="I31" s="10"/>
      <c r="K31" s="6"/>
      <c r="L31" s="6">
        <f ca="1">INDEX(Modelos!$AY$49:$BG$64,MATCH(Projeçao!L$2,Modelos!$AZ$49:$AZ$64,0),MATCH("β1",Modelos!$AY$49:$BG$49,0))*L30+INDEX(Modelos!$AY$49:$BG$64,MATCH(Projeçao!L$2,Modelos!$AZ$49:$AZ$64,0),MATCH("β2",Modelos!$AY$49:$BG$49,0))*L29+INDEX(Modelos!$AY$49:$BG$64,MATCH(Projeçao!L$2,Modelos!$AZ$49:$AZ$64,0),MATCH("β3",Modelos!$AY$49:$BG$49,0))*L28+INDEX(Modelos!$AY$49:$BG$64,MATCH(Projeçao!L$2,Modelos!$AZ$49:$AZ$64,0),MATCH("θ1",Modelos!$AY$49:$BG$49,0))*P30+INDEX(Modelos!$AY$49:$BG$64,MATCH(Projeçao!L$2,Modelos!$AZ$49:$AZ$64,0),MATCH("θ2",Modelos!$AY$49:$BG$49,0))*P29+INDEX(Modelos!$AY$49:$BG$64,MATCH(Projeçao!L$2,Modelos!$AZ$49:$AZ$64,0),MATCH("θ3",Modelos!$AY$49:$BG$49,0))*P28+INDEX(Modelos!$AY$49:$BG$64,MATCH(Projeçao!L$2,Modelos!$AZ$49:$AZ$64,0),MATCH("c",Modelos!$AY$49:$BG$49,0))+P31</f>
        <v>0.12368716991579354</v>
      </c>
      <c r="M31" s="6">
        <f ca="1">INDEX(Modelos!$AY$49:$BG$64,MATCH(Projeçao!M$2,Modelos!$AZ$49:$AZ$64,0),MATCH("β1",Modelos!$AY$49:$BG$49,0))*M30+INDEX(Modelos!$AY$49:$BG$64,MATCH(Projeçao!M$2,Modelos!$AZ$49:$AZ$64,0),MATCH("β2",Modelos!$AY$49:$BG$49,0))*M29+INDEX(Modelos!$AY$49:$BG$64,MATCH(Projeçao!M$2,Modelos!$AZ$49:$AZ$64,0),MATCH("β3",Modelos!$AY$49:$BG$49,0))*M28+INDEX(Modelos!$AY$49:$BG$64,MATCH(Projeçao!M$2,Modelos!$AZ$49:$AZ$64,0),MATCH("θ1",Modelos!$AY$49:$BG$49,0))*Q30+INDEX(Modelos!$AY$49:$BG$64,MATCH(Projeçao!M$2,Modelos!$AZ$49:$AZ$64,0),MATCH("θ2",Modelos!$AY$49:$BG$49,0))*Q29+INDEX(Modelos!$AY$49:$BG$64,MATCH(Projeçao!M$2,Modelos!$AZ$49:$AZ$64,0),MATCH("θ3",Modelos!$AY$49:$BG$49,0))*Q28+INDEX(Modelos!$AY$49:$BG$64,MATCH(Projeçao!M$2,Modelos!$AZ$49:$AZ$64,0),MATCH("c",Modelos!$AY$49:$BG$49,0))+Q31</f>
        <v>0.30488611762153672</v>
      </c>
      <c r="N31" s="6">
        <f ca="1">INDEX(Modelos!$AY$49:$BG$64,MATCH(Projeçao!N$2,Modelos!$AZ$49:$AZ$64,0),MATCH("β1",Modelos!$AY$49:$BG$49,0))*N30+INDEX(Modelos!$AY$49:$BG$64,MATCH(Projeçao!N$2,Modelos!$AZ$49:$AZ$64,0),MATCH("β2",Modelos!$AY$49:$BG$49,0))*N29+INDEX(Modelos!$AY$49:$BG$64,MATCH(Projeçao!N$2,Modelos!$AZ$49:$AZ$64,0),MATCH("β3",Modelos!$AY$49:$BG$49,0))*N28+INDEX(Modelos!$AY$49:$BG$64,MATCH(Projeçao!N$2,Modelos!$AZ$49:$AZ$64,0),MATCH("θ1",Modelos!$AY$49:$BG$49,0))*R30+INDEX(Modelos!$AY$49:$BG$64,MATCH(Projeçao!N$2,Modelos!$AZ$49:$AZ$64,0),MATCH("θ2",Modelos!$AY$49:$BG$49,0))*R29+INDEX(Modelos!$AY$49:$BG$64,MATCH(Projeçao!N$2,Modelos!$AZ$49:$AZ$64,0),MATCH("θ3",Modelos!$AY$49:$BG$49,0))*R28+INDEX(Modelos!$AY$49:$BG$64,MATCH(Projeçao!N$2,Modelos!$AZ$49:$AZ$64,0),MATCH("c",Modelos!$AY$49:$BG$49,0))+R31</f>
        <v>6.8478544203624647E-2</v>
      </c>
      <c r="P31" s="60"/>
      <c r="Q31" s="10"/>
      <c r="R31" s="20">
        <v>-0.75</v>
      </c>
      <c r="T31" s="6"/>
      <c r="U31" s="6">
        <f ca="1">INDEX(Modelos!$AY$68:$BG$83,MATCH(Projeçao!U$2,Modelos!$AZ$68:$AZ$83,0),MATCH("β1",Modelos!$AY$68:$BG$68,0))*U30+INDEX(Modelos!$AY$68:$BG$83,MATCH(Projeçao!U$2,Modelos!$AZ$68:$AZ$83,0),MATCH("β2",Modelos!$AY$68:$BG$68,0))*U29+INDEX(Modelos!$AY$68:$BG$83,MATCH(Projeçao!U$2,Modelos!$AZ$68:$AZ$83,0),MATCH("β3",Modelos!$AY$68:$BG$68,0))*U28+INDEX(Modelos!$AY$68:$BG$83,MATCH(Projeçao!U$2,Modelos!$AZ$68:$AZ$83,0),MATCH("θ1",Modelos!$AY$68:$BG$68,0))*Y30+INDEX(Modelos!$AY$68:$BG$83,MATCH(Projeçao!U$2,Modelos!$AZ$68:$AZ$83,0),MATCH("θ2",Modelos!$AY$68:$BG$68,0))*Y29+INDEX(Modelos!$AY$68:$BG$83,MATCH(Projeçao!U$2,Modelos!$AZ$68:$AZ$83,0),MATCH("θ3",Modelos!$AY$68:$BG$68,0))*Y28+INDEX(Modelos!$AY$68:$BG$83,MATCH(Projeçao!U$2,Modelos!$AZ$68:$AZ$83,0),MATCH("c",Modelos!$AY$68:$BG$68,0))+Y31</f>
        <v>4.469118244562087E-2</v>
      </c>
      <c r="V31" s="6">
        <f ca="1">INDEX(Modelos!$AY$68:$BG$83,MATCH(Projeçao!V$2,Modelos!$AZ$68:$AZ$83,0),MATCH("β1",Modelos!$AY$68:$BG$68,0))*$T30+INDEX(Modelos!$AY$68:$BG$83,MATCH(Projeçao!V$2,Modelos!$AZ$68:$AZ$83,0),MATCH("β2",Modelos!$AY$68:$BG$68,0))*$T29+INDEX(Modelos!$AY$68:$BG$83,MATCH(Projeçao!V$2,Modelos!$AZ$68:$AZ$83,0),MATCH("β3",Modelos!$AY$68:$BG$68,0))*$T28+INDEX(Modelos!$AY$68:$BG$83,MATCH(Projeçao!V$2,Modelos!$AZ$68:$AZ$83,0),MATCH("θ1",Modelos!$AY$68:$BG$68,0))*Z30+INDEX(Modelos!$AY$68:$BG$83,MATCH(Projeçao!V$2,Modelos!$AZ$68:$AZ$83,0),MATCH("θ2",Modelos!$AY$68:$BG$68,0))*Z29+INDEX(Modelos!$AY$68:$BG$83,MATCH(Projeçao!V$2,Modelos!$AZ$68:$AZ$83,0),MATCH("θ3",Modelos!$AY$68:$BG$68,0))*Z28+INDEX(Modelos!$AY$68:$BG$83,MATCH(Projeçao!V$2,Modelos!$AZ$68:$AZ$83,0),MATCH("c",Modelos!$AY$68:$BG$68,0))</f>
        <v>0.91487546463472147</v>
      </c>
      <c r="W31" s="6">
        <f ca="1">INDEX(Modelos!$AY$68:$BG$83,MATCH(Projeçao!W$2,Modelos!$AZ$68:$AZ$83,0),MATCH("β1",Modelos!$AY$68:$BG$68,0))*W30+INDEX(Modelos!$AY$68:$BG$83,MATCH(Projeçao!W$2,Modelos!$AZ$68:$AZ$83,0),MATCH("β2",Modelos!$AY$68:$BG$68,0))*W29+INDEX(Modelos!$AY$68:$BG$83,MATCH(Projeçao!W$2,Modelos!$AZ$68:$AZ$83,0),MATCH("β3",Modelos!$AY$68:$BG$68,0))*W28+INDEX(Modelos!$AY$68:$BG$83,MATCH(Projeçao!W$2,Modelos!$AZ$68:$AZ$83,0),MATCH("θ1",Modelos!$AY$68:$BG$68,0))*AA30+INDEX(Modelos!$AY$68:$BG$83,MATCH(Projeçao!W$2,Modelos!$AZ$68:$AZ$83,0),MATCH("θ2",Modelos!$AY$68:$BG$68,0))*AA29+INDEX(Modelos!$AY$68:$BG$83,MATCH(Projeçao!W$2,Modelos!$AZ$68:$AZ$83,0),MATCH("θ3",Modelos!$AY$68:$BG$68,0))*AA28+INDEX(Modelos!$AY$68:$BG$83,MATCH(Projeçao!W$2,Modelos!$AZ$68:$AZ$83,0),MATCH("c",Modelos!$AY$68:$BG$68,0))+AA31</f>
        <v>8.5674194977443534</v>
      </c>
      <c r="Y31" s="20">
        <v>-0.75</v>
      </c>
      <c r="Z31" s="20"/>
      <c r="AA31" s="20"/>
    </row>
    <row r="32" spans="1:27" x14ac:dyDescent="0.15">
      <c r="A32" s="8">
        <f t="shared" si="10"/>
        <v>44742</v>
      </c>
      <c r="B32" s="6"/>
      <c r="C32" s="19">
        <f ca="1">INDEX(Modelos!$AY$30:$BG$45,MATCH(Projeçao!C$2,Modelos!$AZ$49:$AZ$64,0),MATCH("β1",Modelos!$AY$30:$BG$30,0))*C31+INDEX(Modelos!$AY$30:$BG$45,MATCH(Projeçao!C$2,Modelos!$AZ$49:$AZ$64,0),MATCH("β2",Modelos!$AY$30:$BG$30,0))*C30+INDEX(Modelos!$AY$30:$BG$45,MATCH(Projeçao!C$2,Modelos!$AZ$49:$AZ$64,0),MATCH("β3",Modelos!$AY$30:$BG$30,0))*C29+INDEX(Modelos!$AY$30:$BG$45,MATCH(Projeçao!C$2,Modelos!$AZ$49:$AZ$64,0),MATCH("θ1",Modelos!$AY$30:$BG$30,0))*G31+INDEX(Modelos!$AY$30:$BG$45,MATCH(Projeçao!C$2,Modelos!$AZ$49:$AZ$64,0),MATCH("θ2",Modelos!$AY$30:$BG$30,0))*G30+INDEX(Modelos!$AY$30:$BG$45,MATCH(Projeçao!C$2,Modelos!$AZ$49:$AZ$64,0),MATCH("θ3",Modelos!$AY$30:$BG$30,0))*G29+INDEX(Modelos!$AY$30:$BG$45,MATCH(Projeçao!C$2,Modelos!$AZ$49:$AZ$64,0),MATCH("c",Modelos!$AY$30:$BG$30,0))+G32</f>
        <v>-0.30164478543431561</v>
      </c>
      <c r="D32" s="19">
        <f ca="1">INDEX(Modelos!$AY$30:$BG$45,MATCH(Projeçao!D$2,Modelos!$AZ$49:$AZ$64,0),MATCH("β1",Modelos!$AY$30:$BG$30,0))*D31+INDEX(Modelos!$AY$30:$BG$45,MATCH(Projeçao!D$2,Modelos!$AZ$49:$AZ$64,0),MATCH("β2",Modelos!$AY$30:$BG$30,0))*D30+INDEX(Modelos!$AY$30:$BG$45,MATCH(Projeçao!D$2,Modelos!$AZ$49:$AZ$64,0),MATCH("β3",Modelos!$AY$30:$BG$30,0))*D29+INDEX(Modelos!$AY$30:$BG$45,MATCH(Projeçao!D$2,Modelos!$AZ$49:$AZ$64,0),MATCH("θ1",Modelos!$AY$30:$BG$30,0))*H31+INDEX(Modelos!$AY$30:$BG$45,MATCH(Projeçao!D$2,Modelos!$AZ$49:$AZ$64,0),MATCH("θ2",Modelos!$AY$30:$BG$30,0))*H30+INDEX(Modelos!$AY$30:$BG$45,MATCH(Projeçao!D$2,Modelos!$AZ$49:$AZ$64,0),MATCH("θ3",Modelos!$AY$30:$BG$30,0))*H29+INDEX(Modelos!$AY$30:$BG$45,MATCH(Projeçao!D$2,Modelos!$AZ$49:$AZ$64,0),MATCH("c",Modelos!$AY$30:$BG$30,0))+H32</f>
        <v>1.6209919139520887</v>
      </c>
      <c r="E32" s="19">
        <f ca="1">INDEX(Modelos!$AY$30:$BG$45,MATCH(Projeçao!E$2,Modelos!$AZ$49:$AZ$64,0),MATCH("β1",Modelos!$AY$30:$BG$30,0))*E31+INDEX(Modelos!$AY$30:$BG$45,MATCH(Projeçao!E$2,Modelos!$AZ$49:$AZ$64,0),MATCH("β2",Modelos!$AY$30:$BG$30,0))*E30+INDEX(Modelos!$AY$30:$BG$45,MATCH(Projeçao!E$2,Modelos!$AZ$49:$AZ$64,0),MATCH("β3",Modelos!$AY$30:$BG$30,0))*E29+INDEX(Modelos!$AY$30:$BG$45,MATCH(Projeçao!E$2,Modelos!$AZ$49:$AZ$64,0),MATCH("θ1",Modelos!$AY$30:$BG$30,0))*I31+INDEX(Modelos!$AY$30:$BG$45,MATCH(Projeçao!E$2,Modelos!$AZ$49:$AZ$64,0),MATCH("θ2",Modelos!$AY$30:$BG$30,0))*I30+INDEX(Modelos!$AY$30:$BG$45,MATCH(Projeçao!E$2,Modelos!$AZ$49:$AZ$64,0),MATCH("θ3",Modelos!$AY$30:$BG$30,0))*I29+INDEX(Modelos!$AY$30:$BG$45,MATCH(Projeçao!E$2,Modelos!$AZ$49:$AZ$64,0),MATCH("c",Modelos!$AY$30:$BG$30,0))+I32</f>
        <v>2.5768625984533333E-2</v>
      </c>
      <c r="G32" s="20"/>
      <c r="H32" s="10"/>
      <c r="I32" s="10"/>
      <c r="K32" s="6"/>
      <c r="L32" s="6">
        <f ca="1">INDEX(Modelos!$AY$49:$BG$64,MATCH(Projeçao!L$2,Modelos!$AZ$49:$AZ$64,0),MATCH("β1",Modelos!$AY$49:$BG$49,0))*L31+INDEX(Modelos!$AY$49:$BG$64,MATCH(Projeçao!L$2,Modelos!$AZ$49:$AZ$64,0),MATCH("β2",Modelos!$AY$49:$BG$49,0))*L30+INDEX(Modelos!$AY$49:$BG$64,MATCH(Projeçao!L$2,Modelos!$AZ$49:$AZ$64,0),MATCH("β3",Modelos!$AY$49:$BG$49,0))*L29+INDEX(Modelos!$AY$49:$BG$64,MATCH(Projeçao!L$2,Modelos!$AZ$49:$AZ$64,0),MATCH("θ1",Modelos!$AY$49:$BG$49,0))*P31+INDEX(Modelos!$AY$49:$BG$64,MATCH(Projeçao!L$2,Modelos!$AZ$49:$AZ$64,0),MATCH("θ2",Modelos!$AY$49:$BG$49,0))*P30+INDEX(Modelos!$AY$49:$BG$64,MATCH(Projeçao!L$2,Modelos!$AZ$49:$AZ$64,0),MATCH("θ3",Modelos!$AY$49:$BG$49,0))*P29+INDEX(Modelos!$AY$49:$BG$64,MATCH(Projeçao!L$2,Modelos!$AZ$49:$AZ$64,0),MATCH("c",Modelos!$AY$49:$BG$49,0))+P32</f>
        <v>0.27050886439597138</v>
      </c>
      <c r="M32" s="6">
        <f ca="1">INDEX(Modelos!$AY$49:$BG$64,MATCH(Projeçao!M$2,Modelos!$AZ$49:$AZ$64,0),MATCH("β1",Modelos!$AY$49:$BG$49,0))*M31+INDEX(Modelos!$AY$49:$BG$64,MATCH(Projeçao!M$2,Modelos!$AZ$49:$AZ$64,0),MATCH("β2",Modelos!$AY$49:$BG$49,0))*M30+INDEX(Modelos!$AY$49:$BG$64,MATCH(Projeçao!M$2,Modelos!$AZ$49:$AZ$64,0),MATCH("β3",Modelos!$AY$49:$BG$49,0))*M29+INDEX(Modelos!$AY$49:$BG$64,MATCH(Projeçao!M$2,Modelos!$AZ$49:$AZ$64,0),MATCH("θ1",Modelos!$AY$49:$BG$49,0))*Q31+INDEX(Modelos!$AY$49:$BG$64,MATCH(Projeçao!M$2,Modelos!$AZ$49:$AZ$64,0),MATCH("θ2",Modelos!$AY$49:$BG$49,0))*Q30+INDEX(Modelos!$AY$49:$BG$64,MATCH(Projeçao!M$2,Modelos!$AZ$49:$AZ$64,0),MATCH("θ3",Modelos!$AY$49:$BG$49,0))*Q29+INDEX(Modelos!$AY$49:$BG$64,MATCH(Projeçao!M$2,Modelos!$AZ$49:$AZ$64,0),MATCH("c",Modelos!$AY$49:$BG$49,0))+Q32</f>
        <v>0.26097969892493067</v>
      </c>
      <c r="N32" s="6">
        <f ca="1">INDEX(Modelos!$AY$49:$BG$64,MATCH(Projeçao!N$2,Modelos!$AZ$49:$AZ$64,0),MATCH("β1",Modelos!$AY$49:$BG$49,0))*N31+INDEX(Modelos!$AY$49:$BG$64,MATCH(Projeçao!N$2,Modelos!$AZ$49:$AZ$64,0),MATCH("β2",Modelos!$AY$49:$BG$49,0))*N30+INDEX(Modelos!$AY$49:$BG$64,MATCH(Projeçao!N$2,Modelos!$AZ$49:$AZ$64,0),MATCH("β3",Modelos!$AY$49:$BG$49,0))*N29+INDEX(Modelos!$AY$49:$BG$64,MATCH(Projeçao!N$2,Modelos!$AZ$49:$AZ$64,0),MATCH("θ1",Modelos!$AY$49:$BG$49,0))*R31+INDEX(Modelos!$AY$49:$BG$64,MATCH(Projeçao!N$2,Modelos!$AZ$49:$AZ$64,0),MATCH("θ2",Modelos!$AY$49:$BG$49,0))*R30+INDEX(Modelos!$AY$49:$BG$64,MATCH(Projeçao!N$2,Modelos!$AZ$49:$AZ$64,0),MATCH("θ3",Modelos!$AY$49:$BG$49,0))*R29+INDEX(Modelos!$AY$49:$BG$64,MATCH(Projeçao!N$2,Modelos!$AZ$49:$AZ$64,0),MATCH("c",Modelos!$AY$49:$BG$49,0))+R32</f>
        <v>-0.39819124835466607</v>
      </c>
      <c r="P32" s="10"/>
      <c r="Q32" s="10"/>
      <c r="R32" s="20">
        <v>-0.5</v>
      </c>
      <c r="T32" s="6"/>
      <c r="U32" s="6">
        <f ca="1">INDEX(Modelos!$AY$68:$BG$83,MATCH(Projeçao!U$2,Modelos!$AZ$68:$AZ$83,0),MATCH("β1",Modelos!$AY$68:$BG$68,0))*U31+INDEX(Modelos!$AY$68:$BG$83,MATCH(Projeçao!U$2,Modelos!$AZ$68:$AZ$83,0),MATCH("β2",Modelos!$AY$68:$BG$68,0))*U30+INDEX(Modelos!$AY$68:$BG$83,MATCH(Projeçao!U$2,Modelos!$AZ$68:$AZ$83,0),MATCH("β3",Modelos!$AY$68:$BG$68,0))*U29+INDEX(Modelos!$AY$68:$BG$83,MATCH(Projeçao!U$2,Modelos!$AZ$68:$AZ$83,0),MATCH("θ1",Modelos!$AY$68:$BG$68,0))*Y31+INDEX(Modelos!$AY$68:$BG$83,MATCH(Projeçao!U$2,Modelos!$AZ$68:$AZ$83,0),MATCH("θ2",Modelos!$AY$68:$BG$68,0))*Y30+INDEX(Modelos!$AY$68:$BG$83,MATCH(Projeçao!U$2,Modelos!$AZ$68:$AZ$83,0),MATCH("θ3",Modelos!$AY$68:$BG$68,0))*Y29+INDEX(Modelos!$AY$68:$BG$83,MATCH(Projeçao!U$2,Modelos!$AZ$68:$AZ$83,0),MATCH("c",Modelos!$AY$68:$BG$68,0))+Y32</f>
        <v>7.6992023359692019E-2</v>
      </c>
      <c r="V32" s="6">
        <f ca="1">INDEX(Modelos!$AY$68:$BG$83,MATCH(Projeçao!V$2,Modelos!$AZ$68:$AZ$83,0),MATCH("β1",Modelos!$AY$68:$BG$68,0))*$T31+INDEX(Modelos!$AY$68:$BG$83,MATCH(Projeçao!V$2,Modelos!$AZ$68:$AZ$83,0),MATCH("β2",Modelos!$AY$68:$BG$68,0))*$T30+INDEX(Modelos!$AY$68:$BG$83,MATCH(Projeçao!V$2,Modelos!$AZ$68:$AZ$83,0),MATCH("β3",Modelos!$AY$68:$BG$68,0))*$T29+INDEX(Modelos!$AY$68:$BG$83,MATCH(Projeçao!V$2,Modelos!$AZ$68:$AZ$83,0),MATCH("θ1",Modelos!$AY$68:$BG$68,0))*Z31+INDEX(Modelos!$AY$68:$BG$83,MATCH(Projeçao!V$2,Modelos!$AZ$68:$AZ$83,0),MATCH("θ2",Modelos!$AY$68:$BG$68,0))*Z30+INDEX(Modelos!$AY$68:$BG$83,MATCH(Projeçao!V$2,Modelos!$AZ$68:$AZ$83,0),MATCH("θ3",Modelos!$AY$68:$BG$68,0))*Z29+INDEX(Modelos!$AY$68:$BG$83,MATCH(Projeçao!V$2,Modelos!$AZ$68:$AZ$83,0),MATCH("c",Modelos!$AY$68:$BG$68,0))</f>
        <v>0.58362319402417939</v>
      </c>
      <c r="W32" s="6">
        <f ca="1">INDEX(Modelos!$AY$68:$BG$83,MATCH(Projeçao!W$2,Modelos!$AZ$68:$AZ$83,0),MATCH("β1",Modelos!$AY$68:$BG$68,0))*W31+INDEX(Modelos!$AY$68:$BG$83,MATCH(Projeçao!W$2,Modelos!$AZ$68:$AZ$83,0),MATCH("β2",Modelos!$AY$68:$BG$68,0))*W30+INDEX(Modelos!$AY$68:$BG$83,MATCH(Projeçao!W$2,Modelos!$AZ$68:$AZ$83,0),MATCH("β3",Modelos!$AY$68:$BG$68,0))*W29+INDEX(Modelos!$AY$68:$BG$83,MATCH(Projeçao!W$2,Modelos!$AZ$68:$AZ$83,0),MATCH("θ1",Modelos!$AY$68:$BG$68,0))*AA31+INDEX(Modelos!$AY$68:$BG$83,MATCH(Projeçao!W$2,Modelos!$AZ$68:$AZ$83,0),MATCH("θ2",Modelos!$AY$68:$BG$68,0))*AA30+INDEX(Modelos!$AY$68:$BG$83,MATCH(Projeçao!W$2,Modelos!$AZ$68:$AZ$83,0),MATCH("θ3",Modelos!$AY$68:$BG$68,0))*AA29+INDEX(Modelos!$AY$68:$BG$83,MATCH(Projeçao!W$2,Modelos!$AZ$68:$AZ$83,0),MATCH("c",Modelos!$AY$68:$BG$68,0))+AA32</f>
        <v>-6.35998434161242</v>
      </c>
      <c r="Y32" s="20">
        <v>-0.25</v>
      </c>
      <c r="Z32" s="20"/>
      <c r="AA32" s="20"/>
    </row>
    <row r="33" spans="1:27" x14ac:dyDescent="0.15">
      <c r="A33" s="8">
        <f t="shared" si="10"/>
        <v>44834</v>
      </c>
      <c r="B33" s="6"/>
      <c r="C33" s="19">
        <f ca="1">INDEX(Modelos!$AY$30:$BG$45,MATCH(Projeçao!C$2,Modelos!$AZ$49:$AZ$64,0),MATCH("β1",Modelos!$AY$30:$BG$30,0))*C32+INDEX(Modelos!$AY$30:$BG$45,MATCH(Projeçao!C$2,Modelos!$AZ$49:$AZ$64,0),MATCH("β2",Modelos!$AY$30:$BG$30,0))*C31+INDEX(Modelos!$AY$30:$BG$45,MATCH(Projeçao!C$2,Modelos!$AZ$49:$AZ$64,0),MATCH("β3",Modelos!$AY$30:$BG$30,0))*C30+INDEX(Modelos!$AY$30:$BG$45,MATCH(Projeçao!C$2,Modelos!$AZ$49:$AZ$64,0),MATCH("θ1",Modelos!$AY$30:$BG$30,0))*G32+INDEX(Modelos!$AY$30:$BG$45,MATCH(Projeçao!C$2,Modelos!$AZ$49:$AZ$64,0),MATCH("θ2",Modelos!$AY$30:$BG$30,0))*G31+INDEX(Modelos!$AY$30:$BG$45,MATCH(Projeçao!C$2,Modelos!$AZ$49:$AZ$64,0),MATCH("θ3",Modelos!$AY$30:$BG$30,0))*G30+INDEX(Modelos!$AY$30:$BG$45,MATCH(Projeçao!C$2,Modelos!$AZ$49:$AZ$64,0),MATCH("c",Modelos!$AY$30:$BG$30,0))+G33</f>
        <v>-0.37016886117199443</v>
      </c>
      <c r="D33" s="19">
        <f ca="1">INDEX(Modelos!$AY$30:$BG$45,MATCH(Projeçao!D$2,Modelos!$AZ$49:$AZ$64,0),MATCH("β1",Modelos!$AY$30:$BG$30,0))*D32+INDEX(Modelos!$AY$30:$BG$45,MATCH(Projeçao!D$2,Modelos!$AZ$49:$AZ$64,0),MATCH("β2",Modelos!$AY$30:$BG$30,0))*D31+INDEX(Modelos!$AY$30:$BG$45,MATCH(Projeçao!D$2,Modelos!$AZ$49:$AZ$64,0),MATCH("β3",Modelos!$AY$30:$BG$30,0))*D30+INDEX(Modelos!$AY$30:$BG$45,MATCH(Projeçao!D$2,Modelos!$AZ$49:$AZ$64,0),MATCH("θ1",Modelos!$AY$30:$BG$30,0))*H32+INDEX(Modelos!$AY$30:$BG$45,MATCH(Projeçao!D$2,Modelos!$AZ$49:$AZ$64,0),MATCH("θ2",Modelos!$AY$30:$BG$30,0))*H31+INDEX(Modelos!$AY$30:$BG$45,MATCH(Projeçao!D$2,Modelos!$AZ$49:$AZ$64,0),MATCH("θ3",Modelos!$AY$30:$BG$30,0))*H30+INDEX(Modelos!$AY$30:$BG$45,MATCH(Projeçao!D$2,Modelos!$AZ$49:$AZ$64,0),MATCH("c",Modelos!$AY$30:$BG$30,0))+H33</f>
        <v>1.9615567742979592</v>
      </c>
      <c r="E33" s="19">
        <f ca="1">INDEX(Modelos!$AY$30:$BG$45,MATCH(Projeçao!E$2,Modelos!$AZ$49:$AZ$64,0),MATCH("β1",Modelos!$AY$30:$BG$30,0))*E32+INDEX(Modelos!$AY$30:$BG$45,MATCH(Projeçao!E$2,Modelos!$AZ$49:$AZ$64,0),MATCH("β2",Modelos!$AY$30:$BG$30,0))*E31+INDEX(Modelos!$AY$30:$BG$45,MATCH(Projeçao!E$2,Modelos!$AZ$49:$AZ$64,0),MATCH("β3",Modelos!$AY$30:$BG$30,0))*E30+INDEX(Modelos!$AY$30:$BG$45,MATCH(Projeçao!E$2,Modelos!$AZ$49:$AZ$64,0),MATCH("θ1",Modelos!$AY$30:$BG$30,0))*I32+INDEX(Modelos!$AY$30:$BG$45,MATCH(Projeçao!E$2,Modelos!$AZ$49:$AZ$64,0),MATCH("θ2",Modelos!$AY$30:$BG$30,0))*I31+INDEX(Modelos!$AY$30:$BG$45,MATCH(Projeçao!E$2,Modelos!$AZ$49:$AZ$64,0),MATCH("θ3",Modelos!$AY$30:$BG$30,0))*I30+INDEX(Modelos!$AY$30:$BG$45,MATCH(Projeçao!E$2,Modelos!$AZ$49:$AZ$64,0),MATCH("c",Modelos!$AY$30:$BG$30,0))+I33</f>
        <v>1.1186976366392112</v>
      </c>
      <c r="G33" s="10"/>
      <c r="H33" s="10"/>
      <c r="I33" s="10"/>
      <c r="K33" s="6"/>
      <c r="L33" s="6">
        <f ca="1">INDEX(Modelos!$AY$49:$BG$64,MATCH(Projeçao!L$2,Modelos!$AZ$49:$AZ$64,0),MATCH("β1",Modelos!$AY$49:$BG$49,0))*L32+INDEX(Modelos!$AY$49:$BG$64,MATCH(Projeçao!L$2,Modelos!$AZ$49:$AZ$64,0),MATCH("β2",Modelos!$AY$49:$BG$49,0))*L31+INDEX(Modelos!$AY$49:$BG$64,MATCH(Projeçao!L$2,Modelos!$AZ$49:$AZ$64,0),MATCH("β3",Modelos!$AY$49:$BG$49,0))*L30+INDEX(Modelos!$AY$49:$BG$64,MATCH(Projeçao!L$2,Modelos!$AZ$49:$AZ$64,0),MATCH("θ1",Modelos!$AY$49:$BG$49,0))*P32+INDEX(Modelos!$AY$49:$BG$64,MATCH(Projeçao!L$2,Modelos!$AZ$49:$AZ$64,0),MATCH("θ2",Modelos!$AY$49:$BG$49,0))*P31+INDEX(Modelos!$AY$49:$BG$64,MATCH(Projeçao!L$2,Modelos!$AZ$49:$AZ$64,0),MATCH("θ3",Modelos!$AY$49:$BG$49,0))*P30+INDEX(Modelos!$AY$49:$BG$64,MATCH(Projeçao!L$2,Modelos!$AZ$49:$AZ$64,0),MATCH("c",Modelos!$AY$49:$BG$49,0))+P33</f>
        <v>0.25551045166171038</v>
      </c>
      <c r="M33" s="6">
        <f ca="1">INDEX(Modelos!$AY$49:$BG$64,MATCH(Projeçao!M$2,Modelos!$AZ$49:$AZ$64,0),MATCH("β1",Modelos!$AY$49:$BG$49,0))*M32+INDEX(Modelos!$AY$49:$BG$64,MATCH(Projeçao!M$2,Modelos!$AZ$49:$AZ$64,0),MATCH("β2",Modelos!$AY$49:$BG$49,0))*M31+INDEX(Modelos!$AY$49:$BG$64,MATCH(Projeçao!M$2,Modelos!$AZ$49:$AZ$64,0),MATCH("β3",Modelos!$AY$49:$BG$49,0))*M30+INDEX(Modelos!$AY$49:$BG$64,MATCH(Projeçao!M$2,Modelos!$AZ$49:$AZ$64,0),MATCH("θ1",Modelos!$AY$49:$BG$49,0))*Q32+INDEX(Modelos!$AY$49:$BG$64,MATCH(Projeçao!M$2,Modelos!$AZ$49:$AZ$64,0),MATCH("θ2",Modelos!$AY$49:$BG$49,0))*Q31+INDEX(Modelos!$AY$49:$BG$64,MATCH(Projeçao!M$2,Modelos!$AZ$49:$AZ$64,0),MATCH("θ3",Modelos!$AY$49:$BG$49,0))*Q30+INDEX(Modelos!$AY$49:$BG$64,MATCH(Projeçao!M$2,Modelos!$AZ$49:$AZ$64,0),MATCH("c",Modelos!$AY$49:$BG$49,0))+Q33</f>
        <v>0.26404100812739262</v>
      </c>
      <c r="N33" s="6">
        <f ca="1">INDEX(Modelos!$AY$49:$BG$64,MATCH(Projeçao!N$2,Modelos!$AZ$49:$AZ$64,0),MATCH("β1",Modelos!$AY$49:$BG$49,0))*N32+INDEX(Modelos!$AY$49:$BG$64,MATCH(Projeçao!N$2,Modelos!$AZ$49:$AZ$64,0),MATCH("β2",Modelos!$AY$49:$BG$49,0))*N31+INDEX(Modelos!$AY$49:$BG$64,MATCH(Projeçao!N$2,Modelos!$AZ$49:$AZ$64,0),MATCH("β3",Modelos!$AY$49:$BG$49,0))*N30+INDEX(Modelos!$AY$49:$BG$64,MATCH(Projeçao!N$2,Modelos!$AZ$49:$AZ$64,0),MATCH("θ1",Modelos!$AY$49:$BG$49,0))*R32+INDEX(Modelos!$AY$49:$BG$64,MATCH(Projeçao!N$2,Modelos!$AZ$49:$AZ$64,0),MATCH("θ2",Modelos!$AY$49:$BG$49,0))*R31+INDEX(Modelos!$AY$49:$BG$64,MATCH(Projeçao!N$2,Modelos!$AZ$49:$AZ$64,0),MATCH("θ3",Modelos!$AY$49:$BG$49,0))*R30+INDEX(Modelos!$AY$49:$BG$64,MATCH(Projeçao!N$2,Modelos!$AZ$49:$AZ$64,0),MATCH("c",Modelos!$AY$49:$BG$49,0))+R33</f>
        <v>0.11285068961994138</v>
      </c>
      <c r="P33" s="10"/>
      <c r="Q33" s="10"/>
      <c r="R33" s="20">
        <v>-0.25</v>
      </c>
      <c r="T33" s="6"/>
      <c r="U33" s="6">
        <f ca="1">INDEX(Modelos!$AY$68:$BG$83,MATCH(Projeçao!U$2,Modelos!$AZ$68:$AZ$83,0),MATCH("β1",Modelos!$AY$68:$BG$68,0))*U32+INDEX(Modelos!$AY$68:$BG$83,MATCH(Projeçao!U$2,Modelos!$AZ$68:$AZ$83,0),MATCH("β2",Modelos!$AY$68:$BG$68,0))*U31+INDEX(Modelos!$AY$68:$BG$83,MATCH(Projeçao!U$2,Modelos!$AZ$68:$AZ$83,0),MATCH("β3",Modelos!$AY$68:$BG$68,0))*U30+INDEX(Modelos!$AY$68:$BG$83,MATCH(Projeçao!U$2,Modelos!$AZ$68:$AZ$83,0),MATCH("θ1",Modelos!$AY$68:$BG$68,0))*Y32+INDEX(Modelos!$AY$68:$BG$83,MATCH(Projeçao!U$2,Modelos!$AZ$68:$AZ$83,0),MATCH("θ2",Modelos!$AY$68:$BG$68,0))*Y31+INDEX(Modelos!$AY$68:$BG$83,MATCH(Projeçao!U$2,Modelos!$AZ$68:$AZ$83,0),MATCH("θ3",Modelos!$AY$68:$BG$68,0))*Y30+INDEX(Modelos!$AY$68:$BG$83,MATCH(Projeçao!U$2,Modelos!$AZ$68:$AZ$83,0),MATCH("c",Modelos!$AY$68:$BG$68,0))+Y33</f>
        <v>0.41398623172416582</v>
      </c>
      <c r="V33" s="6">
        <f>INDEX(Modelos!$AY$68:$BG$83,MATCH(Projeçao!V$2,Modelos!$AZ$68:$AZ$83,0),MATCH("β1",Modelos!$AY$68:$BG$68,0))*$T32+INDEX(Modelos!$AY$68:$BG$83,MATCH(Projeçao!V$2,Modelos!$AZ$68:$AZ$83,0),MATCH("β2",Modelos!$AY$68:$BG$68,0))*$T31+INDEX(Modelos!$AY$68:$BG$83,MATCH(Projeçao!V$2,Modelos!$AZ$68:$AZ$83,0),MATCH("β3",Modelos!$AY$68:$BG$68,0))*$T30+INDEX(Modelos!$AY$68:$BG$83,MATCH(Projeçao!V$2,Modelos!$AZ$68:$AZ$83,0),MATCH("θ1",Modelos!$AY$68:$BG$68,0))*Z32+INDEX(Modelos!$AY$68:$BG$83,MATCH(Projeçao!V$2,Modelos!$AZ$68:$AZ$83,0),MATCH("θ2",Modelos!$AY$68:$BG$68,0))*Z31+INDEX(Modelos!$AY$68:$BG$83,MATCH(Projeçao!V$2,Modelos!$AZ$68:$AZ$83,0),MATCH("θ3",Modelos!$AY$68:$BG$68,0))*Z30+INDEX(Modelos!$AY$68:$BG$83,MATCH(Projeçao!V$2,Modelos!$AZ$68:$AZ$83,0),MATCH("c",Modelos!$AY$68:$BG$68,0))</f>
        <v>0.58362319402417939</v>
      </c>
      <c r="W33" s="6">
        <f ca="1">INDEX(Modelos!$AY$68:$BG$83,MATCH(Projeçao!W$2,Modelos!$AZ$68:$AZ$83,0),MATCH("β1",Modelos!$AY$68:$BG$68,0))*W32+INDEX(Modelos!$AY$68:$BG$83,MATCH(Projeçao!W$2,Modelos!$AZ$68:$AZ$83,0),MATCH("β2",Modelos!$AY$68:$BG$68,0))*W31+INDEX(Modelos!$AY$68:$BG$83,MATCH(Projeçao!W$2,Modelos!$AZ$68:$AZ$83,0),MATCH("β3",Modelos!$AY$68:$BG$68,0))*W30+INDEX(Modelos!$AY$68:$BG$83,MATCH(Projeçao!W$2,Modelos!$AZ$68:$AZ$83,0),MATCH("θ1",Modelos!$AY$68:$BG$68,0))*AA32+INDEX(Modelos!$AY$68:$BG$83,MATCH(Projeçao!W$2,Modelos!$AZ$68:$AZ$83,0),MATCH("θ2",Modelos!$AY$68:$BG$68,0))*AA31+INDEX(Modelos!$AY$68:$BG$83,MATCH(Projeçao!W$2,Modelos!$AZ$68:$AZ$83,0),MATCH("θ3",Modelos!$AY$68:$BG$68,0))*AA30+INDEX(Modelos!$AY$68:$BG$83,MATCH(Projeçao!W$2,Modelos!$AZ$68:$AZ$83,0),MATCH("c",Modelos!$AY$68:$BG$68,0))+AA33</f>
        <v>4.0790666189262437</v>
      </c>
      <c r="Y33" s="20"/>
      <c r="Z33" s="20"/>
      <c r="AA33" s="20"/>
    </row>
    <row r="34" spans="1:27" x14ac:dyDescent="0.15">
      <c r="A34" s="8">
        <f t="shared" si="10"/>
        <v>44926</v>
      </c>
      <c r="B34" s="6"/>
      <c r="C34" s="19">
        <f ca="1">INDEX(Modelos!$AY$30:$BG$45,MATCH(Projeçao!C$2,Modelos!$AZ$49:$AZ$64,0),MATCH("β1",Modelos!$AY$30:$BG$30,0))*C33+INDEX(Modelos!$AY$30:$BG$45,MATCH(Projeçao!C$2,Modelos!$AZ$49:$AZ$64,0),MATCH("β2",Modelos!$AY$30:$BG$30,0))*C32+INDEX(Modelos!$AY$30:$BG$45,MATCH(Projeçao!C$2,Modelos!$AZ$49:$AZ$64,0),MATCH("β3",Modelos!$AY$30:$BG$30,0))*C31+INDEX(Modelos!$AY$30:$BG$45,MATCH(Projeçao!C$2,Modelos!$AZ$49:$AZ$64,0),MATCH("θ1",Modelos!$AY$30:$BG$30,0))*G33+INDEX(Modelos!$AY$30:$BG$45,MATCH(Projeçao!C$2,Modelos!$AZ$49:$AZ$64,0),MATCH("θ2",Modelos!$AY$30:$BG$30,0))*G32+INDEX(Modelos!$AY$30:$BG$45,MATCH(Projeçao!C$2,Modelos!$AZ$49:$AZ$64,0),MATCH("θ3",Modelos!$AY$30:$BG$30,0))*G31+INDEX(Modelos!$AY$30:$BG$45,MATCH(Projeçao!C$2,Modelos!$AZ$49:$AZ$64,0),MATCH("c",Modelos!$AY$30:$BG$30,0))+G34</f>
        <v>1.2520528711498886</v>
      </c>
      <c r="D34" s="19">
        <f ca="1">INDEX(Modelos!$AY$30:$BG$45,MATCH(Projeçao!D$2,Modelos!$AZ$49:$AZ$64,0),MATCH("β1",Modelos!$AY$30:$BG$30,0))*D33+INDEX(Modelos!$AY$30:$BG$45,MATCH(Projeçao!D$2,Modelos!$AZ$49:$AZ$64,0),MATCH("β2",Modelos!$AY$30:$BG$30,0))*D32+INDEX(Modelos!$AY$30:$BG$45,MATCH(Projeçao!D$2,Modelos!$AZ$49:$AZ$64,0),MATCH("β3",Modelos!$AY$30:$BG$30,0))*D31+INDEX(Modelos!$AY$30:$BG$45,MATCH(Projeçao!D$2,Modelos!$AZ$49:$AZ$64,0),MATCH("θ1",Modelos!$AY$30:$BG$30,0))*H33+INDEX(Modelos!$AY$30:$BG$45,MATCH(Projeçao!D$2,Modelos!$AZ$49:$AZ$64,0),MATCH("θ2",Modelos!$AY$30:$BG$30,0))*H32+INDEX(Modelos!$AY$30:$BG$45,MATCH(Projeçao!D$2,Modelos!$AZ$49:$AZ$64,0),MATCH("θ3",Modelos!$AY$30:$BG$30,0))*H31+INDEX(Modelos!$AY$30:$BG$45,MATCH(Projeçao!D$2,Modelos!$AZ$49:$AZ$64,0),MATCH("c",Modelos!$AY$30:$BG$30,0))+H34</f>
        <v>1.7037112839462643</v>
      </c>
      <c r="E34" s="19">
        <f ca="1">INDEX(Modelos!$AY$30:$BG$45,MATCH(Projeçao!E$2,Modelos!$AZ$49:$AZ$64,0),MATCH("β1",Modelos!$AY$30:$BG$30,0))*E33+INDEX(Modelos!$AY$30:$BG$45,MATCH(Projeçao!E$2,Modelos!$AZ$49:$AZ$64,0),MATCH("β2",Modelos!$AY$30:$BG$30,0))*E32+INDEX(Modelos!$AY$30:$BG$45,MATCH(Projeçao!E$2,Modelos!$AZ$49:$AZ$64,0),MATCH("β3",Modelos!$AY$30:$BG$30,0))*E31+INDEX(Modelos!$AY$30:$BG$45,MATCH(Projeçao!E$2,Modelos!$AZ$49:$AZ$64,0),MATCH("θ1",Modelos!$AY$30:$BG$30,0))*I33+INDEX(Modelos!$AY$30:$BG$45,MATCH(Projeçao!E$2,Modelos!$AZ$49:$AZ$64,0),MATCH("θ2",Modelos!$AY$30:$BG$30,0))*I32+INDEX(Modelos!$AY$30:$BG$45,MATCH(Projeçao!E$2,Modelos!$AZ$49:$AZ$64,0),MATCH("θ3",Modelos!$AY$30:$BG$30,0))*I31+INDEX(Modelos!$AY$30:$BG$45,MATCH(Projeçao!E$2,Modelos!$AZ$49:$AZ$64,0),MATCH("c",Modelos!$AY$30:$BG$30,0))+I34</f>
        <v>0.89902545956899682</v>
      </c>
      <c r="G34" s="10"/>
      <c r="H34" s="10"/>
      <c r="I34" s="10"/>
      <c r="K34" s="6"/>
      <c r="L34" s="6">
        <f ca="1">INDEX(Modelos!$AY$49:$BG$64,MATCH(Projeçao!L$2,Modelos!$AZ$49:$AZ$64,0),MATCH("β1",Modelos!$AY$49:$BG$49,0))*L33+INDEX(Modelos!$AY$49:$BG$64,MATCH(Projeçao!L$2,Modelos!$AZ$49:$AZ$64,0),MATCH("β2",Modelos!$AY$49:$BG$49,0))*L32+INDEX(Modelos!$AY$49:$BG$64,MATCH(Projeçao!L$2,Modelos!$AZ$49:$AZ$64,0),MATCH("β3",Modelos!$AY$49:$BG$49,0))*L31+INDEX(Modelos!$AY$49:$BG$64,MATCH(Projeçao!L$2,Modelos!$AZ$49:$AZ$64,0),MATCH("θ1",Modelos!$AY$49:$BG$49,0))*P33+INDEX(Modelos!$AY$49:$BG$64,MATCH(Projeçao!L$2,Modelos!$AZ$49:$AZ$64,0),MATCH("θ2",Modelos!$AY$49:$BG$49,0))*P32+INDEX(Modelos!$AY$49:$BG$64,MATCH(Projeçao!L$2,Modelos!$AZ$49:$AZ$64,0),MATCH("θ3",Modelos!$AY$49:$BG$49,0))*P31+INDEX(Modelos!$AY$49:$BG$64,MATCH(Projeçao!L$2,Modelos!$AZ$49:$AZ$64,0),MATCH("c",Modelos!$AY$49:$BG$49,0))+P34</f>
        <v>0.25551045166171038</v>
      </c>
      <c r="M34" s="6">
        <f ca="1">INDEX(Modelos!$AY$49:$BG$64,MATCH(Projeçao!M$2,Modelos!$AZ$49:$AZ$64,0),MATCH("β1",Modelos!$AY$49:$BG$49,0))*M33+INDEX(Modelos!$AY$49:$BG$64,MATCH(Projeçao!M$2,Modelos!$AZ$49:$AZ$64,0),MATCH("β2",Modelos!$AY$49:$BG$49,0))*M32+INDEX(Modelos!$AY$49:$BG$64,MATCH(Projeçao!M$2,Modelos!$AZ$49:$AZ$64,0),MATCH("β3",Modelos!$AY$49:$BG$49,0))*M31+INDEX(Modelos!$AY$49:$BG$64,MATCH(Projeçao!M$2,Modelos!$AZ$49:$AZ$64,0),MATCH("θ1",Modelos!$AY$49:$BG$49,0))*Q33+INDEX(Modelos!$AY$49:$BG$64,MATCH(Projeçao!M$2,Modelos!$AZ$49:$AZ$64,0),MATCH("θ2",Modelos!$AY$49:$BG$49,0))*Q32+INDEX(Modelos!$AY$49:$BG$64,MATCH(Projeçao!M$2,Modelos!$AZ$49:$AZ$64,0),MATCH("θ3",Modelos!$AY$49:$BG$49,0))*Q31+INDEX(Modelos!$AY$49:$BG$64,MATCH(Projeçao!M$2,Modelos!$AZ$49:$AZ$64,0),MATCH("c",Modelos!$AY$49:$BG$49,0))+Q34</f>
        <v>0.18985637968971864</v>
      </c>
      <c r="N34" s="6">
        <f ca="1">INDEX(Modelos!$AY$49:$BG$64,MATCH(Projeçao!N$2,Modelos!$AZ$49:$AZ$64,0),MATCH("β1",Modelos!$AY$49:$BG$49,0))*N33+INDEX(Modelos!$AY$49:$BG$64,MATCH(Projeçao!N$2,Modelos!$AZ$49:$AZ$64,0),MATCH("β2",Modelos!$AY$49:$BG$49,0))*N32+INDEX(Modelos!$AY$49:$BG$64,MATCH(Projeçao!N$2,Modelos!$AZ$49:$AZ$64,0),MATCH("β3",Modelos!$AY$49:$BG$49,0))*N31+INDEX(Modelos!$AY$49:$BG$64,MATCH(Projeçao!N$2,Modelos!$AZ$49:$AZ$64,0),MATCH("θ1",Modelos!$AY$49:$BG$49,0))*R33+INDEX(Modelos!$AY$49:$BG$64,MATCH(Projeçao!N$2,Modelos!$AZ$49:$AZ$64,0),MATCH("θ2",Modelos!$AY$49:$BG$49,0))*R32+INDEX(Modelos!$AY$49:$BG$64,MATCH(Projeçao!N$2,Modelos!$AZ$49:$AZ$64,0),MATCH("θ3",Modelos!$AY$49:$BG$49,0))*R31+INDEX(Modelos!$AY$49:$BG$64,MATCH(Projeçao!N$2,Modelos!$AZ$49:$AZ$64,0),MATCH("c",Modelos!$AY$49:$BG$49,0))+R34</f>
        <v>0.16591486318844018</v>
      </c>
      <c r="P34" s="20"/>
      <c r="Q34" s="10"/>
      <c r="R34" s="10"/>
      <c r="T34" s="6"/>
      <c r="U34" s="6">
        <f ca="1">INDEX(Modelos!$AY$68:$BG$83,MATCH(Projeçao!U$2,Modelos!$AZ$68:$AZ$83,0),MATCH("β1",Modelos!$AY$68:$BG$68,0))*U33+INDEX(Modelos!$AY$68:$BG$83,MATCH(Projeçao!U$2,Modelos!$AZ$68:$AZ$83,0),MATCH("β2",Modelos!$AY$68:$BG$68,0))*U32+INDEX(Modelos!$AY$68:$BG$83,MATCH(Projeçao!U$2,Modelos!$AZ$68:$AZ$83,0),MATCH("β3",Modelos!$AY$68:$BG$68,0))*U31+INDEX(Modelos!$AY$68:$BG$83,MATCH(Projeçao!U$2,Modelos!$AZ$68:$AZ$83,0),MATCH("θ1",Modelos!$AY$68:$BG$68,0))*Y33+INDEX(Modelos!$AY$68:$BG$83,MATCH(Projeçao!U$2,Modelos!$AZ$68:$AZ$83,0),MATCH("θ2",Modelos!$AY$68:$BG$68,0))*Y32+INDEX(Modelos!$AY$68:$BG$83,MATCH(Projeçao!U$2,Modelos!$AZ$68:$AZ$83,0),MATCH("θ3",Modelos!$AY$68:$BG$68,0))*Y31+INDEX(Modelos!$AY$68:$BG$83,MATCH(Projeçao!U$2,Modelos!$AZ$68:$AZ$83,0),MATCH("c",Modelos!$AY$68:$BG$68,0))+Y34</f>
        <v>0.53114336924553829</v>
      </c>
      <c r="V34" s="6">
        <f>INDEX(Modelos!$AY$68:$BG$83,MATCH(Projeçao!V$2,Modelos!$AZ$68:$AZ$83,0),MATCH("β1",Modelos!$AY$68:$BG$68,0))*$T33+INDEX(Modelos!$AY$68:$BG$83,MATCH(Projeçao!V$2,Modelos!$AZ$68:$AZ$83,0),MATCH("β2",Modelos!$AY$68:$BG$68,0))*$T32+INDEX(Modelos!$AY$68:$BG$83,MATCH(Projeçao!V$2,Modelos!$AZ$68:$AZ$83,0),MATCH("β3",Modelos!$AY$68:$BG$68,0))*$T31+INDEX(Modelos!$AY$68:$BG$83,MATCH(Projeçao!V$2,Modelos!$AZ$68:$AZ$83,0),MATCH("θ1",Modelos!$AY$68:$BG$68,0))*Z33+INDEX(Modelos!$AY$68:$BG$83,MATCH(Projeçao!V$2,Modelos!$AZ$68:$AZ$83,0),MATCH("θ2",Modelos!$AY$68:$BG$68,0))*Z32+INDEX(Modelos!$AY$68:$BG$83,MATCH(Projeçao!V$2,Modelos!$AZ$68:$AZ$83,0),MATCH("θ3",Modelos!$AY$68:$BG$68,0))*Z31+INDEX(Modelos!$AY$68:$BG$83,MATCH(Projeçao!V$2,Modelos!$AZ$68:$AZ$83,0),MATCH("c",Modelos!$AY$68:$BG$68,0))</f>
        <v>0.58362319402417939</v>
      </c>
      <c r="W34" s="6">
        <f ca="1">INDEX(Modelos!$AY$68:$BG$83,MATCH(Projeçao!W$2,Modelos!$AZ$68:$AZ$83,0),MATCH("β1",Modelos!$AY$68:$BG$68,0))*W33+INDEX(Modelos!$AY$68:$BG$83,MATCH(Projeçao!W$2,Modelos!$AZ$68:$AZ$83,0),MATCH("β2",Modelos!$AY$68:$BG$68,0))*W32+INDEX(Modelos!$AY$68:$BG$83,MATCH(Projeçao!W$2,Modelos!$AZ$68:$AZ$83,0),MATCH("β3",Modelos!$AY$68:$BG$68,0))*W31+INDEX(Modelos!$AY$68:$BG$83,MATCH(Projeçao!W$2,Modelos!$AZ$68:$AZ$83,0),MATCH("θ1",Modelos!$AY$68:$BG$68,0))*AA33+INDEX(Modelos!$AY$68:$BG$83,MATCH(Projeçao!W$2,Modelos!$AZ$68:$AZ$83,0),MATCH("θ2",Modelos!$AY$68:$BG$68,0))*AA32+INDEX(Modelos!$AY$68:$BG$83,MATCH(Projeçao!W$2,Modelos!$AZ$68:$AZ$83,0),MATCH("θ3",Modelos!$AY$68:$BG$68,0))*AA31+INDEX(Modelos!$AY$68:$BG$83,MATCH(Projeçao!W$2,Modelos!$AZ$68:$AZ$83,0),MATCH("c",Modelos!$AY$68:$BG$68,0))+AA34</f>
        <v>2.1221133795240892</v>
      </c>
      <c r="Y34" s="20"/>
      <c r="Z34" s="20"/>
      <c r="AA34" s="20"/>
    </row>
    <row r="35" spans="1:27" x14ac:dyDescent="0.15">
      <c r="A35" s="8">
        <f t="shared" si="10"/>
        <v>45016</v>
      </c>
      <c r="B35" s="6"/>
      <c r="C35" s="19">
        <f ca="1">INDEX(Modelos!$AY$30:$BG$45,MATCH(Projeçao!C$2,Modelos!$AZ$49:$AZ$64,0),MATCH("β1",Modelos!$AY$30:$BG$30,0))*C34+INDEX(Modelos!$AY$30:$BG$45,MATCH(Projeçao!C$2,Modelos!$AZ$49:$AZ$64,0),MATCH("β2",Modelos!$AY$30:$BG$30,0))*C33+INDEX(Modelos!$AY$30:$BG$45,MATCH(Projeçao!C$2,Modelos!$AZ$49:$AZ$64,0),MATCH("β3",Modelos!$AY$30:$BG$30,0))*C32+INDEX(Modelos!$AY$30:$BG$45,MATCH(Projeçao!C$2,Modelos!$AZ$49:$AZ$64,0),MATCH("θ1",Modelos!$AY$30:$BG$30,0))*G34+INDEX(Modelos!$AY$30:$BG$45,MATCH(Projeçao!C$2,Modelos!$AZ$49:$AZ$64,0),MATCH("θ2",Modelos!$AY$30:$BG$30,0))*G33+INDEX(Modelos!$AY$30:$BG$45,MATCH(Projeçao!C$2,Modelos!$AZ$49:$AZ$64,0),MATCH("θ3",Modelos!$AY$30:$BG$30,0))*G32+INDEX(Modelos!$AY$30:$BG$45,MATCH(Projeçao!C$2,Modelos!$AZ$49:$AZ$64,0),MATCH("c",Modelos!$AY$30:$BG$30,0))+G35</f>
        <v>1.0785099869068908</v>
      </c>
      <c r="D35" s="19">
        <f ca="1">INDEX(Modelos!$AY$30:$BG$45,MATCH(Projeçao!D$2,Modelos!$AZ$49:$AZ$64,0),MATCH("β1",Modelos!$AY$30:$BG$30,0))*D34+INDEX(Modelos!$AY$30:$BG$45,MATCH(Projeçao!D$2,Modelos!$AZ$49:$AZ$64,0),MATCH("β2",Modelos!$AY$30:$BG$30,0))*D33+INDEX(Modelos!$AY$30:$BG$45,MATCH(Projeçao!D$2,Modelos!$AZ$49:$AZ$64,0),MATCH("β3",Modelos!$AY$30:$BG$30,0))*D32+INDEX(Modelos!$AY$30:$BG$45,MATCH(Projeçao!D$2,Modelos!$AZ$49:$AZ$64,0),MATCH("θ1",Modelos!$AY$30:$BG$30,0))*H34+INDEX(Modelos!$AY$30:$BG$45,MATCH(Projeçao!D$2,Modelos!$AZ$49:$AZ$64,0),MATCH("θ2",Modelos!$AY$30:$BG$30,0))*H33+INDEX(Modelos!$AY$30:$BG$45,MATCH(Projeçao!D$2,Modelos!$AZ$49:$AZ$64,0),MATCH("θ3",Modelos!$AY$30:$BG$30,0))*H32+INDEX(Modelos!$AY$30:$BG$45,MATCH(Projeçao!D$2,Modelos!$AZ$49:$AZ$64,0),MATCH("c",Modelos!$AY$30:$BG$30,0))+H35</f>
        <v>1.4888827529631405</v>
      </c>
      <c r="E35" s="19">
        <f ca="1">INDEX(Modelos!$AY$30:$BG$45,MATCH(Projeçao!E$2,Modelos!$AZ$49:$AZ$64,0),MATCH("β1",Modelos!$AY$30:$BG$30,0))*E34+INDEX(Modelos!$AY$30:$BG$45,MATCH(Projeçao!E$2,Modelos!$AZ$49:$AZ$64,0),MATCH("β2",Modelos!$AY$30:$BG$30,0))*E33+INDEX(Modelos!$AY$30:$BG$45,MATCH(Projeçao!E$2,Modelos!$AZ$49:$AZ$64,0),MATCH("β3",Modelos!$AY$30:$BG$30,0))*E32+INDEX(Modelos!$AY$30:$BG$45,MATCH(Projeçao!E$2,Modelos!$AZ$49:$AZ$64,0),MATCH("θ1",Modelos!$AY$30:$BG$30,0))*I34+INDEX(Modelos!$AY$30:$BG$45,MATCH(Projeçao!E$2,Modelos!$AZ$49:$AZ$64,0),MATCH("θ2",Modelos!$AY$30:$BG$30,0))*I33+INDEX(Modelos!$AY$30:$BG$45,MATCH(Projeçao!E$2,Modelos!$AZ$49:$AZ$64,0),MATCH("θ3",Modelos!$AY$30:$BG$30,0))*I32+INDEX(Modelos!$AY$30:$BG$45,MATCH(Projeçao!E$2,Modelos!$AZ$49:$AZ$64,0),MATCH("c",Modelos!$AY$30:$BG$30,0))+I35</f>
        <v>0.82467442133066937</v>
      </c>
      <c r="G35" s="10"/>
      <c r="H35" s="10"/>
      <c r="I35" s="10"/>
      <c r="K35" s="6"/>
      <c r="L35" s="6">
        <f ca="1">INDEX(Modelos!$AY$49:$BG$64,MATCH(Projeçao!L$2,Modelos!$AZ$49:$AZ$64,0),MATCH("β1",Modelos!$AY$49:$BG$49,0))*L34+INDEX(Modelos!$AY$49:$BG$64,MATCH(Projeçao!L$2,Modelos!$AZ$49:$AZ$64,0),MATCH("β2",Modelos!$AY$49:$BG$49,0))*L33+INDEX(Modelos!$AY$49:$BG$64,MATCH(Projeçao!L$2,Modelos!$AZ$49:$AZ$64,0),MATCH("β3",Modelos!$AY$49:$BG$49,0))*L32+INDEX(Modelos!$AY$49:$BG$64,MATCH(Projeçao!L$2,Modelos!$AZ$49:$AZ$64,0),MATCH("θ1",Modelos!$AY$49:$BG$49,0))*P34+INDEX(Modelos!$AY$49:$BG$64,MATCH(Projeçao!L$2,Modelos!$AZ$49:$AZ$64,0),MATCH("θ2",Modelos!$AY$49:$BG$49,0))*P33+INDEX(Modelos!$AY$49:$BG$64,MATCH(Projeçao!L$2,Modelos!$AZ$49:$AZ$64,0),MATCH("θ3",Modelos!$AY$49:$BG$49,0))*P32+INDEX(Modelos!$AY$49:$BG$64,MATCH(Projeçao!L$2,Modelos!$AZ$49:$AZ$64,0),MATCH("c",Modelos!$AY$49:$BG$49,0))+P35</f>
        <v>0.25551045166171038</v>
      </c>
      <c r="M35" s="6">
        <f ca="1">INDEX(Modelos!$AY$49:$BG$64,MATCH(Projeçao!M$2,Modelos!$AZ$49:$AZ$64,0),MATCH("β1",Modelos!$AY$49:$BG$49,0))*M34+INDEX(Modelos!$AY$49:$BG$64,MATCH(Projeçao!M$2,Modelos!$AZ$49:$AZ$64,0),MATCH("β2",Modelos!$AY$49:$BG$49,0))*M33+INDEX(Modelos!$AY$49:$BG$64,MATCH(Projeçao!M$2,Modelos!$AZ$49:$AZ$64,0),MATCH("β3",Modelos!$AY$49:$BG$49,0))*M32+INDEX(Modelos!$AY$49:$BG$64,MATCH(Projeçao!M$2,Modelos!$AZ$49:$AZ$64,0),MATCH("θ1",Modelos!$AY$49:$BG$49,0))*Q34+INDEX(Modelos!$AY$49:$BG$64,MATCH(Projeçao!M$2,Modelos!$AZ$49:$AZ$64,0),MATCH("θ2",Modelos!$AY$49:$BG$49,0))*Q33+INDEX(Modelos!$AY$49:$BG$64,MATCH(Projeçao!M$2,Modelos!$AZ$49:$AZ$64,0),MATCH("θ3",Modelos!$AY$49:$BG$49,0))*Q32+INDEX(Modelos!$AY$49:$BG$64,MATCH(Projeçao!M$2,Modelos!$AZ$49:$AZ$64,0),MATCH("c",Modelos!$AY$49:$BG$49,0))+Q35</f>
        <v>0.22083460230771107</v>
      </c>
      <c r="N35" s="6">
        <f ca="1">INDEX(Modelos!$AY$49:$BG$64,MATCH(Projeçao!N$2,Modelos!$AZ$49:$AZ$64,0),MATCH("β1",Modelos!$AY$49:$BG$49,0))*N34+INDEX(Modelos!$AY$49:$BG$64,MATCH(Projeçao!N$2,Modelos!$AZ$49:$AZ$64,0),MATCH("β2",Modelos!$AY$49:$BG$49,0))*N33+INDEX(Modelos!$AY$49:$BG$64,MATCH(Projeçao!N$2,Modelos!$AZ$49:$AZ$64,0),MATCH("β3",Modelos!$AY$49:$BG$49,0))*N32+INDEX(Modelos!$AY$49:$BG$64,MATCH(Projeçao!N$2,Modelos!$AZ$49:$AZ$64,0),MATCH("θ1",Modelos!$AY$49:$BG$49,0))*R34+INDEX(Modelos!$AY$49:$BG$64,MATCH(Projeçao!N$2,Modelos!$AZ$49:$AZ$64,0),MATCH("θ2",Modelos!$AY$49:$BG$49,0))*R33+INDEX(Modelos!$AY$49:$BG$64,MATCH(Projeçao!N$2,Modelos!$AZ$49:$AZ$64,0),MATCH("θ3",Modelos!$AY$49:$BG$49,0))*R32+INDEX(Modelos!$AY$49:$BG$64,MATCH(Projeçao!N$2,Modelos!$AZ$49:$AZ$64,0),MATCH("c",Modelos!$AY$49:$BG$49,0))+R35</f>
        <v>0.19871643606682593</v>
      </c>
      <c r="P35" s="20"/>
      <c r="Q35" s="10"/>
      <c r="R35" s="10"/>
      <c r="T35" s="6"/>
      <c r="U35" s="6">
        <f ca="1">INDEX(Modelos!$AY$68:$BG$83,MATCH(Projeçao!U$2,Modelos!$AZ$68:$AZ$83,0),MATCH("β1",Modelos!$AY$68:$BG$68,0))*U34+INDEX(Modelos!$AY$68:$BG$83,MATCH(Projeçao!U$2,Modelos!$AZ$68:$AZ$83,0),MATCH("β2",Modelos!$AY$68:$BG$68,0))*U33+INDEX(Modelos!$AY$68:$BG$83,MATCH(Projeçao!U$2,Modelos!$AZ$68:$AZ$83,0),MATCH("β3",Modelos!$AY$68:$BG$68,0))*U32+INDEX(Modelos!$AY$68:$BG$83,MATCH(Projeçao!U$2,Modelos!$AZ$68:$AZ$83,0),MATCH("θ1",Modelos!$AY$68:$BG$68,0))*Y34+INDEX(Modelos!$AY$68:$BG$83,MATCH(Projeçao!U$2,Modelos!$AZ$68:$AZ$83,0),MATCH("θ2",Modelos!$AY$68:$BG$68,0))*Y33+INDEX(Modelos!$AY$68:$BG$83,MATCH(Projeçao!U$2,Modelos!$AZ$68:$AZ$83,0),MATCH("θ3",Modelos!$AY$68:$BG$68,0))*Y32+INDEX(Modelos!$AY$68:$BG$83,MATCH(Projeçao!U$2,Modelos!$AZ$68:$AZ$83,0),MATCH("c",Modelos!$AY$68:$BG$68,0))+Y35</f>
        <v>0.5848514775441962</v>
      </c>
      <c r="V35" s="6">
        <f>INDEX(Modelos!$AY$68:$BG$83,MATCH(Projeçao!V$2,Modelos!$AZ$68:$AZ$83,0),MATCH("β1",Modelos!$AY$68:$BG$68,0))*$T34+INDEX(Modelos!$AY$68:$BG$83,MATCH(Projeçao!V$2,Modelos!$AZ$68:$AZ$83,0),MATCH("β2",Modelos!$AY$68:$BG$68,0))*$T33+INDEX(Modelos!$AY$68:$BG$83,MATCH(Projeçao!V$2,Modelos!$AZ$68:$AZ$83,0),MATCH("β3",Modelos!$AY$68:$BG$68,0))*$T32+INDEX(Modelos!$AY$68:$BG$83,MATCH(Projeçao!V$2,Modelos!$AZ$68:$AZ$83,0),MATCH("θ1",Modelos!$AY$68:$BG$68,0))*Z34+INDEX(Modelos!$AY$68:$BG$83,MATCH(Projeçao!V$2,Modelos!$AZ$68:$AZ$83,0),MATCH("θ2",Modelos!$AY$68:$BG$68,0))*Z33+INDEX(Modelos!$AY$68:$BG$83,MATCH(Projeçao!V$2,Modelos!$AZ$68:$AZ$83,0),MATCH("θ3",Modelos!$AY$68:$BG$68,0))*Z32+INDEX(Modelos!$AY$68:$BG$83,MATCH(Projeçao!V$2,Modelos!$AZ$68:$AZ$83,0),MATCH("c",Modelos!$AY$68:$BG$68,0))</f>
        <v>0.58362319402417939</v>
      </c>
      <c r="W35" s="6">
        <f ca="1">INDEX(Modelos!$AY$68:$BG$83,MATCH(Projeçao!W$2,Modelos!$AZ$68:$AZ$83,0),MATCH("β1",Modelos!$AY$68:$BG$68,0))*W34+INDEX(Modelos!$AY$68:$BG$83,MATCH(Projeçao!W$2,Modelos!$AZ$68:$AZ$83,0),MATCH("β2",Modelos!$AY$68:$BG$68,0))*W33+INDEX(Modelos!$AY$68:$BG$83,MATCH(Projeçao!W$2,Modelos!$AZ$68:$AZ$83,0),MATCH("β3",Modelos!$AY$68:$BG$68,0))*W32+INDEX(Modelos!$AY$68:$BG$83,MATCH(Projeçao!W$2,Modelos!$AZ$68:$AZ$83,0),MATCH("θ1",Modelos!$AY$68:$BG$68,0))*AA34+INDEX(Modelos!$AY$68:$BG$83,MATCH(Projeçao!W$2,Modelos!$AZ$68:$AZ$83,0),MATCH("θ2",Modelos!$AY$68:$BG$68,0))*AA33+INDEX(Modelos!$AY$68:$BG$83,MATCH(Projeçao!W$2,Modelos!$AZ$68:$AZ$83,0),MATCH("θ3",Modelos!$AY$68:$BG$68,0))*AA32+INDEX(Modelos!$AY$68:$BG$83,MATCH(Projeçao!W$2,Modelos!$AZ$68:$AZ$83,0),MATCH("c",Modelos!$AY$68:$BG$68,0))+AA35</f>
        <v>-4.657593407979455</v>
      </c>
      <c r="Y35" s="20"/>
      <c r="Z35" s="20"/>
      <c r="AA35" s="20"/>
    </row>
    <row r="36" spans="1:27" x14ac:dyDescent="0.15">
      <c r="A36" s="8">
        <f t="shared" si="10"/>
        <v>45107</v>
      </c>
      <c r="B36" s="6"/>
      <c r="C36" s="19">
        <f ca="1">INDEX(Modelos!$AY$30:$BG$45,MATCH(Projeçao!C$2,Modelos!$AZ$49:$AZ$64,0),MATCH("β1",Modelos!$AY$30:$BG$30,0))*C35+INDEX(Modelos!$AY$30:$BG$45,MATCH(Projeçao!C$2,Modelos!$AZ$49:$AZ$64,0),MATCH("β2",Modelos!$AY$30:$BG$30,0))*C34+INDEX(Modelos!$AY$30:$BG$45,MATCH(Projeçao!C$2,Modelos!$AZ$49:$AZ$64,0),MATCH("β3",Modelos!$AY$30:$BG$30,0))*C33+INDEX(Modelos!$AY$30:$BG$45,MATCH(Projeçao!C$2,Modelos!$AZ$49:$AZ$64,0),MATCH("θ1",Modelos!$AY$30:$BG$30,0))*G35+INDEX(Modelos!$AY$30:$BG$45,MATCH(Projeçao!C$2,Modelos!$AZ$49:$AZ$64,0),MATCH("θ2",Modelos!$AY$30:$BG$30,0))*G34+INDEX(Modelos!$AY$30:$BG$45,MATCH(Projeçao!C$2,Modelos!$AZ$49:$AZ$64,0),MATCH("θ3",Modelos!$AY$30:$BG$30,0))*G33+INDEX(Modelos!$AY$30:$BG$45,MATCH(Projeçao!C$2,Modelos!$AZ$49:$AZ$64,0),MATCH("c",Modelos!$AY$30:$BG$30,0))+G36</f>
        <v>0.18930296370195421</v>
      </c>
      <c r="D36" s="19">
        <f ca="1">INDEX(Modelos!$AY$30:$BG$45,MATCH(Projeçao!D$2,Modelos!$AZ$49:$AZ$64,0),MATCH("β1",Modelos!$AY$30:$BG$30,0))*D35+INDEX(Modelos!$AY$30:$BG$45,MATCH(Projeçao!D$2,Modelos!$AZ$49:$AZ$64,0),MATCH("β2",Modelos!$AY$30:$BG$30,0))*D34+INDEX(Modelos!$AY$30:$BG$45,MATCH(Projeçao!D$2,Modelos!$AZ$49:$AZ$64,0),MATCH("β3",Modelos!$AY$30:$BG$30,0))*D33+INDEX(Modelos!$AY$30:$BG$45,MATCH(Projeçao!D$2,Modelos!$AZ$49:$AZ$64,0),MATCH("θ1",Modelos!$AY$30:$BG$30,0))*H35+INDEX(Modelos!$AY$30:$BG$45,MATCH(Projeçao!D$2,Modelos!$AZ$49:$AZ$64,0),MATCH("θ2",Modelos!$AY$30:$BG$30,0))*H34+INDEX(Modelos!$AY$30:$BG$45,MATCH(Projeçao!D$2,Modelos!$AZ$49:$AZ$64,0),MATCH("θ3",Modelos!$AY$30:$BG$30,0))*H33+INDEX(Modelos!$AY$30:$BG$45,MATCH(Projeçao!D$2,Modelos!$AZ$49:$AZ$64,0),MATCH("c",Modelos!$AY$30:$BG$30,0))+H36</f>
        <v>1.4411339746790004</v>
      </c>
      <c r="E36" s="19">
        <f ca="1">INDEX(Modelos!$AY$30:$BG$45,MATCH(Projeçao!E$2,Modelos!$AZ$49:$AZ$64,0),MATCH("β1",Modelos!$AY$30:$BG$30,0))*E35+INDEX(Modelos!$AY$30:$BG$45,MATCH(Projeçao!E$2,Modelos!$AZ$49:$AZ$64,0),MATCH("β2",Modelos!$AY$30:$BG$30,0))*E34+INDEX(Modelos!$AY$30:$BG$45,MATCH(Projeçao!E$2,Modelos!$AZ$49:$AZ$64,0),MATCH("β3",Modelos!$AY$30:$BG$30,0))*E33+INDEX(Modelos!$AY$30:$BG$45,MATCH(Projeçao!E$2,Modelos!$AZ$49:$AZ$64,0),MATCH("θ1",Modelos!$AY$30:$BG$30,0))*I35+INDEX(Modelos!$AY$30:$BG$45,MATCH(Projeçao!E$2,Modelos!$AZ$49:$AZ$64,0),MATCH("θ2",Modelos!$AY$30:$BG$30,0))*I34+INDEX(Modelos!$AY$30:$BG$45,MATCH(Projeçao!E$2,Modelos!$AZ$49:$AZ$64,0),MATCH("θ3",Modelos!$AY$30:$BG$30,0))*I33+INDEX(Modelos!$AY$30:$BG$45,MATCH(Projeçao!E$2,Modelos!$AZ$49:$AZ$64,0),MATCH("c",Modelos!$AY$30:$BG$30,0))+I36</f>
        <v>0.88371068233423067</v>
      </c>
      <c r="G36" s="10"/>
      <c r="H36" s="10"/>
      <c r="I36" s="10"/>
      <c r="K36" s="6"/>
      <c r="L36" s="6">
        <f ca="1">INDEX(Modelos!$AY$49:$BG$64,MATCH(Projeçao!L$2,Modelos!$AZ$49:$AZ$64,0),MATCH("β1",Modelos!$AY$49:$BG$49,0))*L35+INDEX(Modelos!$AY$49:$BG$64,MATCH(Projeçao!L$2,Modelos!$AZ$49:$AZ$64,0),MATCH("β2",Modelos!$AY$49:$BG$49,0))*L34+INDEX(Modelos!$AY$49:$BG$64,MATCH(Projeçao!L$2,Modelos!$AZ$49:$AZ$64,0),MATCH("β3",Modelos!$AY$49:$BG$49,0))*L33+INDEX(Modelos!$AY$49:$BG$64,MATCH(Projeçao!L$2,Modelos!$AZ$49:$AZ$64,0),MATCH("θ1",Modelos!$AY$49:$BG$49,0))*P35+INDEX(Modelos!$AY$49:$BG$64,MATCH(Projeçao!L$2,Modelos!$AZ$49:$AZ$64,0),MATCH("θ2",Modelos!$AY$49:$BG$49,0))*P34+INDEX(Modelos!$AY$49:$BG$64,MATCH(Projeçao!L$2,Modelos!$AZ$49:$AZ$64,0),MATCH("θ3",Modelos!$AY$49:$BG$49,0))*P33+INDEX(Modelos!$AY$49:$BG$64,MATCH(Projeçao!L$2,Modelos!$AZ$49:$AZ$64,0),MATCH("c",Modelos!$AY$49:$BG$49,0))+P36</f>
        <v>0.25551045166171038</v>
      </c>
      <c r="M36" s="6">
        <f ca="1">INDEX(Modelos!$AY$49:$BG$64,MATCH(Projeçao!M$2,Modelos!$AZ$49:$AZ$64,0),MATCH("β1",Modelos!$AY$49:$BG$49,0))*M35+INDEX(Modelos!$AY$49:$BG$64,MATCH(Projeçao!M$2,Modelos!$AZ$49:$AZ$64,0),MATCH("β2",Modelos!$AY$49:$BG$49,0))*M34+INDEX(Modelos!$AY$49:$BG$64,MATCH(Projeçao!M$2,Modelos!$AZ$49:$AZ$64,0),MATCH("β3",Modelos!$AY$49:$BG$49,0))*M33+INDEX(Modelos!$AY$49:$BG$64,MATCH(Projeçao!M$2,Modelos!$AZ$49:$AZ$64,0),MATCH("θ1",Modelos!$AY$49:$BG$49,0))*Q35+INDEX(Modelos!$AY$49:$BG$64,MATCH(Projeçao!M$2,Modelos!$AZ$49:$AZ$64,0),MATCH("θ2",Modelos!$AY$49:$BG$49,0))*Q34+INDEX(Modelos!$AY$49:$BG$64,MATCH(Projeçao!M$2,Modelos!$AZ$49:$AZ$64,0),MATCH("θ3",Modelos!$AY$49:$BG$49,0))*Q33+INDEX(Modelos!$AY$49:$BG$64,MATCH(Projeçao!M$2,Modelos!$AZ$49:$AZ$64,0),MATCH("c",Modelos!$AY$49:$BG$49,0))+Q36</f>
        <v>0.19179590470518079</v>
      </c>
      <c r="N36" s="6">
        <f ca="1">INDEX(Modelos!$AY$49:$BG$64,MATCH(Projeçao!N$2,Modelos!$AZ$49:$AZ$64,0),MATCH("β1",Modelos!$AY$49:$BG$49,0))*N35+INDEX(Modelos!$AY$49:$BG$64,MATCH(Projeçao!N$2,Modelos!$AZ$49:$AZ$64,0),MATCH("β2",Modelos!$AY$49:$BG$49,0))*N34+INDEX(Modelos!$AY$49:$BG$64,MATCH(Projeçao!N$2,Modelos!$AZ$49:$AZ$64,0),MATCH("β3",Modelos!$AY$49:$BG$49,0))*N33+INDEX(Modelos!$AY$49:$BG$64,MATCH(Projeçao!N$2,Modelos!$AZ$49:$AZ$64,0),MATCH("θ1",Modelos!$AY$49:$BG$49,0))*R35+INDEX(Modelos!$AY$49:$BG$64,MATCH(Projeçao!N$2,Modelos!$AZ$49:$AZ$64,0),MATCH("θ2",Modelos!$AY$49:$BG$49,0))*R34+INDEX(Modelos!$AY$49:$BG$64,MATCH(Projeçao!N$2,Modelos!$AZ$49:$AZ$64,0),MATCH("θ3",Modelos!$AY$49:$BG$49,0))*R33+INDEX(Modelos!$AY$49:$BG$64,MATCH(Projeçao!N$2,Modelos!$AZ$49:$AZ$64,0),MATCH("c",Modelos!$AY$49:$BG$49,0))+R36</f>
        <v>0.19432124436308154</v>
      </c>
      <c r="P36" s="20"/>
      <c r="Q36" s="10"/>
      <c r="R36" s="10"/>
      <c r="T36" s="6"/>
      <c r="U36" s="6">
        <f ca="1">INDEX(Modelos!$AY$68:$BG$83,MATCH(Projeçao!U$2,Modelos!$AZ$68:$AZ$83,0),MATCH("β1",Modelos!$AY$68:$BG$68,0))*U35+INDEX(Modelos!$AY$68:$BG$83,MATCH(Projeçao!U$2,Modelos!$AZ$68:$AZ$83,0),MATCH("β2",Modelos!$AY$68:$BG$68,0))*U34+INDEX(Modelos!$AY$68:$BG$83,MATCH(Projeçao!U$2,Modelos!$AZ$68:$AZ$83,0),MATCH("β3",Modelos!$AY$68:$BG$68,0))*U33+INDEX(Modelos!$AY$68:$BG$83,MATCH(Projeçao!U$2,Modelos!$AZ$68:$AZ$83,0),MATCH("θ1",Modelos!$AY$68:$BG$68,0))*Y35+INDEX(Modelos!$AY$68:$BG$83,MATCH(Projeçao!U$2,Modelos!$AZ$68:$AZ$83,0),MATCH("θ2",Modelos!$AY$68:$BG$68,0))*Y34+INDEX(Modelos!$AY$68:$BG$83,MATCH(Projeçao!U$2,Modelos!$AZ$68:$AZ$83,0),MATCH("θ3",Modelos!$AY$68:$BG$68,0))*Y33+INDEX(Modelos!$AY$68:$BG$83,MATCH(Projeçao!U$2,Modelos!$AZ$68:$AZ$83,0),MATCH("c",Modelos!$AY$68:$BG$68,0))+Y36</f>
        <v>0.58229682797873272</v>
      </c>
      <c r="V36" s="6">
        <f>INDEX(Modelos!$AY$68:$BG$83,MATCH(Projeçao!V$2,Modelos!$AZ$68:$AZ$83,0),MATCH("β1",Modelos!$AY$68:$BG$68,0))*$T35+INDEX(Modelos!$AY$68:$BG$83,MATCH(Projeçao!V$2,Modelos!$AZ$68:$AZ$83,0),MATCH("β2",Modelos!$AY$68:$BG$68,0))*$T34+INDEX(Modelos!$AY$68:$BG$83,MATCH(Projeçao!V$2,Modelos!$AZ$68:$AZ$83,0),MATCH("β3",Modelos!$AY$68:$BG$68,0))*$T33+INDEX(Modelos!$AY$68:$BG$83,MATCH(Projeçao!V$2,Modelos!$AZ$68:$AZ$83,0),MATCH("θ1",Modelos!$AY$68:$BG$68,0))*Z35+INDEX(Modelos!$AY$68:$BG$83,MATCH(Projeçao!V$2,Modelos!$AZ$68:$AZ$83,0),MATCH("θ2",Modelos!$AY$68:$BG$68,0))*Z34+INDEX(Modelos!$AY$68:$BG$83,MATCH(Projeçao!V$2,Modelos!$AZ$68:$AZ$83,0),MATCH("θ3",Modelos!$AY$68:$BG$68,0))*Z33+INDEX(Modelos!$AY$68:$BG$83,MATCH(Projeçao!V$2,Modelos!$AZ$68:$AZ$83,0),MATCH("c",Modelos!$AY$68:$BG$68,0))</f>
        <v>0.58362319402417939</v>
      </c>
      <c r="W36" s="6">
        <f ca="1">INDEX(Modelos!$AY$68:$BG$83,MATCH(Projeçao!W$2,Modelos!$AZ$68:$AZ$83,0),MATCH("β1",Modelos!$AY$68:$BG$68,0))*W35+INDEX(Modelos!$AY$68:$BG$83,MATCH(Projeçao!W$2,Modelos!$AZ$68:$AZ$83,0),MATCH("β2",Modelos!$AY$68:$BG$68,0))*W34+INDEX(Modelos!$AY$68:$BG$83,MATCH(Projeçao!W$2,Modelos!$AZ$68:$AZ$83,0),MATCH("β3",Modelos!$AY$68:$BG$68,0))*W33+INDEX(Modelos!$AY$68:$BG$83,MATCH(Projeçao!W$2,Modelos!$AZ$68:$AZ$83,0),MATCH("θ1",Modelos!$AY$68:$BG$68,0))*AA35+INDEX(Modelos!$AY$68:$BG$83,MATCH(Projeçao!W$2,Modelos!$AZ$68:$AZ$83,0),MATCH("θ2",Modelos!$AY$68:$BG$68,0))*AA34+INDEX(Modelos!$AY$68:$BG$83,MATCH(Projeçao!W$2,Modelos!$AZ$68:$AZ$83,0),MATCH("θ3",Modelos!$AY$68:$BG$68,0))*AA33+INDEX(Modelos!$AY$68:$BG$83,MATCH(Projeçao!W$2,Modelos!$AZ$68:$AZ$83,0),MATCH("c",Modelos!$AY$68:$BG$68,0))+AA36</f>
        <v>7.0301139723405699</v>
      </c>
      <c r="Y36" s="20"/>
      <c r="Z36" s="20"/>
      <c r="AA36" s="20"/>
    </row>
    <row r="37" spans="1:27" x14ac:dyDescent="0.15">
      <c r="A37" s="8">
        <f t="shared" si="10"/>
        <v>45199</v>
      </c>
      <c r="B37" s="6"/>
      <c r="C37" s="19">
        <f ca="1">INDEX(Modelos!$AY$30:$BG$45,MATCH(Projeçao!C$2,Modelos!$AZ$49:$AZ$64,0),MATCH("β1",Modelos!$AY$30:$BG$30,0))*C36+INDEX(Modelos!$AY$30:$BG$45,MATCH(Projeçao!C$2,Modelos!$AZ$49:$AZ$64,0),MATCH("β2",Modelos!$AY$30:$BG$30,0))*C35+INDEX(Modelos!$AY$30:$BG$45,MATCH(Projeçao!C$2,Modelos!$AZ$49:$AZ$64,0),MATCH("β3",Modelos!$AY$30:$BG$30,0))*C34+INDEX(Modelos!$AY$30:$BG$45,MATCH(Projeçao!C$2,Modelos!$AZ$49:$AZ$64,0),MATCH("θ1",Modelos!$AY$30:$BG$30,0))*G36+INDEX(Modelos!$AY$30:$BG$45,MATCH(Projeçao!C$2,Modelos!$AZ$49:$AZ$64,0),MATCH("θ2",Modelos!$AY$30:$BG$30,0))*G35+INDEX(Modelos!$AY$30:$BG$45,MATCH(Projeçao!C$2,Modelos!$AZ$49:$AZ$64,0),MATCH("θ3",Modelos!$AY$30:$BG$30,0))*G34+INDEX(Modelos!$AY$30:$BG$45,MATCH(Projeçao!C$2,Modelos!$AZ$49:$AZ$64,0),MATCH("c",Modelos!$AY$30:$BG$30,0))+G37</f>
        <v>0.40309594894830114</v>
      </c>
      <c r="D37" s="19">
        <f ca="1">INDEX(Modelos!$AY$30:$BG$45,MATCH(Projeçao!D$2,Modelos!$AZ$49:$AZ$64,0),MATCH("β1",Modelos!$AY$30:$BG$30,0))*D36+INDEX(Modelos!$AY$30:$BG$45,MATCH(Projeçao!D$2,Modelos!$AZ$49:$AZ$64,0),MATCH("β2",Modelos!$AY$30:$BG$30,0))*D35+INDEX(Modelos!$AY$30:$BG$45,MATCH(Projeçao!D$2,Modelos!$AZ$49:$AZ$64,0),MATCH("β3",Modelos!$AY$30:$BG$30,0))*D34+INDEX(Modelos!$AY$30:$BG$45,MATCH(Projeçao!D$2,Modelos!$AZ$49:$AZ$64,0),MATCH("θ1",Modelos!$AY$30:$BG$30,0))*H36+INDEX(Modelos!$AY$30:$BG$45,MATCH(Projeçao!D$2,Modelos!$AZ$49:$AZ$64,0),MATCH("θ2",Modelos!$AY$30:$BG$30,0))*H35+INDEX(Modelos!$AY$30:$BG$45,MATCH(Projeçao!D$2,Modelos!$AZ$49:$AZ$64,0),MATCH("θ3",Modelos!$AY$30:$BG$30,0))*H34+INDEX(Modelos!$AY$30:$BG$45,MATCH(Projeçao!D$2,Modelos!$AZ$49:$AZ$64,0),MATCH("c",Modelos!$AY$30:$BG$30,0))+H37</f>
        <v>1.3454123002746199</v>
      </c>
      <c r="E37" s="19">
        <f ca="1">INDEX(Modelos!$AY$30:$BG$45,MATCH(Projeçao!E$2,Modelos!$AZ$49:$AZ$64,0),MATCH("β1",Modelos!$AY$30:$BG$30,0))*E36+INDEX(Modelos!$AY$30:$BG$45,MATCH(Projeçao!E$2,Modelos!$AZ$49:$AZ$64,0),MATCH("β2",Modelos!$AY$30:$BG$30,0))*E35+INDEX(Modelos!$AY$30:$BG$45,MATCH(Projeçao!E$2,Modelos!$AZ$49:$AZ$64,0),MATCH("β3",Modelos!$AY$30:$BG$30,0))*E34+INDEX(Modelos!$AY$30:$BG$45,MATCH(Projeçao!E$2,Modelos!$AZ$49:$AZ$64,0),MATCH("θ1",Modelos!$AY$30:$BG$30,0))*I36+INDEX(Modelos!$AY$30:$BG$45,MATCH(Projeçao!E$2,Modelos!$AZ$49:$AZ$64,0),MATCH("θ2",Modelos!$AY$30:$BG$30,0))*I35+INDEX(Modelos!$AY$30:$BG$45,MATCH(Projeçao!E$2,Modelos!$AZ$49:$AZ$64,0),MATCH("θ3",Modelos!$AY$30:$BG$30,0))*I34+INDEX(Modelos!$AY$30:$BG$45,MATCH(Projeçao!E$2,Modelos!$AZ$49:$AZ$64,0),MATCH("c",Modelos!$AY$30:$BG$30,0))+I37</f>
        <v>0.87032580279307137</v>
      </c>
      <c r="G37" s="10"/>
      <c r="H37" s="10"/>
      <c r="I37" s="10"/>
      <c r="K37" s="6"/>
      <c r="L37" s="6">
        <f ca="1">INDEX(Modelos!$AY$49:$BG$64,MATCH(Projeçao!L$2,Modelos!$AZ$49:$AZ$64,0),MATCH("β1",Modelos!$AY$49:$BG$49,0))*L36+INDEX(Modelos!$AY$49:$BG$64,MATCH(Projeçao!L$2,Modelos!$AZ$49:$AZ$64,0),MATCH("β2",Modelos!$AY$49:$BG$49,0))*L35+INDEX(Modelos!$AY$49:$BG$64,MATCH(Projeçao!L$2,Modelos!$AZ$49:$AZ$64,0),MATCH("β3",Modelos!$AY$49:$BG$49,0))*L34+INDEX(Modelos!$AY$49:$BG$64,MATCH(Projeçao!L$2,Modelos!$AZ$49:$AZ$64,0),MATCH("θ1",Modelos!$AY$49:$BG$49,0))*P36+INDEX(Modelos!$AY$49:$BG$64,MATCH(Projeçao!L$2,Modelos!$AZ$49:$AZ$64,0),MATCH("θ2",Modelos!$AY$49:$BG$49,0))*P35+INDEX(Modelos!$AY$49:$BG$64,MATCH(Projeçao!L$2,Modelos!$AZ$49:$AZ$64,0),MATCH("θ3",Modelos!$AY$49:$BG$49,0))*P34+INDEX(Modelos!$AY$49:$BG$64,MATCH(Projeçao!L$2,Modelos!$AZ$49:$AZ$64,0),MATCH("c",Modelos!$AY$49:$BG$49,0))+P37</f>
        <v>0.25551045166171038</v>
      </c>
      <c r="M37" s="6">
        <f ca="1">INDEX(Modelos!$AY$49:$BG$64,MATCH(Projeçao!M$2,Modelos!$AZ$49:$AZ$64,0),MATCH("β1",Modelos!$AY$49:$BG$49,0))*M36+INDEX(Modelos!$AY$49:$BG$64,MATCH(Projeçao!M$2,Modelos!$AZ$49:$AZ$64,0),MATCH("β2",Modelos!$AY$49:$BG$49,0))*M35+INDEX(Modelos!$AY$49:$BG$64,MATCH(Projeçao!M$2,Modelos!$AZ$49:$AZ$64,0),MATCH("β3",Modelos!$AY$49:$BG$49,0))*M34+INDEX(Modelos!$AY$49:$BG$64,MATCH(Projeçao!M$2,Modelos!$AZ$49:$AZ$64,0),MATCH("θ1",Modelos!$AY$49:$BG$49,0))*Q36+INDEX(Modelos!$AY$49:$BG$64,MATCH(Projeçao!M$2,Modelos!$AZ$49:$AZ$64,0),MATCH("θ2",Modelos!$AY$49:$BG$49,0))*Q35+INDEX(Modelos!$AY$49:$BG$64,MATCH(Projeçao!M$2,Modelos!$AZ$49:$AZ$64,0),MATCH("θ3",Modelos!$AY$49:$BG$49,0))*Q34+INDEX(Modelos!$AY$49:$BG$64,MATCH(Projeçao!M$2,Modelos!$AZ$49:$AZ$64,0),MATCH("c",Modelos!$AY$49:$BG$49,0))+Q37</f>
        <v>0.19988611016904395</v>
      </c>
      <c r="N37" s="6">
        <f ca="1">INDEX(Modelos!$AY$49:$BG$64,MATCH(Projeçao!N$2,Modelos!$AZ$49:$AZ$64,0),MATCH("β1",Modelos!$AY$49:$BG$49,0))*N36+INDEX(Modelos!$AY$49:$BG$64,MATCH(Projeçao!N$2,Modelos!$AZ$49:$AZ$64,0),MATCH("β2",Modelos!$AY$49:$BG$49,0))*N35+INDEX(Modelos!$AY$49:$BG$64,MATCH(Projeçao!N$2,Modelos!$AZ$49:$AZ$64,0),MATCH("β3",Modelos!$AY$49:$BG$49,0))*N34+INDEX(Modelos!$AY$49:$BG$64,MATCH(Projeçao!N$2,Modelos!$AZ$49:$AZ$64,0),MATCH("θ1",Modelos!$AY$49:$BG$49,0))*R36+INDEX(Modelos!$AY$49:$BG$64,MATCH(Projeçao!N$2,Modelos!$AZ$49:$AZ$64,0),MATCH("θ2",Modelos!$AY$49:$BG$49,0))*R35+INDEX(Modelos!$AY$49:$BG$64,MATCH(Projeçao!N$2,Modelos!$AZ$49:$AZ$64,0),MATCH("θ3",Modelos!$AY$49:$BG$49,0))*R34+INDEX(Modelos!$AY$49:$BG$64,MATCH(Projeçao!N$2,Modelos!$AZ$49:$AZ$64,0),MATCH("c",Modelos!$AY$49:$BG$49,0))+R37</f>
        <v>0.20398961413558669</v>
      </c>
      <c r="P37" s="10"/>
      <c r="Q37" s="10"/>
      <c r="R37" s="10"/>
      <c r="T37" s="6"/>
      <c r="U37" s="6">
        <f ca="1">INDEX(Modelos!$AY$68:$BG$83,MATCH(Projeçao!U$2,Modelos!$AZ$68:$AZ$83,0),MATCH("β1",Modelos!$AY$68:$BG$68,0))*U36+INDEX(Modelos!$AY$68:$BG$83,MATCH(Projeçao!U$2,Modelos!$AZ$68:$AZ$83,0),MATCH("β2",Modelos!$AY$68:$BG$68,0))*U35+INDEX(Modelos!$AY$68:$BG$83,MATCH(Projeçao!U$2,Modelos!$AZ$68:$AZ$83,0),MATCH("β3",Modelos!$AY$68:$BG$68,0))*U34+INDEX(Modelos!$AY$68:$BG$83,MATCH(Projeçao!U$2,Modelos!$AZ$68:$AZ$83,0),MATCH("θ1",Modelos!$AY$68:$BG$68,0))*Y36+INDEX(Modelos!$AY$68:$BG$83,MATCH(Projeçao!U$2,Modelos!$AZ$68:$AZ$83,0),MATCH("θ2",Modelos!$AY$68:$BG$68,0))*Y35+INDEX(Modelos!$AY$68:$BG$83,MATCH(Projeçao!U$2,Modelos!$AZ$68:$AZ$83,0),MATCH("θ3",Modelos!$AY$68:$BG$68,0))*Y34+INDEX(Modelos!$AY$68:$BG$83,MATCH(Projeçao!U$2,Modelos!$AZ$68:$AZ$83,0),MATCH("c",Modelos!$AY$68:$BG$68,0))+Y37</f>
        <v>0.5824183409980711</v>
      </c>
      <c r="V37" s="6">
        <f>INDEX(Modelos!$AY$68:$BG$83,MATCH(Projeçao!V$2,Modelos!$AZ$68:$AZ$83,0),MATCH("β1",Modelos!$AY$68:$BG$68,0))*$T36+INDEX(Modelos!$AY$68:$BG$83,MATCH(Projeçao!V$2,Modelos!$AZ$68:$AZ$83,0),MATCH("β2",Modelos!$AY$68:$BG$68,0))*$T35+INDEX(Modelos!$AY$68:$BG$83,MATCH(Projeçao!V$2,Modelos!$AZ$68:$AZ$83,0),MATCH("β3",Modelos!$AY$68:$BG$68,0))*$T34+INDEX(Modelos!$AY$68:$BG$83,MATCH(Projeçao!V$2,Modelos!$AZ$68:$AZ$83,0),MATCH("θ1",Modelos!$AY$68:$BG$68,0))*Z36+INDEX(Modelos!$AY$68:$BG$83,MATCH(Projeçao!V$2,Modelos!$AZ$68:$AZ$83,0),MATCH("θ2",Modelos!$AY$68:$BG$68,0))*Z35+INDEX(Modelos!$AY$68:$BG$83,MATCH(Projeçao!V$2,Modelos!$AZ$68:$AZ$83,0),MATCH("θ3",Modelos!$AY$68:$BG$68,0))*Z34+INDEX(Modelos!$AY$68:$BG$83,MATCH(Projeçao!V$2,Modelos!$AZ$68:$AZ$83,0),MATCH("c",Modelos!$AY$68:$BG$68,0))</f>
        <v>0.58362319402417939</v>
      </c>
      <c r="W37" s="6">
        <f ca="1">INDEX(Modelos!$AY$68:$BG$83,MATCH(Projeçao!W$2,Modelos!$AZ$68:$AZ$83,0),MATCH("β1",Modelos!$AY$68:$BG$68,0))*W36+INDEX(Modelos!$AY$68:$BG$83,MATCH(Projeçao!W$2,Modelos!$AZ$68:$AZ$83,0),MATCH("β2",Modelos!$AY$68:$BG$68,0))*W35+INDEX(Modelos!$AY$68:$BG$83,MATCH(Projeçao!W$2,Modelos!$AZ$68:$AZ$83,0),MATCH("β3",Modelos!$AY$68:$BG$68,0))*W34+INDEX(Modelos!$AY$68:$BG$83,MATCH(Projeçao!W$2,Modelos!$AZ$68:$AZ$83,0),MATCH("θ1",Modelos!$AY$68:$BG$68,0))*AA36+INDEX(Modelos!$AY$68:$BG$83,MATCH(Projeçao!W$2,Modelos!$AZ$68:$AZ$83,0),MATCH("θ2",Modelos!$AY$68:$BG$68,0))*AA35+INDEX(Modelos!$AY$68:$BG$83,MATCH(Projeçao!W$2,Modelos!$AZ$68:$AZ$83,0),MATCH("θ3",Modelos!$AY$68:$BG$68,0))*AA34+INDEX(Modelos!$AY$68:$BG$83,MATCH(Projeçao!W$2,Modelos!$AZ$68:$AZ$83,0),MATCH("c",Modelos!$AY$68:$BG$68,0))+AA37</f>
        <v>-4.0225351297376744</v>
      </c>
      <c r="Y37" s="20"/>
      <c r="Z37" s="20"/>
      <c r="AA37" s="20"/>
    </row>
    <row r="38" spans="1:27" x14ac:dyDescent="0.15">
      <c r="A38" s="8">
        <f t="shared" si="10"/>
        <v>45291</v>
      </c>
      <c r="B38" s="6"/>
      <c r="C38" s="19">
        <f ca="1">INDEX(Modelos!$AY$30:$BG$45,MATCH(Projeçao!C$2,Modelos!$AZ$49:$AZ$64,0),MATCH("β1",Modelos!$AY$30:$BG$30,0))*C37+INDEX(Modelos!$AY$30:$BG$45,MATCH(Projeçao!C$2,Modelos!$AZ$49:$AZ$64,0),MATCH("β2",Modelos!$AY$30:$BG$30,0))*C36+INDEX(Modelos!$AY$30:$BG$45,MATCH(Projeçao!C$2,Modelos!$AZ$49:$AZ$64,0),MATCH("β3",Modelos!$AY$30:$BG$30,0))*C35+INDEX(Modelos!$AY$30:$BG$45,MATCH(Projeçao!C$2,Modelos!$AZ$49:$AZ$64,0),MATCH("θ1",Modelos!$AY$30:$BG$30,0))*G37+INDEX(Modelos!$AY$30:$BG$45,MATCH(Projeçao!C$2,Modelos!$AZ$49:$AZ$64,0),MATCH("θ2",Modelos!$AY$30:$BG$30,0))*G36+INDEX(Modelos!$AY$30:$BG$45,MATCH(Projeçao!C$2,Modelos!$AZ$49:$AZ$64,0),MATCH("θ3",Modelos!$AY$30:$BG$30,0))*G35+INDEX(Modelos!$AY$30:$BG$45,MATCH(Projeçao!C$2,Modelos!$AZ$49:$AZ$64,0),MATCH("c",Modelos!$AY$30:$BG$30,0))+G38</f>
        <v>0.87499468001519798</v>
      </c>
      <c r="D38" s="19">
        <f ca="1">INDEX(Modelos!$AY$30:$BG$45,MATCH(Projeçao!D$2,Modelos!$AZ$49:$AZ$64,0),MATCH("β1",Modelos!$AY$30:$BG$30,0))*D37+INDEX(Modelos!$AY$30:$BG$45,MATCH(Projeçao!D$2,Modelos!$AZ$49:$AZ$64,0),MATCH("β2",Modelos!$AY$30:$BG$30,0))*D36+INDEX(Modelos!$AY$30:$BG$45,MATCH(Projeçao!D$2,Modelos!$AZ$49:$AZ$64,0),MATCH("β3",Modelos!$AY$30:$BG$30,0))*D35+INDEX(Modelos!$AY$30:$BG$45,MATCH(Projeçao!D$2,Modelos!$AZ$49:$AZ$64,0),MATCH("θ1",Modelos!$AY$30:$BG$30,0))*H37+INDEX(Modelos!$AY$30:$BG$45,MATCH(Projeçao!D$2,Modelos!$AZ$49:$AZ$64,0),MATCH("θ2",Modelos!$AY$30:$BG$30,0))*H36+INDEX(Modelos!$AY$30:$BG$45,MATCH(Projeçao!D$2,Modelos!$AZ$49:$AZ$64,0),MATCH("θ3",Modelos!$AY$30:$BG$30,0))*H35+INDEX(Modelos!$AY$30:$BG$45,MATCH(Projeçao!D$2,Modelos!$AZ$49:$AZ$64,0),MATCH("c",Modelos!$AY$30:$BG$30,0))+H38</f>
        <v>1.2509681991027159</v>
      </c>
      <c r="E38" s="19">
        <f ca="1">INDEX(Modelos!$AY$30:$BG$45,MATCH(Projeçao!E$2,Modelos!$AZ$49:$AZ$64,0),MATCH("β1",Modelos!$AY$30:$BG$30,0))*E37+INDEX(Modelos!$AY$30:$BG$45,MATCH(Projeçao!E$2,Modelos!$AZ$49:$AZ$64,0),MATCH("β2",Modelos!$AY$30:$BG$30,0))*E36+INDEX(Modelos!$AY$30:$BG$45,MATCH(Projeçao!E$2,Modelos!$AZ$49:$AZ$64,0),MATCH("β3",Modelos!$AY$30:$BG$30,0))*E35+INDEX(Modelos!$AY$30:$BG$45,MATCH(Projeçao!E$2,Modelos!$AZ$49:$AZ$64,0),MATCH("θ1",Modelos!$AY$30:$BG$30,0))*I37+INDEX(Modelos!$AY$30:$BG$45,MATCH(Projeçao!E$2,Modelos!$AZ$49:$AZ$64,0),MATCH("θ2",Modelos!$AY$30:$BG$30,0))*I36+INDEX(Modelos!$AY$30:$BG$45,MATCH(Projeçao!E$2,Modelos!$AZ$49:$AZ$64,0),MATCH("θ3",Modelos!$AY$30:$BG$30,0))*I35+INDEX(Modelos!$AY$30:$BG$45,MATCH(Projeçao!E$2,Modelos!$AZ$49:$AZ$64,0),MATCH("c",Modelos!$AY$30:$BG$30,0))+I38</f>
        <v>0.86715156678272343</v>
      </c>
      <c r="G38" s="10"/>
      <c r="H38" s="10"/>
      <c r="I38" s="10"/>
      <c r="K38" s="6"/>
      <c r="L38" s="6">
        <f ca="1">INDEX(Modelos!$AY$49:$BG$64,MATCH(Projeçao!L$2,Modelos!$AZ$49:$AZ$64,0),MATCH("β1",Modelos!$AY$49:$BG$49,0))*L37+INDEX(Modelos!$AY$49:$BG$64,MATCH(Projeçao!L$2,Modelos!$AZ$49:$AZ$64,0),MATCH("β2",Modelos!$AY$49:$BG$49,0))*L36+INDEX(Modelos!$AY$49:$BG$64,MATCH(Projeçao!L$2,Modelos!$AZ$49:$AZ$64,0),MATCH("β3",Modelos!$AY$49:$BG$49,0))*L35+INDEX(Modelos!$AY$49:$BG$64,MATCH(Projeçao!L$2,Modelos!$AZ$49:$AZ$64,0),MATCH("θ1",Modelos!$AY$49:$BG$49,0))*P37+INDEX(Modelos!$AY$49:$BG$64,MATCH(Projeçao!L$2,Modelos!$AZ$49:$AZ$64,0),MATCH("θ2",Modelos!$AY$49:$BG$49,0))*P36+INDEX(Modelos!$AY$49:$BG$64,MATCH(Projeçao!L$2,Modelos!$AZ$49:$AZ$64,0),MATCH("θ3",Modelos!$AY$49:$BG$49,0))*P35+INDEX(Modelos!$AY$49:$BG$64,MATCH(Projeçao!L$2,Modelos!$AZ$49:$AZ$64,0),MATCH("c",Modelos!$AY$49:$BG$49,0))+P38</f>
        <v>0.25551045166171038</v>
      </c>
      <c r="M38" s="6">
        <f ca="1">INDEX(Modelos!$AY$49:$BG$64,MATCH(Projeçao!M$2,Modelos!$AZ$49:$AZ$64,0),MATCH("β1",Modelos!$AY$49:$BG$49,0))*M37+INDEX(Modelos!$AY$49:$BG$64,MATCH(Projeçao!M$2,Modelos!$AZ$49:$AZ$64,0),MATCH("β2",Modelos!$AY$49:$BG$49,0))*M36+INDEX(Modelos!$AY$49:$BG$64,MATCH(Projeçao!M$2,Modelos!$AZ$49:$AZ$64,0),MATCH("β3",Modelos!$AY$49:$BG$49,0))*M35+INDEX(Modelos!$AY$49:$BG$64,MATCH(Projeçao!M$2,Modelos!$AZ$49:$AZ$64,0),MATCH("θ1",Modelos!$AY$49:$BG$49,0))*Q37+INDEX(Modelos!$AY$49:$BG$64,MATCH(Projeçao!M$2,Modelos!$AZ$49:$AZ$64,0),MATCH("θ2",Modelos!$AY$49:$BG$49,0))*Q36+INDEX(Modelos!$AY$49:$BG$64,MATCH(Projeçao!M$2,Modelos!$AZ$49:$AZ$64,0),MATCH("θ3",Modelos!$AY$49:$BG$49,0))*Q35+INDEX(Modelos!$AY$49:$BG$64,MATCH(Projeçao!M$2,Modelos!$AZ$49:$AZ$64,0),MATCH("c",Modelos!$AY$49:$BG$49,0))+Q38</f>
        <v>0.19557263161705224</v>
      </c>
      <c r="N38" s="6">
        <f ca="1">INDEX(Modelos!$AY$49:$BG$64,MATCH(Projeçao!N$2,Modelos!$AZ$49:$AZ$64,0),MATCH("β1",Modelos!$AY$49:$BG$49,0))*N37+INDEX(Modelos!$AY$49:$BG$64,MATCH(Projeçao!N$2,Modelos!$AZ$49:$AZ$64,0),MATCH("β2",Modelos!$AY$49:$BG$49,0))*N36+INDEX(Modelos!$AY$49:$BG$64,MATCH(Projeçao!N$2,Modelos!$AZ$49:$AZ$64,0),MATCH("β3",Modelos!$AY$49:$BG$49,0))*N35+INDEX(Modelos!$AY$49:$BG$64,MATCH(Projeçao!N$2,Modelos!$AZ$49:$AZ$64,0),MATCH("θ1",Modelos!$AY$49:$BG$49,0))*R37+INDEX(Modelos!$AY$49:$BG$64,MATCH(Projeçao!N$2,Modelos!$AZ$49:$AZ$64,0),MATCH("θ2",Modelos!$AY$49:$BG$49,0))*R36+INDEX(Modelos!$AY$49:$BG$64,MATCH(Projeçao!N$2,Modelos!$AZ$49:$AZ$64,0),MATCH("θ3",Modelos!$AY$49:$BG$49,0))*R35+INDEX(Modelos!$AY$49:$BG$64,MATCH(Projeçao!N$2,Modelos!$AZ$49:$AZ$64,0),MATCH("c",Modelos!$AY$49:$BG$49,0))+R38</f>
        <v>0.20100643999399939</v>
      </c>
      <c r="P38" s="10"/>
      <c r="Q38" s="10"/>
      <c r="R38" s="10"/>
      <c r="T38" s="6"/>
      <c r="U38" s="6">
        <f ca="1">INDEX(Modelos!$AY$68:$BG$83,MATCH(Projeçao!U$2,Modelos!$AZ$68:$AZ$83,0),MATCH("β1",Modelos!$AY$68:$BG$68,0))*U37+INDEX(Modelos!$AY$68:$BG$83,MATCH(Projeçao!U$2,Modelos!$AZ$68:$AZ$83,0),MATCH("β2",Modelos!$AY$68:$BG$68,0))*U36+INDEX(Modelos!$AY$68:$BG$83,MATCH(Projeçao!U$2,Modelos!$AZ$68:$AZ$83,0),MATCH("β3",Modelos!$AY$68:$BG$68,0))*U35+INDEX(Modelos!$AY$68:$BG$83,MATCH(Projeçao!U$2,Modelos!$AZ$68:$AZ$83,0),MATCH("θ1",Modelos!$AY$68:$BG$68,0))*Y37+INDEX(Modelos!$AY$68:$BG$83,MATCH(Projeçao!U$2,Modelos!$AZ$68:$AZ$83,0),MATCH("θ2",Modelos!$AY$68:$BG$68,0))*Y36+INDEX(Modelos!$AY$68:$BG$83,MATCH(Projeçao!U$2,Modelos!$AZ$68:$AZ$83,0),MATCH("θ3",Modelos!$AY$68:$BG$68,0))*Y35+INDEX(Modelos!$AY$68:$BG$83,MATCH(Projeçao!U$2,Modelos!$AZ$68:$AZ$83,0),MATCH("c",Modelos!$AY$68:$BG$68,0))+Y38</f>
        <v>0.58241256117837759</v>
      </c>
      <c r="V38" s="6">
        <f>INDEX(Modelos!$AY$68:$BG$83,MATCH(Projeçao!V$2,Modelos!$AZ$68:$AZ$83,0),MATCH("β1",Modelos!$AY$68:$BG$68,0))*$T37+INDEX(Modelos!$AY$68:$BG$83,MATCH(Projeçao!V$2,Modelos!$AZ$68:$AZ$83,0),MATCH("β2",Modelos!$AY$68:$BG$68,0))*$T36+INDEX(Modelos!$AY$68:$BG$83,MATCH(Projeçao!V$2,Modelos!$AZ$68:$AZ$83,0),MATCH("β3",Modelos!$AY$68:$BG$68,0))*$T35+INDEX(Modelos!$AY$68:$BG$83,MATCH(Projeçao!V$2,Modelos!$AZ$68:$AZ$83,0),MATCH("θ1",Modelos!$AY$68:$BG$68,0))*Z37+INDEX(Modelos!$AY$68:$BG$83,MATCH(Projeçao!V$2,Modelos!$AZ$68:$AZ$83,0),MATCH("θ2",Modelos!$AY$68:$BG$68,0))*Z36+INDEX(Modelos!$AY$68:$BG$83,MATCH(Projeçao!V$2,Modelos!$AZ$68:$AZ$83,0),MATCH("θ3",Modelos!$AY$68:$BG$68,0))*Z35+INDEX(Modelos!$AY$68:$BG$83,MATCH(Projeçao!V$2,Modelos!$AZ$68:$AZ$83,0),MATCH("c",Modelos!$AY$68:$BG$68,0))</f>
        <v>0.58362319402417939</v>
      </c>
      <c r="W38" s="6">
        <f ca="1">INDEX(Modelos!$AY$68:$BG$83,MATCH(Projeçao!W$2,Modelos!$AZ$68:$AZ$83,0),MATCH("β1",Modelos!$AY$68:$BG$68,0))*W37+INDEX(Modelos!$AY$68:$BG$83,MATCH(Projeçao!W$2,Modelos!$AZ$68:$AZ$83,0),MATCH("β2",Modelos!$AY$68:$BG$68,0))*W36+INDEX(Modelos!$AY$68:$BG$83,MATCH(Projeçao!W$2,Modelos!$AZ$68:$AZ$83,0),MATCH("β3",Modelos!$AY$68:$BG$68,0))*W35+INDEX(Modelos!$AY$68:$BG$83,MATCH(Projeçao!W$2,Modelos!$AZ$68:$AZ$83,0),MATCH("θ1",Modelos!$AY$68:$BG$68,0))*AA37+INDEX(Modelos!$AY$68:$BG$83,MATCH(Projeçao!W$2,Modelos!$AZ$68:$AZ$83,0),MATCH("θ2",Modelos!$AY$68:$BG$68,0))*AA36+INDEX(Modelos!$AY$68:$BG$83,MATCH(Projeçao!W$2,Modelos!$AZ$68:$AZ$83,0),MATCH("θ3",Modelos!$AY$68:$BG$68,0))*AA35+INDEX(Modelos!$AY$68:$BG$83,MATCH(Projeçao!W$2,Modelos!$AZ$68:$AZ$83,0),MATCH("c",Modelos!$AY$68:$BG$68,0))+AA38</f>
        <v>1.5463161928011238</v>
      </c>
      <c r="Y38" s="20"/>
      <c r="Z38" s="20"/>
      <c r="AA38" s="20"/>
    </row>
    <row r="39" spans="1:27" x14ac:dyDescent="0.15">
      <c r="A39" s="8">
        <f t="shared" si="10"/>
        <v>45382</v>
      </c>
      <c r="B39" s="6"/>
      <c r="C39" s="19">
        <f ca="1">INDEX(Modelos!$AY$30:$BG$45,MATCH(Projeçao!C$2,Modelos!$AZ$49:$AZ$64,0),MATCH("β1",Modelos!$AY$30:$BG$30,0))*C38+INDEX(Modelos!$AY$30:$BG$45,MATCH(Projeçao!C$2,Modelos!$AZ$49:$AZ$64,0),MATCH("β2",Modelos!$AY$30:$BG$30,0))*C37+INDEX(Modelos!$AY$30:$BG$45,MATCH(Projeçao!C$2,Modelos!$AZ$49:$AZ$64,0),MATCH("β3",Modelos!$AY$30:$BG$30,0))*C36+INDEX(Modelos!$AY$30:$BG$45,MATCH(Projeçao!C$2,Modelos!$AZ$49:$AZ$64,0),MATCH("θ1",Modelos!$AY$30:$BG$30,0))*G38+INDEX(Modelos!$AY$30:$BG$45,MATCH(Projeçao!C$2,Modelos!$AZ$49:$AZ$64,0),MATCH("θ2",Modelos!$AY$30:$BG$30,0))*G37+INDEX(Modelos!$AY$30:$BG$45,MATCH(Projeçao!C$2,Modelos!$AZ$49:$AZ$64,0),MATCH("θ3",Modelos!$AY$30:$BG$30,0))*G36+INDEX(Modelos!$AY$30:$BG$45,MATCH(Projeçao!C$2,Modelos!$AZ$49:$AZ$64,0),MATCH("c",Modelos!$AY$30:$BG$30,0))+G39</f>
        <v>0.69312794896368968</v>
      </c>
      <c r="D39" s="19">
        <f ca="1">INDEX(Modelos!$AY$30:$BG$45,MATCH(Projeçao!D$2,Modelos!$AZ$49:$AZ$64,0),MATCH("β1",Modelos!$AY$30:$BG$30,0))*D38+INDEX(Modelos!$AY$30:$BG$45,MATCH(Projeçao!D$2,Modelos!$AZ$49:$AZ$64,0),MATCH("β2",Modelos!$AY$30:$BG$30,0))*D37+INDEX(Modelos!$AY$30:$BG$45,MATCH(Projeçao!D$2,Modelos!$AZ$49:$AZ$64,0),MATCH("β3",Modelos!$AY$30:$BG$30,0))*D36+INDEX(Modelos!$AY$30:$BG$45,MATCH(Projeçao!D$2,Modelos!$AZ$49:$AZ$64,0),MATCH("θ1",Modelos!$AY$30:$BG$30,0))*H38+INDEX(Modelos!$AY$30:$BG$45,MATCH(Projeçao!D$2,Modelos!$AZ$49:$AZ$64,0),MATCH("θ2",Modelos!$AY$30:$BG$30,0))*H37+INDEX(Modelos!$AY$30:$BG$45,MATCH(Projeçao!D$2,Modelos!$AZ$49:$AZ$64,0),MATCH("θ3",Modelos!$AY$30:$BG$30,0))*H36+INDEX(Modelos!$AY$30:$BG$45,MATCH(Projeçao!D$2,Modelos!$AZ$49:$AZ$64,0),MATCH("c",Modelos!$AY$30:$BG$30,0))+H39</f>
        <v>1.1889902163688915</v>
      </c>
      <c r="E39" s="19">
        <f ca="1">INDEX(Modelos!$AY$30:$BG$45,MATCH(Projeçao!E$2,Modelos!$AZ$49:$AZ$64,0),MATCH("β1",Modelos!$AY$30:$BG$30,0))*E38+INDEX(Modelos!$AY$30:$BG$45,MATCH(Projeçao!E$2,Modelos!$AZ$49:$AZ$64,0),MATCH("β2",Modelos!$AY$30:$BG$30,0))*E37+INDEX(Modelos!$AY$30:$BG$45,MATCH(Projeçao!E$2,Modelos!$AZ$49:$AZ$64,0),MATCH("β3",Modelos!$AY$30:$BG$30,0))*E36+INDEX(Modelos!$AY$30:$BG$45,MATCH(Projeçao!E$2,Modelos!$AZ$49:$AZ$64,0),MATCH("θ1",Modelos!$AY$30:$BG$30,0))*I38+INDEX(Modelos!$AY$30:$BG$45,MATCH(Projeçao!E$2,Modelos!$AZ$49:$AZ$64,0),MATCH("θ2",Modelos!$AY$30:$BG$30,0))*I37+INDEX(Modelos!$AY$30:$BG$45,MATCH(Projeçao!E$2,Modelos!$AZ$49:$AZ$64,0),MATCH("θ3",Modelos!$AY$30:$BG$30,0))*I36+INDEX(Modelos!$AY$30:$BG$45,MATCH(Projeçao!E$2,Modelos!$AZ$49:$AZ$64,0),MATCH("c",Modelos!$AY$30:$BG$30,0))+I39</f>
        <v>0.87028342917086998</v>
      </c>
      <c r="G39" s="10"/>
      <c r="H39" s="10"/>
      <c r="I39" s="10"/>
      <c r="K39" s="6"/>
      <c r="L39" s="6">
        <f ca="1">INDEX(Modelos!$AY$49:$BG$64,MATCH(Projeçao!L$2,Modelos!$AZ$49:$AZ$64,0),MATCH("β1",Modelos!$AY$49:$BG$49,0))*L38+INDEX(Modelos!$AY$49:$BG$64,MATCH(Projeçao!L$2,Modelos!$AZ$49:$AZ$64,0),MATCH("β2",Modelos!$AY$49:$BG$49,0))*L37+INDEX(Modelos!$AY$49:$BG$64,MATCH(Projeçao!L$2,Modelos!$AZ$49:$AZ$64,0),MATCH("β3",Modelos!$AY$49:$BG$49,0))*L36+INDEX(Modelos!$AY$49:$BG$64,MATCH(Projeçao!L$2,Modelos!$AZ$49:$AZ$64,0),MATCH("θ1",Modelos!$AY$49:$BG$49,0))*P38+INDEX(Modelos!$AY$49:$BG$64,MATCH(Projeçao!L$2,Modelos!$AZ$49:$AZ$64,0),MATCH("θ2",Modelos!$AY$49:$BG$49,0))*P37+INDEX(Modelos!$AY$49:$BG$64,MATCH(Projeçao!L$2,Modelos!$AZ$49:$AZ$64,0),MATCH("θ3",Modelos!$AY$49:$BG$49,0))*P36+INDEX(Modelos!$AY$49:$BG$64,MATCH(Projeçao!L$2,Modelos!$AZ$49:$AZ$64,0),MATCH("c",Modelos!$AY$49:$BG$49,0))+P39</f>
        <v>0.25551045166171038</v>
      </c>
      <c r="M39" s="6">
        <f ca="1">INDEX(Modelos!$AY$49:$BG$64,MATCH(Projeçao!M$2,Modelos!$AZ$49:$AZ$64,0),MATCH("β1",Modelos!$AY$49:$BG$49,0))*M38+INDEX(Modelos!$AY$49:$BG$64,MATCH(Projeçao!M$2,Modelos!$AZ$49:$AZ$64,0),MATCH("β2",Modelos!$AY$49:$BG$49,0))*M37+INDEX(Modelos!$AY$49:$BG$64,MATCH(Projeçao!M$2,Modelos!$AZ$49:$AZ$64,0),MATCH("β3",Modelos!$AY$49:$BG$49,0))*M36+INDEX(Modelos!$AY$49:$BG$64,MATCH(Projeçao!M$2,Modelos!$AZ$49:$AZ$64,0),MATCH("θ1",Modelos!$AY$49:$BG$49,0))*Q38+INDEX(Modelos!$AY$49:$BG$64,MATCH(Projeçao!M$2,Modelos!$AZ$49:$AZ$64,0),MATCH("θ2",Modelos!$AY$49:$BG$49,0))*Q37+INDEX(Modelos!$AY$49:$BG$64,MATCH(Projeçao!M$2,Modelos!$AZ$49:$AZ$64,0),MATCH("θ3",Modelos!$AY$49:$BG$49,0))*Q36+INDEX(Modelos!$AY$49:$BG$64,MATCH(Projeçao!M$2,Modelos!$AZ$49:$AZ$64,0),MATCH("c",Modelos!$AY$49:$BG$49,0))+Q39</f>
        <v>0.19439800049299177</v>
      </c>
      <c r="N39" s="6">
        <f ca="1">INDEX(Modelos!$AY$49:$BG$64,MATCH(Projeçao!N$2,Modelos!$AZ$49:$AZ$64,0),MATCH("β1",Modelos!$AY$49:$BG$49,0))*N38+INDEX(Modelos!$AY$49:$BG$64,MATCH(Projeçao!N$2,Modelos!$AZ$49:$AZ$64,0),MATCH("β2",Modelos!$AY$49:$BG$49,0))*N37+INDEX(Modelos!$AY$49:$BG$64,MATCH(Projeçao!N$2,Modelos!$AZ$49:$AZ$64,0),MATCH("β3",Modelos!$AY$49:$BG$49,0))*N36+INDEX(Modelos!$AY$49:$BG$64,MATCH(Projeçao!N$2,Modelos!$AZ$49:$AZ$64,0),MATCH("θ1",Modelos!$AY$49:$BG$49,0))*R38+INDEX(Modelos!$AY$49:$BG$64,MATCH(Projeçao!N$2,Modelos!$AZ$49:$AZ$64,0),MATCH("θ2",Modelos!$AY$49:$BG$49,0))*R37+INDEX(Modelos!$AY$49:$BG$64,MATCH(Projeçao!N$2,Modelos!$AZ$49:$AZ$64,0),MATCH("θ3",Modelos!$AY$49:$BG$49,0))*R36+INDEX(Modelos!$AY$49:$BG$64,MATCH(Projeçao!N$2,Modelos!$AZ$49:$AZ$64,0),MATCH("c",Modelos!$AY$49:$BG$49,0))+R39</f>
        <v>0.20345569097464328</v>
      </c>
      <c r="P39" s="10"/>
      <c r="Q39" s="10"/>
      <c r="R39" s="10"/>
      <c r="T39" s="6"/>
      <c r="U39" s="6">
        <f ca="1">INDEX(Modelos!$AY$68:$BG$83,MATCH(Projeçao!U$2,Modelos!$AZ$68:$AZ$83,0),MATCH("β1",Modelos!$AY$68:$BG$68,0))*U38+INDEX(Modelos!$AY$68:$BG$83,MATCH(Projeçao!U$2,Modelos!$AZ$68:$AZ$83,0),MATCH("β2",Modelos!$AY$68:$BG$68,0))*U37+INDEX(Modelos!$AY$68:$BG$83,MATCH(Projeçao!U$2,Modelos!$AZ$68:$AZ$83,0),MATCH("β3",Modelos!$AY$68:$BG$68,0))*U36+INDEX(Modelos!$AY$68:$BG$83,MATCH(Projeçao!U$2,Modelos!$AZ$68:$AZ$83,0),MATCH("θ1",Modelos!$AY$68:$BG$68,0))*Y38+INDEX(Modelos!$AY$68:$BG$83,MATCH(Projeçao!U$2,Modelos!$AZ$68:$AZ$83,0),MATCH("θ2",Modelos!$AY$68:$BG$68,0))*Y37+INDEX(Modelos!$AY$68:$BG$83,MATCH(Projeçao!U$2,Modelos!$AZ$68:$AZ$83,0),MATCH("θ3",Modelos!$AY$68:$BG$68,0))*Y36+INDEX(Modelos!$AY$68:$BG$83,MATCH(Projeçao!U$2,Modelos!$AZ$68:$AZ$83,0),MATCH("c",Modelos!$AY$68:$BG$68,0))+Y39</f>
        <v>0.58241283609801886</v>
      </c>
      <c r="V39" s="6">
        <f>INDEX(Modelos!$AY$68:$BG$83,MATCH(Projeçao!V$2,Modelos!$AZ$68:$AZ$83,0),MATCH("β1",Modelos!$AY$68:$BG$68,0))*$T38+INDEX(Modelos!$AY$68:$BG$83,MATCH(Projeçao!V$2,Modelos!$AZ$68:$AZ$83,0),MATCH("β2",Modelos!$AY$68:$BG$68,0))*$T37+INDEX(Modelos!$AY$68:$BG$83,MATCH(Projeçao!V$2,Modelos!$AZ$68:$AZ$83,0),MATCH("β3",Modelos!$AY$68:$BG$68,0))*$T36+INDEX(Modelos!$AY$68:$BG$83,MATCH(Projeçao!V$2,Modelos!$AZ$68:$AZ$83,0),MATCH("θ1",Modelos!$AY$68:$BG$68,0))*Z38+INDEX(Modelos!$AY$68:$BG$83,MATCH(Projeçao!V$2,Modelos!$AZ$68:$AZ$83,0),MATCH("θ2",Modelos!$AY$68:$BG$68,0))*Z37+INDEX(Modelos!$AY$68:$BG$83,MATCH(Projeçao!V$2,Modelos!$AZ$68:$AZ$83,0),MATCH("θ3",Modelos!$AY$68:$BG$68,0))*Z36+INDEX(Modelos!$AY$68:$BG$83,MATCH(Projeçao!V$2,Modelos!$AZ$68:$AZ$83,0),MATCH("c",Modelos!$AY$68:$BG$68,0))</f>
        <v>0.58362319402417939</v>
      </c>
      <c r="W39" s="6">
        <f ca="1">INDEX(Modelos!$AY$68:$BG$83,MATCH(Projeçao!W$2,Modelos!$AZ$68:$AZ$83,0),MATCH("β1",Modelos!$AY$68:$BG$68,0))*W38+INDEX(Modelos!$AY$68:$BG$83,MATCH(Projeçao!W$2,Modelos!$AZ$68:$AZ$83,0),MATCH("β2",Modelos!$AY$68:$BG$68,0))*W37+INDEX(Modelos!$AY$68:$BG$83,MATCH(Projeçao!W$2,Modelos!$AZ$68:$AZ$83,0),MATCH("β3",Modelos!$AY$68:$BG$68,0))*W36+INDEX(Modelos!$AY$68:$BG$83,MATCH(Projeçao!W$2,Modelos!$AZ$68:$AZ$83,0),MATCH("θ1",Modelos!$AY$68:$BG$68,0))*AA38+INDEX(Modelos!$AY$68:$BG$83,MATCH(Projeçao!W$2,Modelos!$AZ$68:$AZ$83,0),MATCH("θ2",Modelos!$AY$68:$BG$68,0))*AA37+INDEX(Modelos!$AY$68:$BG$83,MATCH(Projeçao!W$2,Modelos!$AZ$68:$AZ$83,0),MATCH("θ3",Modelos!$AY$68:$BG$68,0))*AA36+INDEX(Modelos!$AY$68:$BG$83,MATCH(Projeçao!W$2,Modelos!$AZ$68:$AZ$83,0),MATCH("c",Modelos!$AY$68:$BG$68,0))+AA39</f>
        <v>3.4271920042743371</v>
      </c>
      <c r="Y39" s="20"/>
      <c r="Z39" s="20"/>
      <c r="AA39" s="20"/>
    </row>
    <row r="40" spans="1:27" x14ac:dyDescent="0.15">
      <c r="A40" s="8">
        <f t="shared" si="10"/>
        <v>45473</v>
      </c>
      <c r="B40" s="6"/>
      <c r="C40" s="19">
        <f ca="1">INDEX(Modelos!$AY$30:$BG$45,MATCH(Projeçao!C$2,Modelos!$AZ$49:$AZ$64,0),MATCH("β1",Modelos!$AY$30:$BG$30,0))*C39+INDEX(Modelos!$AY$30:$BG$45,MATCH(Projeçao!C$2,Modelos!$AZ$49:$AZ$64,0),MATCH("β2",Modelos!$AY$30:$BG$30,0))*C38+INDEX(Modelos!$AY$30:$BG$45,MATCH(Projeçao!C$2,Modelos!$AZ$49:$AZ$64,0),MATCH("β3",Modelos!$AY$30:$BG$30,0))*C37+INDEX(Modelos!$AY$30:$BG$45,MATCH(Projeçao!C$2,Modelos!$AZ$49:$AZ$64,0),MATCH("θ1",Modelos!$AY$30:$BG$30,0))*G39+INDEX(Modelos!$AY$30:$BG$45,MATCH(Projeçao!C$2,Modelos!$AZ$49:$AZ$64,0),MATCH("θ2",Modelos!$AY$30:$BG$30,0))*G38+INDEX(Modelos!$AY$30:$BG$45,MATCH(Projeçao!C$2,Modelos!$AZ$49:$AZ$64,0),MATCH("θ3",Modelos!$AY$30:$BG$30,0))*G37+INDEX(Modelos!$AY$30:$BG$45,MATCH(Projeçao!C$2,Modelos!$AZ$49:$AZ$64,0),MATCH("c",Modelos!$AY$30:$BG$30,0))+G40</f>
        <v>0.4516355804751182</v>
      </c>
      <c r="D40" s="19">
        <f ca="1">INDEX(Modelos!$AY$30:$BG$45,MATCH(Projeçao!D$2,Modelos!$AZ$49:$AZ$64,0),MATCH("β1",Modelos!$AY$30:$BG$30,0))*D39+INDEX(Modelos!$AY$30:$BG$45,MATCH(Projeçao!D$2,Modelos!$AZ$49:$AZ$64,0),MATCH("β2",Modelos!$AY$30:$BG$30,0))*D38+INDEX(Modelos!$AY$30:$BG$45,MATCH(Projeçao!D$2,Modelos!$AZ$49:$AZ$64,0),MATCH("β3",Modelos!$AY$30:$BG$30,0))*D37+INDEX(Modelos!$AY$30:$BG$45,MATCH(Projeçao!D$2,Modelos!$AZ$49:$AZ$64,0),MATCH("θ1",Modelos!$AY$30:$BG$30,0))*H39+INDEX(Modelos!$AY$30:$BG$45,MATCH(Projeçao!D$2,Modelos!$AZ$49:$AZ$64,0),MATCH("θ2",Modelos!$AY$30:$BG$30,0))*H38+INDEX(Modelos!$AY$30:$BG$45,MATCH(Projeçao!D$2,Modelos!$AZ$49:$AZ$64,0),MATCH("θ3",Modelos!$AY$30:$BG$30,0))*H37+INDEX(Modelos!$AY$30:$BG$45,MATCH(Projeçao!D$2,Modelos!$AZ$49:$AZ$64,0),MATCH("c",Modelos!$AY$30:$BG$30,0))+H40</f>
        <v>1.1317848708264124</v>
      </c>
      <c r="E40" s="19">
        <f ca="1">INDEX(Modelos!$AY$30:$BG$45,MATCH(Projeçao!E$2,Modelos!$AZ$49:$AZ$64,0),MATCH("β1",Modelos!$AY$30:$BG$30,0))*E39+INDEX(Modelos!$AY$30:$BG$45,MATCH(Projeçao!E$2,Modelos!$AZ$49:$AZ$64,0),MATCH("β2",Modelos!$AY$30:$BG$30,0))*E38+INDEX(Modelos!$AY$30:$BG$45,MATCH(Projeçao!E$2,Modelos!$AZ$49:$AZ$64,0),MATCH("β3",Modelos!$AY$30:$BG$30,0))*E37+INDEX(Modelos!$AY$30:$BG$45,MATCH(Projeçao!E$2,Modelos!$AZ$49:$AZ$64,0),MATCH("θ1",Modelos!$AY$30:$BG$30,0))*I39+INDEX(Modelos!$AY$30:$BG$45,MATCH(Projeçao!E$2,Modelos!$AZ$49:$AZ$64,0),MATCH("θ2",Modelos!$AY$30:$BG$30,0))*I38+INDEX(Modelos!$AY$30:$BG$45,MATCH(Projeçao!E$2,Modelos!$AZ$49:$AZ$64,0),MATCH("θ3",Modelos!$AY$30:$BG$30,0))*I37+INDEX(Modelos!$AY$30:$BG$45,MATCH(Projeçao!E$2,Modelos!$AZ$49:$AZ$64,0),MATCH("c",Modelos!$AY$30:$BG$30,0))+I40</f>
        <v>0.86947991968770744</v>
      </c>
      <c r="G40" s="10"/>
      <c r="H40" s="10"/>
      <c r="I40" s="10"/>
      <c r="K40" s="6"/>
      <c r="L40" s="6">
        <f ca="1">INDEX(Modelos!$AY$49:$BG$64,MATCH(Projeçao!L$2,Modelos!$AZ$49:$AZ$64,0),MATCH("β1",Modelos!$AY$49:$BG$49,0))*L39+INDEX(Modelos!$AY$49:$BG$64,MATCH(Projeçao!L$2,Modelos!$AZ$49:$AZ$64,0),MATCH("β2",Modelos!$AY$49:$BG$49,0))*L38+INDEX(Modelos!$AY$49:$BG$64,MATCH(Projeçao!L$2,Modelos!$AZ$49:$AZ$64,0),MATCH("β3",Modelos!$AY$49:$BG$49,0))*L37+INDEX(Modelos!$AY$49:$BG$64,MATCH(Projeçao!L$2,Modelos!$AZ$49:$AZ$64,0),MATCH("θ1",Modelos!$AY$49:$BG$49,0))*P39+INDEX(Modelos!$AY$49:$BG$64,MATCH(Projeçao!L$2,Modelos!$AZ$49:$AZ$64,0),MATCH("θ2",Modelos!$AY$49:$BG$49,0))*P38+INDEX(Modelos!$AY$49:$BG$64,MATCH(Projeçao!L$2,Modelos!$AZ$49:$AZ$64,0),MATCH("θ3",Modelos!$AY$49:$BG$49,0))*P37+INDEX(Modelos!$AY$49:$BG$64,MATCH(Projeçao!L$2,Modelos!$AZ$49:$AZ$64,0),MATCH("c",Modelos!$AY$49:$BG$49,0))+P40</f>
        <v>0.25551045166171038</v>
      </c>
      <c r="M40" s="6">
        <f ca="1">INDEX(Modelos!$AY$49:$BG$64,MATCH(Projeçao!M$2,Modelos!$AZ$49:$AZ$64,0),MATCH("β1",Modelos!$AY$49:$BG$49,0))*M39+INDEX(Modelos!$AY$49:$BG$64,MATCH(Projeçao!M$2,Modelos!$AZ$49:$AZ$64,0),MATCH("β2",Modelos!$AY$49:$BG$49,0))*M38+INDEX(Modelos!$AY$49:$BG$64,MATCH(Projeçao!M$2,Modelos!$AZ$49:$AZ$64,0),MATCH("β3",Modelos!$AY$49:$BG$49,0))*M37+INDEX(Modelos!$AY$49:$BG$64,MATCH(Projeçao!M$2,Modelos!$AZ$49:$AZ$64,0),MATCH("θ1",Modelos!$AY$49:$BG$49,0))*Q39+INDEX(Modelos!$AY$49:$BG$64,MATCH(Projeçao!M$2,Modelos!$AZ$49:$AZ$64,0),MATCH("θ2",Modelos!$AY$49:$BG$49,0))*Q38+INDEX(Modelos!$AY$49:$BG$64,MATCH(Projeçao!M$2,Modelos!$AZ$49:$AZ$64,0),MATCH("θ3",Modelos!$AY$49:$BG$49,0))*Q37+INDEX(Modelos!$AY$49:$BG$64,MATCH(Projeçao!M$2,Modelos!$AZ$49:$AZ$64,0),MATCH("c",Modelos!$AY$49:$BG$49,0))+Q40</f>
        <v>0.19555295205237591</v>
      </c>
      <c r="N40" s="6">
        <f ca="1">INDEX(Modelos!$AY$49:$BG$64,MATCH(Projeçao!N$2,Modelos!$AZ$49:$AZ$64,0),MATCH("β1",Modelos!$AY$49:$BG$49,0))*N39+INDEX(Modelos!$AY$49:$BG$64,MATCH(Projeçao!N$2,Modelos!$AZ$49:$AZ$64,0),MATCH("β2",Modelos!$AY$49:$BG$49,0))*N38+INDEX(Modelos!$AY$49:$BG$64,MATCH(Projeçao!N$2,Modelos!$AZ$49:$AZ$64,0),MATCH("β3",Modelos!$AY$49:$BG$49,0))*N37+INDEX(Modelos!$AY$49:$BG$64,MATCH(Projeçao!N$2,Modelos!$AZ$49:$AZ$64,0),MATCH("θ1",Modelos!$AY$49:$BG$49,0))*R39+INDEX(Modelos!$AY$49:$BG$64,MATCH(Projeçao!N$2,Modelos!$AZ$49:$AZ$64,0),MATCH("θ2",Modelos!$AY$49:$BG$49,0))*R38+INDEX(Modelos!$AY$49:$BG$64,MATCH(Projeçao!N$2,Modelos!$AZ$49:$AZ$64,0),MATCH("θ3",Modelos!$AY$49:$BG$49,0))*R37+INDEX(Modelos!$AY$49:$BG$64,MATCH(Projeçao!N$2,Modelos!$AZ$49:$AZ$64,0),MATCH("c",Modelos!$AY$49:$BG$49,0))+R40</f>
        <v>0.20250591843881158</v>
      </c>
      <c r="P40" s="10"/>
      <c r="Q40" s="10"/>
      <c r="R40" s="10"/>
      <c r="T40" s="6"/>
      <c r="U40" s="6">
        <f ca="1">INDEX(Modelos!$AY$68:$BG$83,MATCH(Projeçao!U$2,Modelos!$AZ$68:$AZ$83,0),MATCH("β1",Modelos!$AY$68:$BG$68,0))*U39+INDEX(Modelos!$AY$68:$BG$83,MATCH(Projeçao!U$2,Modelos!$AZ$68:$AZ$83,0),MATCH("β2",Modelos!$AY$68:$BG$68,0))*U38+INDEX(Modelos!$AY$68:$BG$83,MATCH(Projeçao!U$2,Modelos!$AZ$68:$AZ$83,0),MATCH("β3",Modelos!$AY$68:$BG$68,0))*U37+INDEX(Modelos!$AY$68:$BG$83,MATCH(Projeçao!U$2,Modelos!$AZ$68:$AZ$83,0),MATCH("θ1",Modelos!$AY$68:$BG$68,0))*Y39+INDEX(Modelos!$AY$68:$BG$83,MATCH(Projeçao!U$2,Modelos!$AZ$68:$AZ$83,0),MATCH("θ2",Modelos!$AY$68:$BG$68,0))*Y38+INDEX(Modelos!$AY$68:$BG$83,MATCH(Projeçao!U$2,Modelos!$AZ$68:$AZ$83,0),MATCH("θ3",Modelos!$AY$68:$BG$68,0))*Y37+INDEX(Modelos!$AY$68:$BG$83,MATCH(Projeçao!U$2,Modelos!$AZ$68:$AZ$83,0),MATCH("c",Modelos!$AY$68:$BG$68,0))+Y40</f>
        <v>0.58241282302134634</v>
      </c>
      <c r="V40" s="6">
        <f>INDEX(Modelos!$AY$68:$BG$83,MATCH(Projeçao!V$2,Modelos!$AZ$68:$AZ$83,0),MATCH("β1",Modelos!$AY$68:$BG$68,0))*$T39+INDEX(Modelos!$AY$68:$BG$83,MATCH(Projeçao!V$2,Modelos!$AZ$68:$AZ$83,0),MATCH("β2",Modelos!$AY$68:$BG$68,0))*$T38+INDEX(Modelos!$AY$68:$BG$83,MATCH(Projeçao!V$2,Modelos!$AZ$68:$AZ$83,0),MATCH("β3",Modelos!$AY$68:$BG$68,0))*$T37+INDEX(Modelos!$AY$68:$BG$83,MATCH(Projeçao!V$2,Modelos!$AZ$68:$AZ$83,0),MATCH("θ1",Modelos!$AY$68:$BG$68,0))*Z39+INDEX(Modelos!$AY$68:$BG$83,MATCH(Projeçao!V$2,Modelos!$AZ$68:$AZ$83,0),MATCH("θ2",Modelos!$AY$68:$BG$68,0))*Z38+INDEX(Modelos!$AY$68:$BG$83,MATCH(Projeçao!V$2,Modelos!$AZ$68:$AZ$83,0),MATCH("θ3",Modelos!$AY$68:$BG$68,0))*Z37+INDEX(Modelos!$AY$68:$BG$83,MATCH(Projeçao!V$2,Modelos!$AZ$68:$AZ$83,0),MATCH("c",Modelos!$AY$68:$BG$68,0))</f>
        <v>0.58362319402417939</v>
      </c>
      <c r="W40" s="6">
        <f ca="1">INDEX(Modelos!$AY$68:$BG$83,MATCH(Projeçao!W$2,Modelos!$AZ$68:$AZ$83,0),MATCH("β1",Modelos!$AY$68:$BG$68,0))*W39+INDEX(Modelos!$AY$68:$BG$83,MATCH(Projeçao!W$2,Modelos!$AZ$68:$AZ$83,0),MATCH("β2",Modelos!$AY$68:$BG$68,0))*W38+INDEX(Modelos!$AY$68:$BG$83,MATCH(Projeçao!W$2,Modelos!$AZ$68:$AZ$83,0),MATCH("β3",Modelos!$AY$68:$BG$68,0))*W37+INDEX(Modelos!$AY$68:$BG$83,MATCH(Projeçao!W$2,Modelos!$AZ$68:$AZ$83,0),MATCH("θ1",Modelos!$AY$68:$BG$68,0))*AA39+INDEX(Modelos!$AY$68:$BG$83,MATCH(Projeçao!W$2,Modelos!$AZ$68:$AZ$83,0),MATCH("θ2",Modelos!$AY$68:$BG$68,0))*AA38+INDEX(Modelos!$AY$68:$BG$83,MATCH(Projeçao!W$2,Modelos!$AZ$68:$AZ$83,0),MATCH("θ3",Modelos!$AY$68:$BG$68,0))*AA37+INDEX(Modelos!$AY$68:$BG$83,MATCH(Projeçao!W$2,Modelos!$AZ$68:$AZ$83,0),MATCH("c",Modelos!$AY$68:$BG$68,0))+AA40</f>
        <v>-4.4328194176734055</v>
      </c>
      <c r="Y40" s="20"/>
      <c r="Z40" s="20"/>
      <c r="AA40" s="20"/>
    </row>
    <row r="41" spans="1:27" x14ac:dyDescent="0.15">
      <c r="A41" s="8">
        <f t="shared" si="10"/>
        <v>45565</v>
      </c>
      <c r="B41" s="6"/>
      <c r="C41" s="19">
        <f ca="1">INDEX(Modelos!$AY$30:$BG$45,MATCH(Projeçao!C$2,Modelos!$AZ$49:$AZ$64,0),MATCH("β1",Modelos!$AY$30:$BG$30,0))*C40+INDEX(Modelos!$AY$30:$BG$45,MATCH(Projeçao!C$2,Modelos!$AZ$49:$AZ$64,0),MATCH("β2",Modelos!$AY$30:$BG$30,0))*C39+INDEX(Modelos!$AY$30:$BG$45,MATCH(Projeçao!C$2,Modelos!$AZ$49:$AZ$64,0),MATCH("β3",Modelos!$AY$30:$BG$30,0))*C38+INDEX(Modelos!$AY$30:$BG$45,MATCH(Projeçao!C$2,Modelos!$AZ$49:$AZ$64,0),MATCH("θ1",Modelos!$AY$30:$BG$30,0))*G40+INDEX(Modelos!$AY$30:$BG$45,MATCH(Projeçao!C$2,Modelos!$AZ$49:$AZ$64,0),MATCH("θ2",Modelos!$AY$30:$BG$30,0))*G39+INDEX(Modelos!$AY$30:$BG$45,MATCH(Projeçao!C$2,Modelos!$AZ$49:$AZ$64,0),MATCH("θ3",Modelos!$AY$30:$BG$30,0))*G38+INDEX(Modelos!$AY$30:$BG$45,MATCH(Projeçao!C$2,Modelos!$AZ$49:$AZ$64,0),MATCH("c",Modelos!$AY$30:$BG$30,0))+G41</f>
        <v>0.58543626983934138</v>
      </c>
      <c r="D41" s="19">
        <f ca="1">INDEX(Modelos!$AY$30:$BG$45,MATCH(Projeçao!D$2,Modelos!$AZ$49:$AZ$64,0),MATCH("β1",Modelos!$AY$30:$BG$30,0))*D40+INDEX(Modelos!$AY$30:$BG$45,MATCH(Projeçao!D$2,Modelos!$AZ$49:$AZ$64,0),MATCH("β2",Modelos!$AY$30:$BG$30,0))*D39+INDEX(Modelos!$AY$30:$BG$45,MATCH(Projeçao!D$2,Modelos!$AZ$49:$AZ$64,0),MATCH("β3",Modelos!$AY$30:$BG$30,0))*D38+INDEX(Modelos!$AY$30:$BG$45,MATCH(Projeçao!D$2,Modelos!$AZ$49:$AZ$64,0),MATCH("θ1",Modelos!$AY$30:$BG$30,0))*H40+INDEX(Modelos!$AY$30:$BG$45,MATCH(Projeçao!D$2,Modelos!$AZ$49:$AZ$64,0),MATCH("θ2",Modelos!$AY$30:$BG$30,0))*H39+INDEX(Modelos!$AY$30:$BG$45,MATCH(Projeçao!D$2,Modelos!$AZ$49:$AZ$64,0),MATCH("θ3",Modelos!$AY$30:$BG$30,0))*H38+INDEX(Modelos!$AY$30:$BG$45,MATCH(Projeçao!D$2,Modelos!$AZ$49:$AZ$64,0),MATCH("c",Modelos!$AY$30:$BG$30,0))+H41</f>
        <v>1.0798096771600691</v>
      </c>
      <c r="E41" s="19">
        <f ca="1">INDEX(Modelos!$AY$30:$BG$45,MATCH(Projeçao!E$2,Modelos!$AZ$49:$AZ$64,0),MATCH("β1",Modelos!$AY$30:$BG$30,0))*E40+INDEX(Modelos!$AY$30:$BG$45,MATCH(Projeçao!E$2,Modelos!$AZ$49:$AZ$64,0),MATCH("β2",Modelos!$AY$30:$BG$30,0))*E39+INDEX(Modelos!$AY$30:$BG$45,MATCH(Projeçao!E$2,Modelos!$AZ$49:$AZ$64,0),MATCH("β3",Modelos!$AY$30:$BG$30,0))*E38+INDEX(Modelos!$AY$30:$BG$45,MATCH(Projeçao!E$2,Modelos!$AZ$49:$AZ$64,0),MATCH("θ1",Modelos!$AY$30:$BG$30,0))*I40+INDEX(Modelos!$AY$30:$BG$45,MATCH(Projeçao!E$2,Modelos!$AZ$49:$AZ$64,0),MATCH("θ2",Modelos!$AY$30:$BG$30,0))*I39+INDEX(Modelos!$AY$30:$BG$45,MATCH(Projeçao!E$2,Modelos!$AZ$49:$AZ$64,0),MATCH("θ3",Modelos!$AY$30:$BG$30,0))*I38+INDEX(Modelos!$AY$30:$BG$45,MATCH(Projeçao!E$2,Modelos!$AZ$49:$AZ$64,0),MATCH("c",Modelos!$AY$30:$BG$30,0))+I41</f>
        <v>0.86935286158509828</v>
      </c>
      <c r="G41" s="10"/>
      <c r="H41" s="10"/>
      <c r="I41" s="10"/>
      <c r="K41" s="6"/>
      <c r="L41" s="6">
        <f ca="1">INDEX(Modelos!$AY$49:$BG$64,MATCH(Projeçao!L$2,Modelos!$AZ$49:$AZ$64,0),MATCH("β1",Modelos!$AY$49:$BG$49,0))*L40+INDEX(Modelos!$AY$49:$BG$64,MATCH(Projeçao!L$2,Modelos!$AZ$49:$AZ$64,0),MATCH("β2",Modelos!$AY$49:$BG$49,0))*L39+INDEX(Modelos!$AY$49:$BG$64,MATCH(Projeçao!L$2,Modelos!$AZ$49:$AZ$64,0),MATCH("β3",Modelos!$AY$49:$BG$49,0))*L38+INDEX(Modelos!$AY$49:$BG$64,MATCH(Projeçao!L$2,Modelos!$AZ$49:$AZ$64,0),MATCH("θ1",Modelos!$AY$49:$BG$49,0))*P40+INDEX(Modelos!$AY$49:$BG$64,MATCH(Projeçao!L$2,Modelos!$AZ$49:$AZ$64,0),MATCH("θ2",Modelos!$AY$49:$BG$49,0))*P39+INDEX(Modelos!$AY$49:$BG$64,MATCH(Projeçao!L$2,Modelos!$AZ$49:$AZ$64,0),MATCH("θ3",Modelos!$AY$49:$BG$49,0))*P38+INDEX(Modelos!$AY$49:$BG$64,MATCH(Projeçao!L$2,Modelos!$AZ$49:$AZ$64,0),MATCH("c",Modelos!$AY$49:$BG$49,0))+P41</f>
        <v>0.25551045166171038</v>
      </c>
      <c r="M41" s="6">
        <f ca="1">INDEX(Modelos!$AY$49:$BG$64,MATCH(Projeçao!M$2,Modelos!$AZ$49:$AZ$64,0),MATCH("β1",Modelos!$AY$49:$BG$49,0))*M40+INDEX(Modelos!$AY$49:$BG$64,MATCH(Projeçao!M$2,Modelos!$AZ$49:$AZ$64,0),MATCH("β2",Modelos!$AY$49:$BG$49,0))*M39+INDEX(Modelos!$AY$49:$BG$64,MATCH(Projeçao!M$2,Modelos!$AZ$49:$AZ$64,0),MATCH("β3",Modelos!$AY$49:$BG$49,0))*M38+INDEX(Modelos!$AY$49:$BG$64,MATCH(Projeçao!M$2,Modelos!$AZ$49:$AZ$64,0),MATCH("θ1",Modelos!$AY$49:$BG$49,0))*Q40+INDEX(Modelos!$AY$49:$BG$64,MATCH(Projeçao!M$2,Modelos!$AZ$49:$AZ$64,0),MATCH("θ2",Modelos!$AY$49:$BG$49,0))*Q39+INDEX(Modelos!$AY$49:$BG$64,MATCH(Projeçao!M$2,Modelos!$AZ$49:$AZ$64,0),MATCH("θ3",Modelos!$AY$49:$BG$49,0))*Q38+INDEX(Modelos!$AY$49:$BG$64,MATCH(Projeçao!M$2,Modelos!$AZ$49:$AZ$64,0),MATCH("c",Modelos!$AY$49:$BG$49,0))+Q41</f>
        <v>0.19402269820751594</v>
      </c>
      <c r="N41" s="6">
        <f ca="1">INDEX(Modelos!$AY$49:$BG$64,MATCH(Projeçao!N$2,Modelos!$AZ$49:$AZ$64,0),MATCH("β1",Modelos!$AY$49:$BG$49,0))*N40+INDEX(Modelos!$AY$49:$BG$64,MATCH(Projeçao!N$2,Modelos!$AZ$49:$AZ$64,0),MATCH("β2",Modelos!$AY$49:$BG$49,0))*N39+INDEX(Modelos!$AY$49:$BG$64,MATCH(Projeçao!N$2,Modelos!$AZ$49:$AZ$64,0),MATCH("β3",Modelos!$AY$49:$BG$49,0))*N38+INDEX(Modelos!$AY$49:$BG$64,MATCH(Projeçao!N$2,Modelos!$AZ$49:$AZ$64,0),MATCH("θ1",Modelos!$AY$49:$BG$49,0))*R40+INDEX(Modelos!$AY$49:$BG$64,MATCH(Projeçao!N$2,Modelos!$AZ$49:$AZ$64,0),MATCH("θ2",Modelos!$AY$49:$BG$49,0))*R39+INDEX(Modelos!$AY$49:$BG$64,MATCH(Projeçao!N$2,Modelos!$AZ$49:$AZ$64,0),MATCH("θ3",Modelos!$AY$49:$BG$49,0))*R38+INDEX(Modelos!$AY$49:$BG$64,MATCH(Projeçao!N$2,Modelos!$AZ$49:$AZ$64,0),MATCH("c",Modelos!$AY$49:$BG$49,0))+R41</f>
        <v>0.20310489475826107</v>
      </c>
      <c r="P41" s="10"/>
      <c r="Q41" s="10"/>
      <c r="R41" s="10"/>
      <c r="T41" s="6"/>
      <c r="U41" s="6">
        <f ca="1">INDEX(Modelos!$AY$68:$BG$83,MATCH(Projeçao!U$2,Modelos!$AZ$68:$AZ$83,0),MATCH("β1",Modelos!$AY$68:$BG$68,0))*U40+INDEX(Modelos!$AY$68:$BG$83,MATCH(Projeçao!U$2,Modelos!$AZ$68:$AZ$83,0),MATCH("β2",Modelos!$AY$68:$BG$68,0))*U39+INDEX(Modelos!$AY$68:$BG$83,MATCH(Projeçao!U$2,Modelos!$AZ$68:$AZ$83,0),MATCH("β3",Modelos!$AY$68:$BG$68,0))*U38+INDEX(Modelos!$AY$68:$BG$83,MATCH(Projeçao!U$2,Modelos!$AZ$68:$AZ$83,0),MATCH("θ1",Modelos!$AY$68:$BG$68,0))*Y40+INDEX(Modelos!$AY$68:$BG$83,MATCH(Projeçao!U$2,Modelos!$AZ$68:$AZ$83,0),MATCH("θ2",Modelos!$AY$68:$BG$68,0))*Y39+INDEX(Modelos!$AY$68:$BG$83,MATCH(Projeçao!U$2,Modelos!$AZ$68:$AZ$83,0),MATCH("θ3",Modelos!$AY$68:$BG$68,0))*Y38+INDEX(Modelos!$AY$68:$BG$83,MATCH(Projeçao!U$2,Modelos!$AZ$68:$AZ$83,0),MATCH("c",Modelos!$AY$68:$BG$68,0))+Y41</f>
        <v>0.58241282364334401</v>
      </c>
      <c r="V41" s="6">
        <f>INDEX(Modelos!$AY$68:$BG$83,MATCH(Projeçao!V$2,Modelos!$AZ$68:$AZ$83,0),MATCH("β1",Modelos!$AY$68:$BG$68,0))*$T40+INDEX(Modelos!$AY$68:$BG$83,MATCH(Projeçao!V$2,Modelos!$AZ$68:$AZ$83,0),MATCH("β2",Modelos!$AY$68:$BG$68,0))*$T39+INDEX(Modelos!$AY$68:$BG$83,MATCH(Projeçao!V$2,Modelos!$AZ$68:$AZ$83,0),MATCH("β3",Modelos!$AY$68:$BG$68,0))*$T38+INDEX(Modelos!$AY$68:$BG$83,MATCH(Projeçao!V$2,Modelos!$AZ$68:$AZ$83,0),MATCH("θ1",Modelos!$AY$68:$BG$68,0))*Z40+INDEX(Modelos!$AY$68:$BG$83,MATCH(Projeçao!V$2,Modelos!$AZ$68:$AZ$83,0),MATCH("θ2",Modelos!$AY$68:$BG$68,0))*Z39+INDEX(Modelos!$AY$68:$BG$83,MATCH(Projeçao!V$2,Modelos!$AZ$68:$AZ$83,0),MATCH("θ3",Modelos!$AY$68:$BG$68,0))*Z38+INDEX(Modelos!$AY$68:$BG$83,MATCH(Projeçao!V$2,Modelos!$AZ$68:$AZ$83,0),MATCH("c",Modelos!$AY$68:$BG$68,0))</f>
        <v>0.58362319402417939</v>
      </c>
      <c r="W41" s="6">
        <f ca="1">INDEX(Modelos!$AY$68:$BG$83,MATCH(Projeçao!W$2,Modelos!$AZ$68:$AZ$83,0),MATCH("β1",Modelos!$AY$68:$BG$68,0))*W40+INDEX(Modelos!$AY$68:$BG$83,MATCH(Projeçao!W$2,Modelos!$AZ$68:$AZ$83,0),MATCH("β2",Modelos!$AY$68:$BG$68,0))*W39+INDEX(Modelos!$AY$68:$BG$83,MATCH(Projeçao!W$2,Modelos!$AZ$68:$AZ$83,0),MATCH("β3",Modelos!$AY$68:$BG$68,0))*W38+INDEX(Modelos!$AY$68:$BG$83,MATCH(Projeçao!W$2,Modelos!$AZ$68:$AZ$83,0),MATCH("θ1",Modelos!$AY$68:$BG$68,0))*AA40+INDEX(Modelos!$AY$68:$BG$83,MATCH(Projeçao!W$2,Modelos!$AZ$68:$AZ$83,0),MATCH("θ2",Modelos!$AY$68:$BG$68,0))*AA39+INDEX(Modelos!$AY$68:$BG$83,MATCH(Projeçao!W$2,Modelos!$AZ$68:$AZ$83,0),MATCH("θ3",Modelos!$AY$68:$BG$68,0))*AA38+INDEX(Modelos!$AY$68:$BG$83,MATCH(Projeçao!W$2,Modelos!$AZ$68:$AZ$83,0),MATCH("c",Modelos!$AY$68:$BG$68,0))+AA41</f>
        <v>5.4111273155191402</v>
      </c>
      <c r="Y41" s="20"/>
      <c r="Z41" s="20"/>
      <c r="AA41" s="20"/>
    </row>
    <row r="42" spans="1:27" x14ac:dyDescent="0.15">
      <c r="A42" s="8">
        <f t="shared" si="10"/>
        <v>45657</v>
      </c>
      <c r="B42" s="6"/>
      <c r="C42" s="19">
        <f ca="1">INDEX(Modelos!$AY$30:$BG$45,MATCH(Projeçao!C$2,Modelos!$AZ$49:$AZ$64,0),MATCH("β1",Modelos!$AY$30:$BG$30,0))*C41+INDEX(Modelos!$AY$30:$BG$45,MATCH(Projeçao!C$2,Modelos!$AZ$49:$AZ$64,0),MATCH("β2",Modelos!$AY$30:$BG$30,0))*C40+INDEX(Modelos!$AY$30:$BG$45,MATCH(Projeçao!C$2,Modelos!$AZ$49:$AZ$64,0),MATCH("β3",Modelos!$AY$30:$BG$30,0))*C39+INDEX(Modelos!$AY$30:$BG$45,MATCH(Projeçao!C$2,Modelos!$AZ$49:$AZ$64,0),MATCH("θ1",Modelos!$AY$30:$BG$30,0))*G41+INDEX(Modelos!$AY$30:$BG$45,MATCH(Projeçao!C$2,Modelos!$AZ$49:$AZ$64,0),MATCH("θ2",Modelos!$AY$30:$BG$30,0))*G40+INDEX(Modelos!$AY$30:$BG$45,MATCH(Projeçao!C$2,Modelos!$AZ$49:$AZ$64,0),MATCH("θ3",Modelos!$AY$30:$BG$30,0))*G39+INDEX(Modelos!$AY$30:$BG$45,MATCH(Projeçao!C$2,Modelos!$AZ$49:$AZ$64,0),MATCH("c",Modelos!$AY$30:$BG$30,0))+G42</f>
        <v>0.70369456576439393</v>
      </c>
      <c r="D42" s="19">
        <f ca="1">INDEX(Modelos!$AY$30:$BG$45,MATCH(Projeçao!D$2,Modelos!$AZ$49:$AZ$64,0),MATCH("β1",Modelos!$AY$30:$BG$30,0))*D41+INDEX(Modelos!$AY$30:$BG$45,MATCH(Projeçao!D$2,Modelos!$AZ$49:$AZ$64,0),MATCH("β2",Modelos!$AY$30:$BG$30,0))*D40+INDEX(Modelos!$AY$30:$BG$45,MATCH(Projeçao!D$2,Modelos!$AZ$49:$AZ$64,0),MATCH("β3",Modelos!$AY$30:$BG$30,0))*D39+INDEX(Modelos!$AY$30:$BG$45,MATCH(Projeçao!D$2,Modelos!$AZ$49:$AZ$64,0),MATCH("θ1",Modelos!$AY$30:$BG$30,0))*H41+INDEX(Modelos!$AY$30:$BG$45,MATCH(Projeçao!D$2,Modelos!$AZ$49:$AZ$64,0),MATCH("θ2",Modelos!$AY$30:$BG$30,0))*H40+INDEX(Modelos!$AY$30:$BG$45,MATCH(Projeçao!D$2,Modelos!$AZ$49:$AZ$64,0),MATCH("θ3",Modelos!$AY$30:$BG$30,0))*H39+INDEX(Modelos!$AY$30:$BG$45,MATCH(Projeçao!D$2,Modelos!$AZ$49:$AZ$64,0),MATCH("c",Modelos!$AY$30:$BG$30,0))+H42</f>
        <v>1.0376374707719271</v>
      </c>
      <c r="E42" s="19">
        <f ca="1">INDEX(Modelos!$AY$30:$BG$45,MATCH(Projeçao!E$2,Modelos!$AZ$49:$AZ$64,0),MATCH("β1",Modelos!$AY$30:$BG$30,0))*E41+INDEX(Modelos!$AY$30:$BG$45,MATCH(Projeçao!E$2,Modelos!$AZ$49:$AZ$64,0),MATCH("β2",Modelos!$AY$30:$BG$30,0))*E40+INDEX(Modelos!$AY$30:$BG$45,MATCH(Projeçao!E$2,Modelos!$AZ$49:$AZ$64,0),MATCH("β3",Modelos!$AY$30:$BG$30,0))*E39+INDEX(Modelos!$AY$30:$BG$45,MATCH(Projeçao!E$2,Modelos!$AZ$49:$AZ$64,0),MATCH("θ1",Modelos!$AY$30:$BG$30,0))*I41+INDEX(Modelos!$AY$30:$BG$45,MATCH(Projeçao!E$2,Modelos!$AZ$49:$AZ$64,0),MATCH("θ2",Modelos!$AY$30:$BG$30,0))*I40+INDEX(Modelos!$AY$30:$BG$45,MATCH(Projeçao!E$2,Modelos!$AZ$49:$AZ$64,0),MATCH("θ3",Modelos!$AY$30:$BG$30,0))*I39+INDEX(Modelos!$AY$30:$BG$45,MATCH(Projeçao!E$2,Modelos!$AZ$49:$AZ$64,0),MATCH("c",Modelos!$AY$30:$BG$30,0))+I42</f>
        <v>0.86951691646585461</v>
      </c>
      <c r="G42" s="10"/>
      <c r="H42" s="10"/>
      <c r="I42" s="10"/>
      <c r="K42" s="6"/>
      <c r="L42" s="6">
        <f ca="1">INDEX(Modelos!$AY$49:$BG$64,MATCH(Projeçao!L$2,Modelos!$AZ$49:$AZ$64,0),MATCH("β1",Modelos!$AY$49:$BG$49,0))*L41+INDEX(Modelos!$AY$49:$BG$64,MATCH(Projeçao!L$2,Modelos!$AZ$49:$AZ$64,0),MATCH("β2",Modelos!$AY$49:$BG$49,0))*L40+INDEX(Modelos!$AY$49:$BG$64,MATCH(Projeçao!L$2,Modelos!$AZ$49:$AZ$64,0),MATCH("β3",Modelos!$AY$49:$BG$49,0))*L39+INDEX(Modelos!$AY$49:$BG$64,MATCH(Projeçao!L$2,Modelos!$AZ$49:$AZ$64,0),MATCH("θ1",Modelos!$AY$49:$BG$49,0))*P41+INDEX(Modelos!$AY$49:$BG$64,MATCH(Projeçao!L$2,Modelos!$AZ$49:$AZ$64,0),MATCH("θ2",Modelos!$AY$49:$BG$49,0))*P40+INDEX(Modelos!$AY$49:$BG$64,MATCH(Projeçao!L$2,Modelos!$AZ$49:$AZ$64,0),MATCH("θ3",Modelos!$AY$49:$BG$49,0))*P39+INDEX(Modelos!$AY$49:$BG$64,MATCH(Projeçao!L$2,Modelos!$AZ$49:$AZ$64,0),MATCH("c",Modelos!$AY$49:$BG$49,0))+P42</f>
        <v>0.25551045166171038</v>
      </c>
      <c r="M42" s="6">
        <f ca="1">INDEX(Modelos!$AY$49:$BG$64,MATCH(Projeçao!M$2,Modelos!$AZ$49:$AZ$64,0),MATCH("β1",Modelos!$AY$49:$BG$49,0))*M41+INDEX(Modelos!$AY$49:$BG$64,MATCH(Projeçao!M$2,Modelos!$AZ$49:$AZ$64,0),MATCH("β2",Modelos!$AY$49:$BG$49,0))*M40+INDEX(Modelos!$AY$49:$BG$64,MATCH(Projeçao!M$2,Modelos!$AZ$49:$AZ$64,0),MATCH("β3",Modelos!$AY$49:$BG$49,0))*M39+INDEX(Modelos!$AY$49:$BG$64,MATCH(Projeçao!M$2,Modelos!$AZ$49:$AZ$64,0),MATCH("θ1",Modelos!$AY$49:$BG$49,0))*Q41+INDEX(Modelos!$AY$49:$BG$64,MATCH(Projeçao!M$2,Modelos!$AZ$49:$AZ$64,0),MATCH("θ2",Modelos!$AY$49:$BG$49,0))*Q40+INDEX(Modelos!$AY$49:$BG$64,MATCH(Projeçao!M$2,Modelos!$AZ$49:$AZ$64,0),MATCH("θ3",Modelos!$AY$49:$BG$49,0))*Q39+INDEX(Modelos!$AY$49:$BG$64,MATCH(Projeçao!M$2,Modelos!$AZ$49:$AZ$64,0),MATCH("c",Modelos!$AY$49:$BG$49,0))+Q42</f>
        <v>0.19481932511441813</v>
      </c>
      <c r="N42" s="6">
        <f ca="1">INDEX(Modelos!$AY$49:$BG$64,MATCH(Projeçao!N$2,Modelos!$AZ$49:$AZ$64,0),MATCH("β1",Modelos!$AY$49:$BG$49,0))*N41+INDEX(Modelos!$AY$49:$BG$64,MATCH(Projeçao!N$2,Modelos!$AZ$49:$AZ$64,0),MATCH("β2",Modelos!$AY$49:$BG$49,0))*N40+INDEX(Modelos!$AY$49:$BG$64,MATCH(Projeçao!N$2,Modelos!$AZ$49:$AZ$64,0),MATCH("β3",Modelos!$AY$49:$BG$49,0))*N39+INDEX(Modelos!$AY$49:$BG$64,MATCH(Projeçao!N$2,Modelos!$AZ$49:$AZ$64,0),MATCH("θ1",Modelos!$AY$49:$BG$49,0))*R41+INDEX(Modelos!$AY$49:$BG$64,MATCH(Projeçao!N$2,Modelos!$AZ$49:$AZ$64,0),MATCH("θ2",Modelos!$AY$49:$BG$49,0))*R40+INDEX(Modelos!$AY$49:$BG$64,MATCH(Projeçao!N$2,Modelos!$AZ$49:$AZ$64,0),MATCH("θ3",Modelos!$AY$49:$BG$49,0))*R39+INDEX(Modelos!$AY$49:$BG$64,MATCH(Projeçao!N$2,Modelos!$AZ$49:$AZ$64,0),MATCH("c",Modelos!$AY$49:$BG$49,0))+R42</f>
        <v>0.2028455074538712</v>
      </c>
      <c r="P42" s="10"/>
      <c r="Q42" s="10"/>
      <c r="R42" s="10"/>
      <c r="T42" s="6"/>
      <c r="U42" s="6">
        <f ca="1">INDEX(Modelos!$AY$68:$BG$83,MATCH(Projeçao!U$2,Modelos!$AZ$68:$AZ$83,0),MATCH("β1",Modelos!$AY$68:$BG$68,0))*U41+INDEX(Modelos!$AY$68:$BG$83,MATCH(Projeçao!U$2,Modelos!$AZ$68:$AZ$83,0),MATCH("β2",Modelos!$AY$68:$BG$68,0))*U40+INDEX(Modelos!$AY$68:$BG$83,MATCH(Projeçao!U$2,Modelos!$AZ$68:$AZ$83,0),MATCH("β3",Modelos!$AY$68:$BG$68,0))*U39+INDEX(Modelos!$AY$68:$BG$83,MATCH(Projeçao!U$2,Modelos!$AZ$68:$AZ$83,0),MATCH("θ1",Modelos!$AY$68:$BG$68,0))*Y41+INDEX(Modelos!$AY$68:$BG$83,MATCH(Projeçao!U$2,Modelos!$AZ$68:$AZ$83,0),MATCH("θ2",Modelos!$AY$68:$BG$68,0))*Y40+INDEX(Modelos!$AY$68:$BG$83,MATCH(Projeçao!U$2,Modelos!$AZ$68:$AZ$83,0),MATCH("θ3",Modelos!$AY$68:$BG$68,0))*Y39+INDEX(Modelos!$AY$68:$BG$83,MATCH(Projeçao!U$2,Modelos!$AZ$68:$AZ$83,0),MATCH("c",Modelos!$AY$68:$BG$68,0))+Y42</f>
        <v>0.58241282361375835</v>
      </c>
      <c r="V42" s="6">
        <f>INDEX(Modelos!$AY$68:$BG$83,MATCH(Projeçao!V$2,Modelos!$AZ$68:$AZ$83,0),MATCH("β1",Modelos!$AY$68:$BG$68,0))*$T41+INDEX(Modelos!$AY$68:$BG$83,MATCH(Projeçao!V$2,Modelos!$AZ$68:$AZ$83,0),MATCH("β2",Modelos!$AY$68:$BG$68,0))*$T40+INDEX(Modelos!$AY$68:$BG$83,MATCH(Projeçao!V$2,Modelos!$AZ$68:$AZ$83,0),MATCH("β3",Modelos!$AY$68:$BG$68,0))*$T39+INDEX(Modelos!$AY$68:$BG$83,MATCH(Projeçao!V$2,Modelos!$AZ$68:$AZ$83,0),MATCH("θ1",Modelos!$AY$68:$BG$68,0))*Z41+INDEX(Modelos!$AY$68:$BG$83,MATCH(Projeçao!V$2,Modelos!$AZ$68:$AZ$83,0),MATCH("θ2",Modelos!$AY$68:$BG$68,0))*Z40+INDEX(Modelos!$AY$68:$BG$83,MATCH(Projeçao!V$2,Modelos!$AZ$68:$AZ$83,0),MATCH("θ3",Modelos!$AY$68:$BG$68,0))*Z39+INDEX(Modelos!$AY$68:$BG$83,MATCH(Projeçao!V$2,Modelos!$AZ$68:$AZ$83,0),MATCH("c",Modelos!$AY$68:$BG$68,0))</f>
        <v>0.58362319402417939</v>
      </c>
      <c r="W42" s="6">
        <f ca="1">INDEX(Modelos!$AY$68:$BG$83,MATCH(Projeçao!W$2,Modelos!$AZ$68:$AZ$83,0),MATCH("β1",Modelos!$AY$68:$BG$68,0))*W41+INDEX(Modelos!$AY$68:$BG$83,MATCH(Projeçao!W$2,Modelos!$AZ$68:$AZ$83,0),MATCH("β2",Modelos!$AY$68:$BG$68,0))*W40+INDEX(Modelos!$AY$68:$BG$83,MATCH(Projeçao!W$2,Modelos!$AZ$68:$AZ$83,0),MATCH("β3",Modelos!$AY$68:$BG$68,0))*W39+INDEX(Modelos!$AY$68:$BG$83,MATCH(Projeçao!W$2,Modelos!$AZ$68:$AZ$83,0),MATCH("θ1",Modelos!$AY$68:$BG$68,0))*AA41+INDEX(Modelos!$AY$68:$BG$83,MATCH(Projeçao!W$2,Modelos!$AZ$68:$AZ$83,0),MATCH("θ2",Modelos!$AY$68:$BG$68,0))*AA40+INDEX(Modelos!$AY$68:$BG$83,MATCH(Projeçao!W$2,Modelos!$AZ$68:$AZ$83,0),MATCH("θ3",Modelos!$AY$68:$BG$68,0))*AA39+INDEX(Modelos!$AY$68:$BG$83,MATCH(Projeçao!W$2,Modelos!$AZ$68:$AZ$83,0),MATCH("c",Modelos!$AY$68:$BG$68,0))+AA42</f>
        <v>-1.9015504888006702</v>
      </c>
      <c r="Y42" s="20"/>
      <c r="Z42" s="20"/>
      <c r="AA42" s="20"/>
    </row>
    <row r="43" spans="1:27" x14ac:dyDescent="0.15">
      <c r="A43" s="8">
        <f t="shared" si="10"/>
        <v>45747</v>
      </c>
      <c r="B43" s="6"/>
      <c r="C43" s="19">
        <f ca="1">INDEX(Modelos!$AY$30:$BG$45,MATCH(Projeçao!C$2,Modelos!$AZ$49:$AZ$64,0),MATCH("β1",Modelos!$AY$30:$BG$30,0))*C42+INDEX(Modelos!$AY$30:$BG$45,MATCH(Projeçao!C$2,Modelos!$AZ$49:$AZ$64,0),MATCH("β2",Modelos!$AY$30:$BG$30,0))*C41+INDEX(Modelos!$AY$30:$BG$45,MATCH(Projeçao!C$2,Modelos!$AZ$49:$AZ$64,0),MATCH("β3",Modelos!$AY$30:$BG$30,0))*C40+INDEX(Modelos!$AY$30:$BG$45,MATCH(Projeçao!C$2,Modelos!$AZ$49:$AZ$64,0),MATCH("θ1",Modelos!$AY$30:$BG$30,0))*G42+INDEX(Modelos!$AY$30:$BG$45,MATCH(Projeçao!C$2,Modelos!$AZ$49:$AZ$64,0),MATCH("θ2",Modelos!$AY$30:$BG$30,0))*G41+INDEX(Modelos!$AY$30:$BG$45,MATCH(Projeçao!C$2,Modelos!$AZ$49:$AZ$64,0),MATCH("θ3",Modelos!$AY$30:$BG$30,0))*G40+INDEX(Modelos!$AY$30:$BG$45,MATCH(Projeçao!C$2,Modelos!$AZ$49:$AZ$64,0),MATCH("c",Modelos!$AY$30:$BG$30,0))+G43</f>
        <v>0.61302260607571268</v>
      </c>
      <c r="D43" s="19">
        <f ca="1">INDEX(Modelos!$AY$30:$BG$45,MATCH(Projeçao!D$2,Modelos!$AZ$49:$AZ$64,0),MATCH("β1",Modelos!$AY$30:$BG$30,0))*D42+INDEX(Modelos!$AY$30:$BG$45,MATCH(Projeçao!D$2,Modelos!$AZ$49:$AZ$64,0),MATCH("β2",Modelos!$AY$30:$BG$30,0))*D41+INDEX(Modelos!$AY$30:$BG$45,MATCH(Projeçao!D$2,Modelos!$AZ$49:$AZ$64,0),MATCH("β3",Modelos!$AY$30:$BG$30,0))*D40+INDEX(Modelos!$AY$30:$BG$45,MATCH(Projeçao!D$2,Modelos!$AZ$49:$AZ$64,0),MATCH("θ1",Modelos!$AY$30:$BG$30,0))*H42+INDEX(Modelos!$AY$30:$BG$45,MATCH(Projeçao!D$2,Modelos!$AZ$49:$AZ$64,0),MATCH("θ2",Modelos!$AY$30:$BG$30,0))*H41+INDEX(Modelos!$AY$30:$BG$45,MATCH(Projeçao!D$2,Modelos!$AZ$49:$AZ$64,0),MATCH("θ3",Modelos!$AY$30:$BG$30,0))*H40+INDEX(Modelos!$AY$30:$BG$45,MATCH(Projeçao!D$2,Modelos!$AZ$49:$AZ$64,0),MATCH("c",Modelos!$AY$30:$BG$30,0))+H43</f>
        <v>1.0014599609333577</v>
      </c>
      <c r="E43" s="19">
        <f ca="1">INDEX(Modelos!$AY$30:$BG$45,MATCH(Projeçao!E$2,Modelos!$AZ$49:$AZ$64,0),MATCH("β1",Modelos!$AY$30:$BG$30,0))*E42+INDEX(Modelos!$AY$30:$BG$45,MATCH(Projeçao!E$2,Modelos!$AZ$49:$AZ$64,0),MATCH("β2",Modelos!$AY$30:$BG$30,0))*E41+INDEX(Modelos!$AY$30:$BG$45,MATCH(Projeçao!E$2,Modelos!$AZ$49:$AZ$64,0),MATCH("β3",Modelos!$AY$30:$BG$30,0))*E40+INDEX(Modelos!$AY$30:$BG$45,MATCH(Projeçao!E$2,Modelos!$AZ$49:$AZ$64,0),MATCH("θ1",Modelos!$AY$30:$BG$30,0))*I42+INDEX(Modelos!$AY$30:$BG$45,MATCH(Projeçao!E$2,Modelos!$AZ$49:$AZ$64,0),MATCH("θ2",Modelos!$AY$30:$BG$30,0))*I41+INDEX(Modelos!$AY$30:$BG$45,MATCH(Projeçao!E$2,Modelos!$AZ$49:$AZ$64,0),MATCH("θ3",Modelos!$AY$30:$BG$30,0))*I40+INDEX(Modelos!$AY$30:$BG$45,MATCH(Projeçao!E$2,Modelos!$AZ$49:$AZ$64,0),MATCH("c",Modelos!$AY$30:$BG$30,0))+I43</f>
        <v>0.86946953951641293</v>
      </c>
      <c r="G43" s="10"/>
      <c r="H43" s="10"/>
      <c r="I43" s="10"/>
      <c r="K43" s="6"/>
      <c r="L43" s="6">
        <f ca="1">INDEX(Modelos!$AY$49:$BG$64,MATCH(Projeçao!L$2,Modelos!$AZ$49:$AZ$64,0),MATCH("β1",Modelos!$AY$49:$BG$49,0))*L42+INDEX(Modelos!$AY$49:$BG$64,MATCH(Projeçao!L$2,Modelos!$AZ$49:$AZ$64,0),MATCH("β2",Modelos!$AY$49:$BG$49,0))*L41+INDEX(Modelos!$AY$49:$BG$64,MATCH(Projeçao!L$2,Modelos!$AZ$49:$AZ$64,0),MATCH("β3",Modelos!$AY$49:$BG$49,0))*L40+INDEX(Modelos!$AY$49:$BG$64,MATCH(Projeçao!L$2,Modelos!$AZ$49:$AZ$64,0),MATCH("θ1",Modelos!$AY$49:$BG$49,0))*P42+INDEX(Modelos!$AY$49:$BG$64,MATCH(Projeçao!L$2,Modelos!$AZ$49:$AZ$64,0),MATCH("θ2",Modelos!$AY$49:$BG$49,0))*P41+INDEX(Modelos!$AY$49:$BG$64,MATCH(Projeçao!L$2,Modelos!$AZ$49:$AZ$64,0),MATCH("θ3",Modelos!$AY$49:$BG$49,0))*P40+INDEX(Modelos!$AY$49:$BG$64,MATCH(Projeçao!L$2,Modelos!$AZ$49:$AZ$64,0),MATCH("c",Modelos!$AY$49:$BG$49,0))+P43</f>
        <v>0.25551045166171038</v>
      </c>
      <c r="M43" s="6">
        <f ca="1">INDEX(Modelos!$AY$49:$BG$64,MATCH(Projeçao!M$2,Modelos!$AZ$49:$AZ$64,0),MATCH("β1",Modelos!$AY$49:$BG$49,0))*M42+INDEX(Modelos!$AY$49:$BG$64,MATCH(Projeçao!M$2,Modelos!$AZ$49:$AZ$64,0),MATCH("β2",Modelos!$AY$49:$BG$49,0))*M41+INDEX(Modelos!$AY$49:$BG$64,MATCH(Projeçao!M$2,Modelos!$AZ$49:$AZ$64,0),MATCH("β3",Modelos!$AY$49:$BG$49,0))*M40+INDEX(Modelos!$AY$49:$BG$64,MATCH(Projeçao!M$2,Modelos!$AZ$49:$AZ$64,0),MATCH("θ1",Modelos!$AY$49:$BG$49,0))*Q42+INDEX(Modelos!$AY$49:$BG$64,MATCH(Projeçao!M$2,Modelos!$AZ$49:$AZ$64,0),MATCH("θ2",Modelos!$AY$49:$BG$49,0))*Q41+INDEX(Modelos!$AY$49:$BG$64,MATCH(Projeçao!M$2,Modelos!$AZ$49:$AZ$64,0),MATCH("θ3",Modelos!$AY$49:$BG$49,0))*Q40+INDEX(Modelos!$AY$49:$BG$64,MATCH(Projeçao!M$2,Modelos!$AZ$49:$AZ$64,0),MATCH("c",Modelos!$AY$49:$BG$49,0))+Q43</f>
        <v>0.19432329998304282</v>
      </c>
      <c r="N43" s="6">
        <f ca="1">INDEX(Modelos!$AY$49:$BG$64,MATCH(Projeçao!N$2,Modelos!$AZ$49:$AZ$64,0),MATCH("β1",Modelos!$AY$49:$BG$49,0))*N42+INDEX(Modelos!$AY$49:$BG$64,MATCH(Projeçao!N$2,Modelos!$AZ$49:$AZ$64,0),MATCH("β2",Modelos!$AY$49:$BG$49,0))*N41+INDEX(Modelos!$AY$49:$BG$64,MATCH(Projeçao!N$2,Modelos!$AZ$49:$AZ$64,0),MATCH("β3",Modelos!$AY$49:$BG$49,0))*N40+INDEX(Modelos!$AY$49:$BG$64,MATCH(Projeçao!N$2,Modelos!$AZ$49:$AZ$64,0),MATCH("θ1",Modelos!$AY$49:$BG$49,0))*R42+INDEX(Modelos!$AY$49:$BG$64,MATCH(Projeçao!N$2,Modelos!$AZ$49:$AZ$64,0),MATCH("θ2",Modelos!$AY$49:$BG$49,0))*R41+INDEX(Modelos!$AY$49:$BG$64,MATCH(Projeçao!N$2,Modelos!$AZ$49:$AZ$64,0),MATCH("θ3",Modelos!$AY$49:$BG$49,0))*R40+INDEX(Modelos!$AY$49:$BG$64,MATCH(Projeçao!N$2,Modelos!$AZ$49:$AZ$64,0),MATCH("c",Modelos!$AY$49:$BG$49,0))+R43</f>
        <v>0.20299131143745286</v>
      </c>
      <c r="P43" s="10"/>
      <c r="Q43" s="10"/>
      <c r="R43" s="10"/>
      <c r="T43" s="6"/>
      <c r="U43" s="6">
        <f ca="1">INDEX(Modelos!$AY$68:$BG$83,MATCH(Projeçao!U$2,Modelos!$AZ$68:$AZ$83,0),MATCH("β1",Modelos!$AY$68:$BG$68,0))*U42+INDEX(Modelos!$AY$68:$BG$83,MATCH(Projeçao!U$2,Modelos!$AZ$68:$AZ$83,0),MATCH("β2",Modelos!$AY$68:$BG$68,0))*U41+INDEX(Modelos!$AY$68:$BG$83,MATCH(Projeçao!U$2,Modelos!$AZ$68:$AZ$83,0),MATCH("β3",Modelos!$AY$68:$BG$68,0))*U40+INDEX(Modelos!$AY$68:$BG$83,MATCH(Projeçao!U$2,Modelos!$AZ$68:$AZ$83,0),MATCH("θ1",Modelos!$AY$68:$BG$68,0))*Y42+INDEX(Modelos!$AY$68:$BG$83,MATCH(Projeçao!U$2,Modelos!$AZ$68:$AZ$83,0),MATCH("θ2",Modelos!$AY$68:$BG$68,0))*Y41+INDEX(Modelos!$AY$68:$BG$83,MATCH(Projeçao!U$2,Modelos!$AZ$68:$AZ$83,0),MATCH("θ3",Modelos!$AY$68:$BG$68,0))*Y40+INDEX(Modelos!$AY$68:$BG$83,MATCH(Projeçao!U$2,Modelos!$AZ$68:$AZ$83,0),MATCH("c",Modelos!$AY$68:$BG$68,0))+Y43</f>
        <v>0.58241282361516566</v>
      </c>
      <c r="V43" s="6">
        <f>INDEX(Modelos!$AY$68:$BG$83,MATCH(Projeçao!V$2,Modelos!$AZ$68:$AZ$83,0),MATCH("β1",Modelos!$AY$68:$BG$68,0))*$T42+INDEX(Modelos!$AY$68:$BG$83,MATCH(Projeçao!V$2,Modelos!$AZ$68:$AZ$83,0),MATCH("β2",Modelos!$AY$68:$BG$68,0))*$T41+INDEX(Modelos!$AY$68:$BG$83,MATCH(Projeçao!V$2,Modelos!$AZ$68:$AZ$83,0),MATCH("β3",Modelos!$AY$68:$BG$68,0))*$T40+INDEX(Modelos!$AY$68:$BG$83,MATCH(Projeçao!V$2,Modelos!$AZ$68:$AZ$83,0),MATCH("θ1",Modelos!$AY$68:$BG$68,0))*Z42+INDEX(Modelos!$AY$68:$BG$83,MATCH(Projeçao!V$2,Modelos!$AZ$68:$AZ$83,0),MATCH("θ2",Modelos!$AY$68:$BG$68,0))*Z41+INDEX(Modelos!$AY$68:$BG$83,MATCH(Projeçao!V$2,Modelos!$AZ$68:$AZ$83,0),MATCH("θ3",Modelos!$AY$68:$BG$68,0))*Z40+INDEX(Modelos!$AY$68:$BG$83,MATCH(Projeçao!V$2,Modelos!$AZ$68:$AZ$83,0),MATCH("c",Modelos!$AY$68:$BG$68,0))</f>
        <v>0.58362319402417939</v>
      </c>
      <c r="W43" s="6">
        <f ca="1">INDEX(Modelos!$AY$68:$BG$83,MATCH(Projeçao!W$2,Modelos!$AZ$68:$AZ$83,0),MATCH("β1",Modelos!$AY$68:$BG$68,0))*W42+INDEX(Modelos!$AY$68:$BG$83,MATCH(Projeçao!W$2,Modelos!$AZ$68:$AZ$83,0),MATCH("β2",Modelos!$AY$68:$BG$68,0))*W41+INDEX(Modelos!$AY$68:$BG$83,MATCH(Projeçao!W$2,Modelos!$AZ$68:$AZ$83,0),MATCH("β3",Modelos!$AY$68:$BG$68,0))*W40+INDEX(Modelos!$AY$68:$BG$83,MATCH(Projeçao!W$2,Modelos!$AZ$68:$AZ$83,0),MATCH("θ1",Modelos!$AY$68:$BG$68,0))*AA42+INDEX(Modelos!$AY$68:$BG$83,MATCH(Projeçao!W$2,Modelos!$AZ$68:$AZ$83,0),MATCH("θ2",Modelos!$AY$68:$BG$68,0))*AA41+INDEX(Modelos!$AY$68:$BG$83,MATCH(Projeçao!W$2,Modelos!$AZ$68:$AZ$83,0),MATCH("θ3",Modelos!$AY$68:$BG$68,0))*AA40+INDEX(Modelos!$AY$68:$BG$83,MATCH(Projeçao!W$2,Modelos!$AZ$68:$AZ$83,0),MATCH("c",Modelos!$AY$68:$BG$68,0))+AA43</f>
        <v>-0.12926324825475355</v>
      </c>
      <c r="Y43" s="20"/>
      <c r="Z43" s="20"/>
      <c r="AA43" s="20"/>
    </row>
    <row r="44" spans="1:27" x14ac:dyDescent="0.15">
      <c r="A44" s="8">
        <f t="shared" si="10"/>
        <v>45838</v>
      </c>
      <c r="B44" s="6"/>
      <c r="C44" s="19">
        <f ca="1">INDEX(Modelos!$AY$30:$BG$45,MATCH(Projeçao!C$2,Modelos!$AZ$49:$AZ$64,0),MATCH("β1",Modelos!$AY$30:$BG$30,0))*C43+INDEX(Modelos!$AY$30:$BG$45,MATCH(Projeçao!C$2,Modelos!$AZ$49:$AZ$64,0),MATCH("β2",Modelos!$AY$30:$BG$30,0))*C42+INDEX(Modelos!$AY$30:$BG$45,MATCH(Projeçao!C$2,Modelos!$AZ$49:$AZ$64,0),MATCH("β3",Modelos!$AY$30:$BG$30,0))*C41+INDEX(Modelos!$AY$30:$BG$45,MATCH(Projeçao!C$2,Modelos!$AZ$49:$AZ$64,0),MATCH("θ1",Modelos!$AY$30:$BG$30,0))*G43+INDEX(Modelos!$AY$30:$BG$45,MATCH(Projeçao!C$2,Modelos!$AZ$49:$AZ$64,0),MATCH("θ2",Modelos!$AY$30:$BG$30,0))*G42+INDEX(Modelos!$AY$30:$BG$45,MATCH(Projeçao!C$2,Modelos!$AZ$49:$AZ$64,0),MATCH("θ3",Modelos!$AY$30:$BG$30,0))*G41+INDEX(Modelos!$AY$30:$BG$45,MATCH(Projeçao!C$2,Modelos!$AZ$49:$AZ$64,0),MATCH("c",Modelos!$AY$30:$BG$30,0))+G44</f>
        <v>0.5583994670912984</v>
      </c>
      <c r="D44" s="19">
        <f ca="1">INDEX(Modelos!$AY$30:$BG$45,MATCH(Projeçao!D$2,Modelos!$AZ$49:$AZ$64,0),MATCH("β1",Modelos!$AY$30:$BG$30,0))*D43+INDEX(Modelos!$AY$30:$BG$45,MATCH(Projeçao!D$2,Modelos!$AZ$49:$AZ$64,0),MATCH("β2",Modelos!$AY$30:$BG$30,0))*D42+INDEX(Modelos!$AY$30:$BG$45,MATCH(Projeçao!D$2,Modelos!$AZ$49:$AZ$64,0),MATCH("β3",Modelos!$AY$30:$BG$30,0))*D41+INDEX(Modelos!$AY$30:$BG$45,MATCH(Projeçao!D$2,Modelos!$AZ$49:$AZ$64,0),MATCH("θ1",Modelos!$AY$30:$BG$30,0))*H43+INDEX(Modelos!$AY$30:$BG$45,MATCH(Projeçao!D$2,Modelos!$AZ$49:$AZ$64,0),MATCH("θ2",Modelos!$AY$30:$BG$30,0))*H42+INDEX(Modelos!$AY$30:$BG$45,MATCH(Projeçao!D$2,Modelos!$AZ$49:$AZ$64,0),MATCH("θ3",Modelos!$AY$30:$BG$30,0))*H41+INDEX(Modelos!$AY$30:$BG$45,MATCH(Projeçao!D$2,Modelos!$AZ$49:$AZ$64,0),MATCH("c",Modelos!$AY$30:$BG$30,0))+H44</f>
        <v>0.97000555295029889</v>
      </c>
      <c r="E44" s="19">
        <f ca="1">INDEX(Modelos!$AY$30:$BG$45,MATCH(Projeçao!E$2,Modelos!$AZ$49:$AZ$64,0),MATCH("β1",Modelos!$AY$30:$BG$30,0))*E43+INDEX(Modelos!$AY$30:$BG$45,MATCH(Projeçao!E$2,Modelos!$AZ$49:$AZ$64,0),MATCH("β2",Modelos!$AY$30:$BG$30,0))*E42+INDEX(Modelos!$AY$30:$BG$45,MATCH(Projeçao!E$2,Modelos!$AZ$49:$AZ$64,0),MATCH("β3",Modelos!$AY$30:$BG$30,0))*E41+INDEX(Modelos!$AY$30:$BG$45,MATCH(Projeçao!E$2,Modelos!$AZ$49:$AZ$64,0),MATCH("θ1",Modelos!$AY$30:$BG$30,0))*I43+INDEX(Modelos!$AY$30:$BG$45,MATCH(Projeçao!E$2,Modelos!$AZ$49:$AZ$64,0),MATCH("θ2",Modelos!$AY$30:$BG$30,0))*I42+INDEX(Modelos!$AY$30:$BG$45,MATCH(Projeçao!E$2,Modelos!$AZ$49:$AZ$64,0),MATCH("θ3",Modelos!$AY$30:$BG$30,0))*I41+INDEX(Modelos!$AY$30:$BG$45,MATCH(Projeçao!E$2,Modelos!$AZ$49:$AZ$64,0),MATCH("c",Modelos!$AY$30:$BG$30,0))+I44</f>
        <v>0.86946506066134965</v>
      </c>
      <c r="G44" s="10"/>
      <c r="H44" s="10"/>
      <c r="I44" s="10"/>
      <c r="K44" s="6"/>
      <c r="L44" s="6">
        <f ca="1">INDEX(Modelos!$AY$49:$BG$64,MATCH(Projeçao!L$2,Modelos!$AZ$49:$AZ$64,0),MATCH("β1",Modelos!$AY$49:$BG$49,0))*L43+INDEX(Modelos!$AY$49:$BG$64,MATCH(Projeçao!L$2,Modelos!$AZ$49:$AZ$64,0),MATCH("β2",Modelos!$AY$49:$BG$49,0))*L42+INDEX(Modelos!$AY$49:$BG$64,MATCH(Projeçao!L$2,Modelos!$AZ$49:$AZ$64,0),MATCH("β3",Modelos!$AY$49:$BG$49,0))*L41+INDEX(Modelos!$AY$49:$BG$64,MATCH(Projeçao!L$2,Modelos!$AZ$49:$AZ$64,0),MATCH("θ1",Modelos!$AY$49:$BG$49,0))*P43+INDEX(Modelos!$AY$49:$BG$64,MATCH(Projeçao!L$2,Modelos!$AZ$49:$AZ$64,0),MATCH("θ2",Modelos!$AY$49:$BG$49,0))*P42+INDEX(Modelos!$AY$49:$BG$64,MATCH(Projeçao!L$2,Modelos!$AZ$49:$AZ$64,0),MATCH("θ3",Modelos!$AY$49:$BG$49,0))*P41+INDEX(Modelos!$AY$49:$BG$64,MATCH(Projeçao!L$2,Modelos!$AZ$49:$AZ$64,0),MATCH("c",Modelos!$AY$49:$BG$49,0))+P44</f>
        <v>0.25551045166171038</v>
      </c>
      <c r="M44" s="6">
        <f ca="1">INDEX(Modelos!$AY$49:$BG$64,MATCH(Projeçao!M$2,Modelos!$AZ$49:$AZ$64,0),MATCH("β1",Modelos!$AY$49:$BG$49,0))*M43+INDEX(Modelos!$AY$49:$BG$64,MATCH(Projeçao!M$2,Modelos!$AZ$49:$AZ$64,0),MATCH("β2",Modelos!$AY$49:$BG$49,0))*M42+INDEX(Modelos!$AY$49:$BG$64,MATCH(Projeçao!M$2,Modelos!$AZ$49:$AZ$64,0),MATCH("β3",Modelos!$AY$49:$BG$49,0))*M41+INDEX(Modelos!$AY$49:$BG$64,MATCH(Projeçao!M$2,Modelos!$AZ$49:$AZ$64,0),MATCH("θ1",Modelos!$AY$49:$BG$49,0))*Q43+INDEX(Modelos!$AY$49:$BG$64,MATCH(Projeçao!M$2,Modelos!$AZ$49:$AZ$64,0),MATCH("θ2",Modelos!$AY$49:$BG$49,0))*Q42+INDEX(Modelos!$AY$49:$BG$64,MATCH(Projeçao!M$2,Modelos!$AZ$49:$AZ$64,0),MATCH("θ3",Modelos!$AY$49:$BG$49,0))*Q41+INDEX(Modelos!$AY$49:$BG$64,MATCH(Projeçao!M$2,Modelos!$AZ$49:$AZ$64,0),MATCH("c",Modelos!$AY$49:$BG$49,0))+Q44</f>
        <v>0.19446701296968505</v>
      </c>
      <c r="N44" s="6">
        <f ca="1">INDEX(Modelos!$AY$49:$BG$64,MATCH(Projeçao!N$2,Modelos!$AZ$49:$AZ$64,0),MATCH("β1",Modelos!$AY$49:$BG$49,0))*N43+INDEX(Modelos!$AY$49:$BG$64,MATCH(Projeçao!N$2,Modelos!$AZ$49:$AZ$64,0),MATCH("β2",Modelos!$AY$49:$BG$49,0))*N42+INDEX(Modelos!$AY$49:$BG$64,MATCH(Projeçao!N$2,Modelos!$AZ$49:$AZ$64,0),MATCH("β3",Modelos!$AY$49:$BG$49,0))*N41+INDEX(Modelos!$AY$49:$BG$64,MATCH(Projeçao!N$2,Modelos!$AZ$49:$AZ$64,0),MATCH("θ1",Modelos!$AY$49:$BG$49,0))*R43+INDEX(Modelos!$AY$49:$BG$64,MATCH(Projeçao!N$2,Modelos!$AZ$49:$AZ$64,0),MATCH("θ2",Modelos!$AY$49:$BG$49,0))*R42+INDEX(Modelos!$AY$49:$BG$64,MATCH(Projeçao!N$2,Modelos!$AZ$49:$AZ$64,0),MATCH("θ3",Modelos!$AY$49:$BG$49,0))*R41+INDEX(Modelos!$AY$49:$BG$64,MATCH(Projeçao!N$2,Modelos!$AZ$49:$AZ$64,0),MATCH("c",Modelos!$AY$49:$BG$49,0))+R44</f>
        <v>0.20292424218110783</v>
      </c>
      <c r="P44" s="10"/>
      <c r="Q44" s="10"/>
      <c r="R44" s="10"/>
      <c r="T44" s="6"/>
      <c r="U44" s="6">
        <f ca="1">INDEX(Modelos!$AY$68:$BG$83,MATCH(Projeçao!U$2,Modelos!$AZ$68:$AZ$83,0),MATCH("β1",Modelos!$AY$68:$BG$68,0))*U43+INDEX(Modelos!$AY$68:$BG$83,MATCH(Projeçao!U$2,Modelos!$AZ$68:$AZ$83,0),MATCH("β2",Modelos!$AY$68:$BG$68,0))*U42+INDEX(Modelos!$AY$68:$BG$83,MATCH(Projeçao!U$2,Modelos!$AZ$68:$AZ$83,0),MATCH("β3",Modelos!$AY$68:$BG$68,0))*U41+INDEX(Modelos!$AY$68:$BG$83,MATCH(Projeçao!U$2,Modelos!$AZ$68:$AZ$83,0),MATCH("θ1",Modelos!$AY$68:$BG$68,0))*Y43+INDEX(Modelos!$AY$68:$BG$83,MATCH(Projeçao!U$2,Modelos!$AZ$68:$AZ$83,0),MATCH("θ2",Modelos!$AY$68:$BG$68,0))*Y42+INDEX(Modelos!$AY$68:$BG$83,MATCH(Projeçao!U$2,Modelos!$AZ$68:$AZ$83,0),MATCH("θ3",Modelos!$AY$68:$BG$68,0))*Y41+INDEX(Modelos!$AY$68:$BG$83,MATCH(Projeçao!U$2,Modelos!$AZ$68:$AZ$83,0),MATCH("c",Modelos!$AY$68:$BG$68,0))+Y44</f>
        <v>0.58241282361509872</v>
      </c>
      <c r="V44" s="6">
        <f>INDEX(Modelos!$AY$68:$BG$83,MATCH(Projeçao!V$2,Modelos!$AZ$68:$AZ$83,0),MATCH("β1",Modelos!$AY$68:$BG$68,0))*$T43+INDEX(Modelos!$AY$68:$BG$83,MATCH(Projeçao!V$2,Modelos!$AZ$68:$AZ$83,0),MATCH("β2",Modelos!$AY$68:$BG$68,0))*$T42+INDEX(Modelos!$AY$68:$BG$83,MATCH(Projeçao!V$2,Modelos!$AZ$68:$AZ$83,0),MATCH("β3",Modelos!$AY$68:$BG$68,0))*$T41+INDEX(Modelos!$AY$68:$BG$83,MATCH(Projeçao!V$2,Modelos!$AZ$68:$AZ$83,0),MATCH("θ1",Modelos!$AY$68:$BG$68,0))*Z43+INDEX(Modelos!$AY$68:$BG$83,MATCH(Projeçao!V$2,Modelos!$AZ$68:$AZ$83,0),MATCH("θ2",Modelos!$AY$68:$BG$68,0))*Z42+INDEX(Modelos!$AY$68:$BG$83,MATCH(Projeçao!V$2,Modelos!$AZ$68:$AZ$83,0),MATCH("θ3",Modelos!$AY$68:$BG$68,0))*Z41+INDEX(Modelos!$AY$68:$BG$83,MATCH(Projeçao!V$2,Modelos!$AZ$68:$AZ$83,0),MATCH("c",Modelos!$AY$68:$BG$68,0))</f>
        <v>0.58362319402417939</v>
      </c>
      <c r="W44" s="6">
        <f ca="1">INDEX(Modelos!$AY$68:$BG$83,MATCH(Projeçao!W$2,Modelos!$AZ$68:$AZ$83,0),MATCH("β1",Modelos!$AY$68:$BG$68,0))*W43+INDEX(Modelos!$AY$68:$BG$83,MATCH(Projeçao!W$2,Modelos!$AZ$68:$AZ$83,0),MATCH("β2",Modelos!$AY$68:$BG$68,0))*W42+INDEX(Modelos!$AY$68:$BG$83,MATCH(Projeçao!W$2,Modelos!$AZ$68:$AZ$83,0),MATCH("β3",Modelos!$AY$68:$BG$68,0))*W41+INDEX(Modelos!$AY$68:$BG$83,MATCH(Projeçao!W$2,Modelos!$AZ$68:$AZ$83,0),MATCH("θ1",Modelos!$AY$68:$BG$68,0))*AA43+INDEX(Modelos!$AY$68:$BG$83,MATCH(Projeçao!W$2,Modelos!$AZ$68:$AZ$83,0),MATCH("θ2",Modelos!$AY$68:$BG$68,0))*AA42+INDEX(Modelos!$AY$68:$BG$83,MATCH(Projeçao!W$2,Modelos!$AZ$68:$AZ$83,0),MATCH("θ3",Modelos!$AY$68:$BG$68,0))*AA41+INDEX(Modelos!$AY$68:$BG$83,MATCH(Projeçao!W$2,Modelos!$AZ$68:$AZ$83,0),MATCH("c",Modelos!$AY$68:$BG$68,0))+AA44</f>
        <v>3.9376567831394889</v>
      </c>
      <c r="Y44" s="20"/>
      <c r="Z44" s="20"/>
      <c r="AA44" s="20"/>
    </row>
    <row r="45" spans="1:27" x14ac:dyDescent="0.15">
      <c r="A45" s="8">
        <f t="shared" si="10"/>
        <v>45930</v>
      </c>
      <c r="B45" s="6"/>
      <c r="C45" s="19">
        <f ca="1">INDEX(Modelos!$AY$30:$BG$45,MATCH(Projeçao!C$2,Modelos!$AZ$49:$AZ$64,0),MATCH("β1",Modelos!$AY$30:$BG$30,0))*C44+INDEX(Modelos!$AY$30:$BG$45,MATCH(Projeçao!C$2,Modelos!$AZ$49:$AZ$64,0),MATCH("β2",Modelos!$AY$30:$BG$30,0))*C43+INDEX(Modelos!$AY$30:$BG$45,MATCH(Projeçao!C$2,Modelos!$AZ$49:$AZ$64,0),MATCH("β3",Modelos!$AY$30:$BG$30,0))*C42+INDEX(Modelos!$AY$30:$BG$45,MATCH(Projeçao!C$2,Modelos!$AZ$49:$AZ$64,0),MATCH("θ1",Modelos!$AY$30:$BG$30,0))*G44+INDEX(Modelos!$AY$30:$BG$45,MATCH(Projeçao!C$2,Modelos!$AZ$49:$AZ$64,0),MATCH("θ2",Modelos!$AY$30:$BG$30,0))*G43+INDEX(Modelos!$AY$30:$BG$45,MATCH(Projeçao!C$2,Modelos!$AZ$49:$AZ$64,0),MATCH("θ3",Modelos!$AY$30:$BG$30,0))*G42+INDEX(Modelos!$AY$30:$BG$45,MATCH(Projeçao!C$2,Modelos!$AZ$49:$AZ$64,0),MATCH("c",Modelos!$AY$30:$BG$30,0))+G45</f>
        <v>0.61650905116688404</v>
      </c>
      <c r="D45" s="19">
        <f ca="1">INDEX(Modelos!$AY$30:$BG$45,MATCH(Projeçao!D$2,Modelos!$AZ$49:$AZ$64,0),MATCH("β1",Modelos!$AY$30:$BG$30,0))*D44+INDEX(Modelos!$AY$30:$BG$45,MATCH(Projeçao!D$2,Modelos!$AZ$49:$AZ$64,0),MATCH("β2",Modelos!$AY$30:$BG$30,0))*D43+INDEX(Modelos!$AY$30:$BG$45,MATCH(Projeçao!D$2,Modelos!$AZ$49:$AZ$64,0),MATCH("β3",Modelos!$AY$30:$BG$30,0))*D42+INDEX(Modelos!$AY$30:$BG$45,MATCH(Projeçao!D$2,Modelos!$AZ$49:$AZ$64,0),MATCH("θ1",Modelos!$AY$30:$BG$30,0))*H44+INDEX(Modelos!$AY$30:$BG$45,MATCH(Projeçao!D$2,Modelos!$AZ$49:$AZ$64,0),MATCH("θ2",Modelos!$AY$30:$BG$30,0))*H43+INDEX(Modelos!$AY$30:$BG$45,MATCH(Projeçao!D$2,Modelos!$AZ$49:$AZ$64,0),MATCH("θ3",Modelos!$AY$30:$BG$30,0))*H42+INDEX(Modelos!$AY$30:$BG$45,MATCH(Projeçao!D$2,Modelos!$AZ$49:$AZ$64,0),MATCH("c",Modelos!$AY$30:$BG$30,0))+H45</f>
        <v>0.94334822243826832</v>
      </c>
      <c r="E45" s="19">
        <f ca="1">INDEX(Modelos!$AY$30:$BG$45,MATCH(Projeçao!E$2,Modelos!$AZ$49:$AZ$64,0),MATCH("β1",Modelos!$AY$30:$BG$30,0))*E44+INDEX(Modelos!$AY$30:$BG$45,MATCH(Projeçao!E$2,Modelos!$AZ$49:$AZ$64,0),MATCH("β2",Modelos!$AY$30:$BG$30,0))*E43+INDEX(Modelos!$AY$30:$BG$45,MATCH(Projeçao!E$2,Modelos!$AZ$49:$AZ$64,0),MATCH("β3",Modelos!$AY$30:$BG$30,0))*E42+INDEX(Modelos!$AY$30:$BG$45,MATCH(Projeçao!E$2,Modelos!$AZ$49:$AZ$64,0),MATCH("θ1",Modelos!$AY$30:$BG$30,0))*I44+INDEX(Modelos!$AY$30:$BG$45,MATCH(Projeçao!E$2,Modelos!$AZ$49:$AZ$64,0),MATCH("θ2",Modelos!$AY$30:$BG$30,0))*I43+INDEX(Modelos!$AY$30:$BG$45,MATCH(Projeçao!E$2,Modelos!$AZ$49:$AZ$64,0),MATCH("θ3",Modelos!$AY$30:$BG$30,0))*I42+INDEX(Modelos!$AY$30:$BG$45,MATCH(Projeçao!E$2,Modelos!$AZ$49:$AZ$64,0),MATCH("c",Modelos!$AY$30:$BG$30,0))+I45</f>
        <v>0.86947355802990411</v>
      </c>
      <c r="G45" s="10"/>
      <c r="H45" s="10"/>
      <c r="I45" s="10"/>
      <c r="K45" s="6"/>
      <c r="L45" s="6">
        <f ca="1">INDEX(Modelos!$AY$49:$BG$64,MATCH(Projeçao!L$2,Modelos!$AZ$49:$AZ$64,0),MATCH("β1",Modelos!$AY$49:$BG$49,0))*L44+INDEX(Modelos!$AY$49:$BG$64,MATCH(Projeçao!L$2,Modelos!$AZ$49:$AZ$64,0),MATCH("β2",Modelos!$AY$49:$BG$49,0))*L43+INDEX(Modelos!$AY$49:$BG$64,MATCH(Projeçao!L$2,Modelos!$AZ$49:$AZ$64,0),MATCH("β3",Modelos!$AY$49:$BG$49,0))*L42+INDEX(Modelos!$AY$49:$BG$64,MATCH(Projeçao!L$2,Modelos!$AZ$49:$AZ$64,0),MATCH("θ1",Modelos!$AY$49:$BG$49,0))*P44+INDEX(Modelos!$AY$49:$BG$64,MATCH(Projeçao!L$2,Modelos!$AZ$49:$AZ$64,0),MATCH("θ2",Modelos!$AY$49:$BG$49,0))*P43+INDEX(Modelos!$AY$49:$BG$64,MATCH(Projeçao!L$2,Modelos!$AZ$49:$AZ$64,0),MATCH("θ3",Modelos!$AY$49:$BG$49,0))*P42+INDEX(Modelos!$AY$49:$BG$64,MATCH(Projeçao!L$2,Modelos!$AZ$49:$AZ$64,0),MATCH("c",Modelos!$AY$49:$BG$49,0))+P45</f>
        <v>0.25551045166171038</v>
      </c>
      <c r="M45" s="6">
        <f ca="1">INDEX(Modelos!$AY$49:$BG$64,MATCH(Projeçao!M$2,Modelos!$AZ$49:$AZ$64,0),MATCH("β1",Modelos!$AY$49:$BG$49,0))*M44+INDEX(Modelos!$AY$49:$BG$64,MATCH(Projeçao!M$2,Modelos!$AZ$49:$AZ$64,0),MATCH("β2",Modelos!$AY$49:$BG$49,0))*M43+INDEX(Modelos!$AY$49:$BG$64,MATCH(Projeçao!M$2,Modelos!$AZ$49:$AZ$64,0),MATCH("β3",Modelos!$AY$49:$BG$49,0))*M42+INDEX(Modelos!$AY$49:$BG$64,MATCH(Projeçao!M$2,Modelos!$AZ$49:$AZ$64,0),MATCH("θ1",Modelos!$AY$49:$BG$49,0))*Q44+INDEX(Modelos!$AY$49:$BG$64,MATCH(Projeçao!M$2,Modelos!$AZ$49:$AZ$64,0),MATCH("θ2",Modelos!$AY$49:$BG$49,0))*Q43+INDEX(Modelos!$AY$49:$BG$64,MATCH(Projeçao!M$2,Modelos!$AZ$49:$AZ$64,0),MATCH("θ3",Modelos!$AY$49:$BG$49,0))*Q42+INDEX(Modelos!$AY$49:$BG$64,MATCH(Projeçao!M$2,Modelos!$AZ$49:$AZ$64,0),MATCH("c",Modelos!$AY$49:$BG$49,0))+Q45</f>
        <v>0.19443541221147809</v>
      </c>
      <c r="N45" s="6">
        <f ca="1">INDEX(Modelos!$AY$49:$BG$64,MATCH(Projeçao!N$2,Modelos!$AZ$49:$AZ$64,0),MATCH("β1",Modelos!$AY$49:$BG$49,0))*N44+INDEX(Modelos!$AY$49:$BG$64,MATCH(Projeçao!N$2,Modelos!$AZ$49:$AZ$64,0),MATCH("β2",Modelos!$AY$49:$BG$49,0))*N43+INDEX(Modelos!$AY$49:$BG$64,MATCH(Projeçao!N$2,Modelos!$AZ$49:$AZ$64,0),MATCH("β3",Modelos!$AY$49:$BG$49,0))*N42+INDEX(Modelos!$AY$49:$BG$64,MATCH(Projeçao!N$2,Modelos!$AZ$49:$AZ$64,0),MATCH("θ1",Modelos!$AY$49:$BG$49,0))*R44+INDEX(Modelos!$AY$49:$BG$64,MATCH(Projeçao!N$2,Modelos!$AZ$49:$AZ$64,0),MATCH("θ2",Modelos!$AY$49:$BG$49,0))*R43+INDEX(Modelos!$AY$49:$BG$64,MATCH(Projeçao!N$2,Modelos!$AZ$49:$AZ$64,0),MATCH("θ3",Modelos!$AY$49:$BG$49,0))*R42+INDEX(Modelos!$AY$49:$BG$64,MATCH(Projeçao!N$2,Modelos!$AZ$49:$AZ$64,0),MATCH("c",Modelos!$AY$49:$BG$49,0))+R45</f>
        <v>0.20295984606719492</v>
      </c>
      <c r="P45" s="10"/>
      <c r="Q45" s="10"/>
      <c r="R45" s="10"/>
      <c r="T45" s="6"/>
      <c r="U45" s="6">
        <f ca="1">INDEX(Modelos!$AY$68:$BG$83,MATCH(Projeçao!U$2,Modelos!$AZ$68:$AZ$83,0),MATCH("β1",Modelos!$AY$68:$BG$68,0))*U44+INDEX(Modelos!$AY$68:$BG$83,MATCH(Projeçao!U$2,Modelos!$AZ$68:$AZ$83,0),MATCH("β2",Modelos!$AY$68:$BG$68,0))*U43+INDEX(Modelos!$AY$68:$BG$83,MATCH(Projeçao!U$2,Modelos!$AZ$68:$AZ$83,0),MATCH("β3",Modelos!$AY$68:$BG$68,0))*U42+INDEX(Modelos!$AY$68:$BG$83,MATCH(Projeçao!U$2,Modelos!$AZ$68:$AZ$83,0),MATCH("θ1",Modelos!$AY$68:$BG$68,0))*Y44+INDEX(Modelos!$AY$68:$BG$83,MATCH(Projeçao!U$2,Modelos!$AZ$68:$AZ$83,0),MATCH("θ2",Modelos!$AY$68:$BG$68,0))*Y43+INDEX(Modelos!$AY$68:$BG$83,MATCH(Projeçao!U$2,Modelos!$AZ$68:$AZ$83,0),MATCH("θ3",Modelos!$AY$68:$BG$68,0))*Y42+INDEX(Modelos!$AY$68:$BG$83,MATCH(Projeçao!U$2,Modelos!$AZ$68:$AZ$83,0),MATCH("c",Modelos!$AY$68:$BG$68,0))+Y45</f>
        <v>0.58241282361510194</v>
      </c>
      <c r="V45" s="6">
        <f>INDEX(Modelos!$AY$68:$BG$83,MATCH(Projeçao!V$2,Modelos!$AZ$68:$AZ$83,0),MATCH("β1",Modelos!$AY$68:$BG$68,0))*$T44+INDEX(Modelos!$AY$68:$BG$83,MATCH(Projeçao!V$2,Modelos!$AZ$68:$AZ$83,0),MATCH("β2",Modelos!$AY$68:$BG$68,0))*$T43+INDEX(Modelos!$AY$68:$BG$83,MATCH(Projeçao!V$2,Modelos!$AZ$68:$AZ$83,0),MATCH("β3",Modelos!$AY$68:$BG$68,0))*$T42+INDEX(Modelos!$AY$68:$BG$83,MATCH(Projeçao!V$2,Modelos!$AZ$68:$AZ$83,0),MATCH("θ1",Modelos!$AY$68:$BG$68,0))*Z44+INDEX(Modelos!$AY$68:$BG$83,MATCH(Projeçao!V$2,Modelos!$AZ$68:$AZ$83,0),MATCH("θ2",Modelos!$AY$68:$BG$68,0))*Z43+INDEX(Modelos!$AY$68:$BG$83,MATCH(Projeçao!V$2,Modelos!$AZ$68:$AZ$83,0),MATCH("θ3",Modelos!$AY$68:$BG$68,0))*Z42+INDEX(Modelos!$AY$68:$BG$83,MATCH(Projeçao!V$2,Modelos!$AZ$68:$AZ$83,0),MATCH("c",Modelos!$AY$68:$BG$68,0))</f>
        <v>0.58362319402417939</v>
      </c>
      <c r="W45" s="6">
        <f ca="1">INDEX(Modelos!$AY$68:$BG$83,MATCH(Projeçao!W$2,Modelos!$AZ$68:$AZ$83,0),MATCH("β1",Modelos!$AY$68:$BG$68,0))*W44+INDEX(Modelos!$AY$68:$BG$83,MATCH(Projeçao!W$2,Modelos!$AZ$68:$AZ$83,0),MATCH("β2",Modelos!$AY$68:$BG$68,0))*W43+INDEX(Modelos!$AY$68:$BG$83,MATCH(Projeçao!W$2,Modelos!$AZ$68:$AZ$83,0),MATCH("β3",Modelos!$AY$68:$BG$68,0))*W42+INDEX(Modelos!$AY$68:$BG$83,MATCH(Projeçao!W$2,Modelos!$AZ$68:$AZ$83,0),MATCH("θ1",Modelos!$AY$68:$BG$68,0))*AA44+INDEX(Modelos!$AY$68:$BG$83,MATCH(Projeçao!W$2,Modelos!$AZ$68:$AZ$83,0),MATCH("θ2",Modelos!$AY$68:$BG$68,0))*AA43+INDEX(Modelos!$AY$68:$BG$83,MATCH(Projeçao!W$2,Modelos!$AZ$68:$AZ$83,0),MATCH("θ3",Modelos!$AY$68:$BG$68,0))*AA42+INDEX(Modelos!$AY$68:$BG$83,MATCH(Projeçao!W$2,Modelos!$AZ$68:$AZ$83,0),MATCH("c",Modelos!$AY$68:$BG$68,0))+AA45</f>
        <v>-3.6652628295134484</v>
      </c>
      <c r="Y45" s="20"/>
      <c r="Z45" s="20"/>
      <c r="AA45" s="20"/>
    </row>
    <row r="46" spans="1:27" x14ac:dyDescent="0.15">
      <c r="A46" s="8">
        <f t="shared" si="10"/>
        <v>46022</v>
      </c>
      <c r="B46" s="6"/>
      <c r="C46" s="19">
        <f ca="1">INDEX(Modelos!$AY$30:$BG$45,MATCH(Projeçao!C$2,Modelos!$AZ$49:$AZ$64,0),MATCH("β1",Modelos!$AY$30:$BG$30,0))*C45+INDEX(Modelos!$AY$30:$BG$45,MATCH(Projeçao!C$2,Modelos!$AZ$49:$AZ$64,0),MATCH("β2",Modelos!$AY$30:$BG$30,0))*C44+INDEX(Modelos!$AY$30:$BG$45,MATCH(Projeçao!C$2,Modelos!$AZ$49:$AZ$64,0),MATCH("β3",Modelos!$AY$30:$BG$30,0))*C43+INDEX(Modelos!$AY$30:$BG$45,MATCH(Projeçao!C$2,Modelos!$AZ$49:$AZ$64,0),MATCH("θ1",Modelos!$AY$30:$BG$30,0))*G45+INDEX(Modelos!$AY$30:$BG$45,MATCH(Projeçao!C$2,Modelos!$AZ$49:$AZ$64,0),MATCH("θ2",Modelos!$AY$30:$BG$30,0))*G44+INDEX(Modelos!$AY$30:$BG$45,MATCH(Projeçao!C$2,Modelos!$AZ$49:$AZ$64,0),MATCH("θ3",Modelos!$AY$30:$BG$30,0))*G43+INDEX(Modelos!$AY$30:$BG$45,MATCH(Projeçao!C$2,Modelos!$AZ$49:$AZ$64,0),MATCH("c",Modelos!$AY$30:$BG$30,0))+G46</f>
        <v>0.63961786888180083</v>
      </c>
      <c r="D46" s="19">
        <f ca="1">INDEX(Modelos!$AY$30:$BG$45,MATCH(Projeçao!D$2,Modelos!$AZ$49:$AZ$64,0),MATCH("β1",Modelos!$AY$30:$BG$30,0))*D45+INDEX(Modelos!$AY$30:$BG$45,MATCH(Projeçao!D$2,Modelos!$AZ$49:$AZ$64,0),MATCH("β2",Modelos!$AY$30:$BG$30,0))*D44+INDEX(Modelos!$AY$30:$BG$45,MATCH(Projeçao!D$2,Modelos!$AZ$49:$AZ$64,0),MATCH("β3",Modelos!$AY$30:$BG$30,0))*D43+INDEX(Modelos!$AY$30:$BG$45,MATCH(Projeçao!D$2,Modelos!$AZ$49:$AZ$64,0),MATCH("θ1",Modelos!$AY$30:$BG$30,0))*H45+INDEX(Modelos!$AY$30:$BG$45,MATCH(Projeçao!D$2,Modelos!$AZ$49:$AZ$64,0),MATCH("θ2",Modelos!$AY$30:$BG$30,0))*H44+INDEX(Modelos!$AY$30:$BG$45,MATCH(Projeçao!D$2,Modelos!$AZ$49:$AZ$64,0),MATCH("θ3",Modelos!$AY$30:$BG$30,0))*H43+INDEX(Modelos!$AY$30:$BG$45,MATCH(Projeçao!D$2,Modelos!$AZ$49:$AZ$64,0),MATCH("c",Modelos!$AY$30:$BG$30,0))+H46</f>
        <v>0.92059503314746172</v>
      </c>
      <c r="E46" s="19">
        <f ca="1">INDEX(Modelos!$AY$30:$BG$45,MATCH(Projeçao!E$2,Modelos!$AZ$49:$AZ$64,0),MATCH("β1",Modelos!$AY$30:$BG$30,0))*E45+INDEX(Modelos!$AY$30:$BG$45,MATCH(Projeçao!E$2,Modelos!$AZ$49:$AZ$64,0),MATCH("β2",Modelos!$AY$30:$BG$30,0))*E44+INDEX(Modelos!$AY$30:$BG$45,MATCH(Projeçao!E$2,Modelos!$AZ$49:$AZ$64,0),MATCH("β3",Modelos!$AY$30:$BG$30,0))*E43+INDEX(Modelos!$AY$30:$BG$45,MATCH(Projeçao!E$2,Modelos!$AZ$49:$AZ$64,0),MATCH("θ1",Modelos!$AY$30:$BG$30,0))*I45+INDEX(Modelos!$AY$30:$BG$45,MATCH(Projeçao!E$2,Modelos!$AZ$49:$AZ$64,0),MATCH("θ2",Modelos!$AY$30:$BG$30,0))*I44+INDEX(Modelos!$AY$30:$BG$45,MATCH(Projeçao!E$2,Modelos!$AZ$49:$AZ$64,0),MATCH("θ3",Modelos!$AY$30:$BG$30,0))*I43+INDEX(Modelos!$AY$30:$BG$45,MATCH(Projeçao!E$2,Modelos!$AZ$49:$AZ$64,0),MATCH("c",Modelos!$AY$30:$BG$30,0))+I46</f>
        <v>0.86947081061846321</v>
      </c>
      <c r="G46" s="10"/>
      <c r="H46" s="10"/>
      <c r="I46" s="10"/>
      <c r="K46" s="6"/>
      <c r="L46" s="6">
        <f ca="1">INDEX(Modelos!$AY$49:$BG$64,MATCH(Projeçao!L$2,Modelos!$AZ$49:$AZ$64,0),MATCH("β1",Modelos!$AY$49:$BG$49,0))*L45+INDEX(Modelos!$AY$49:$BG$64,MATCH(Projeçao!L$2,Modelos!$AZ$49:$AZ$64,0),MATCH("β2",Modelos!$AY$49:$BG$49,0))*L44+INDEX(Modelos!$AY$49:$BG$64,MATCH(Projeçao!L$2,Modelos!$AZ$49:$AZ$64,0),MATCH("β3",Modelos!$AY$49:$BG$49,0))*L43+INDEX(Modelos!$AY$49:$BG$64,MATCH(Projeçao!L$2,Modelos!$AZ$49:$AZ$64,0),MATCH("θ1",Modelos!$AY$49:$BG$49,0))*P45+INDEX(Modelos!$AY$49:$BG$64,MATCH(Projeçao!L$2,Modelos!$AZ$49:$AZ$64,0),MATCH("θ2",Modelos!$AY$49:$BG$49,0))*P44+INDEX(Modelos!$AY$49:$BG$64,MATCH(Projeçao!L$2,Modelos!$AZ$49:$AZ$64,0),MATCH("θ3",Modelos!$AY$49:$BG$49,0))*P43+INDEX(Modelos!$AY$49:$BG$64,MATCH(Projeçao!L$2,Modelos!$AZ$49:$AZ$64,0),MATCH("c",Modelos!$AY$49:$BG$49,0))+P46</f>
        <v>0.25551045166171038</v>
      </c>
      <c r="M46" s="6">
        <f ca="1">INDEX(Modelos!$AY$49:$BG$64,MATCH(Projeçao!M$2,Modelos!$AZ$49:$AZ$64,0),MATCH("β1",Modelos!$AY$49:$BG$49,0))*M45+INDEX(Modelos!$AY$49:$BG$64,MATCH(Projeçao!M$2,Modelos!$AZ$49:$AZ$64,0),MATCH("β2",Modelos!$AY$49:$BG$49,0))*M44+INDEX(Modelos!$AY$49:$BG$64,MATCH(Projeçao!M$2,Modelos!$AZ$49:$AZ$64,0),MATCH("β3",Modelos!$AY$49:$BG$49,0))*M43+INDEX(Modelos!$AY$49:$BG$64,MATCH(Projeçao!M$2,Modelos!$AZ$49:$AZ$64,0),MATCH("θ1",Modelos!$AY$49:$BG$49,0))*Q45+INDEX(Modelos!$AY$49:$BG$64,MATCH(Projeçao!M$2,Modelos!$AZ$49:$AZ$64,0),MATCH("θ2",Modelos!$AY$49:$BG$49,0))*Q44+INDEX(Modelos!$AY$49:$BG$64,MATCH(Projeçao!M$2,Modelos!$AZ$49:$AZ$64,0),MATCH("θ3",Modelos!$AY$49:$BG$49,0))*Q43+INDEX(Modelos!$AY$49:$BG$64,MATCH(Projeçao!M$2,Modelos!$AZ$49:$AZ$64,0),MATCH("c",Modelos!$AY$49:$BG$49,0))+Q46</f>
        <v>0.19439494346104458</v>
      </c>
      <c r="N46" s="6">
        <f ca="1">INDEX(Modelos!$AY$49:$BG$64,MATCH(Projeçao!N$2,Modelos!$AZ$49:$AZ$64,0),MATCH("β1",Modelos!$AY$49:$BG$49,0))*N45+INDEX(Modelos!$AY$49:$BG$64,MATCH(Projeçao!N$2,Modelos!$AZ$49:$AZ$64,0),MATCH("β2",Modelos!$AY$49:$BG$49,0))*N44+INDEX(Modelos!$AY$49:$BG$64,MATCH(Projeçao!N$2,Modelos!$AZ$49:$AZ$64,0),MATCH("β3",Modelos!$AY$49:$BG$49,0))*N43+INDEX(Modelos!$AY$49:$BG$64,MATCH(Projeçao!N$2,Modelos!$AZ$49:$AZ$64,0),MATCH("θ1",Modelos!$AY$49:$BG$49,0))*R45+INDEX(Modelos!$AY$49:$BG$64,MATCH(Projeçao!N$2,Modelos!$AZ$49:$AZ$64,0),MATCH("θ2",Modelos!$AY$49:$BG$49,0))*R44+INDEX(Modelos!$AY$49:$BG$64,MATCH(Projeçao!N$2,Modelos!$AZ$49:$AZ$64,0),MATCH("θ3",Modelos!$AY$49:$BG$49,0))*R43+INDEX(Modelos!$AY$49:$BG$64,MATCH(Projeçao!N$2,Modelos!$AZ$49:$AZ$64,0),MATCH("c",Modelos!$AY$49:$BG$49,0))+R46</f>
        <v>0.20294290187536501</v>
      </c>
      <c r="P46" s="10"/>
      <c r="Q46" s="10"/>
      <c r="R46" s="10"/>
      <c r="T46" s="6"/>
      <c r="U46" s="6">
        <f ca="1">INDEX(Modelos!$AY$68:$BG$83,MATCH(Projeçao!U$2,Modelos!$AZ$68:$AZ$83,0),MATCH("β1",Modelos!$AY$68:$BG$68,0))*U45+INDEX(Modelos!$AY$68:$BG$83,MATCH(Projeçao!U$2,Modelos!$AZ$68:$AZ$83,0),MATCH("β2",Modelos!$AY$68:$BG$68,0))*U44+INDEX(Modelos!$AY$68:$BG$83,MATCH(Projeçao!U$2,Modelos!$AZ$68:$AZ$83,0),MATCH("β3",Modelos!$AY$68:$BG$68,0))*U43+INDEX(Modelos!$AY$68:$BG$83,MATCH(Projeçao!U$2,Modelos!$AZ$68:$AZ$83,0),MATCH("θ1",Modelos!$AY$68:$BG$68,0))*Y45+INDEX(Modelos!$AY$68:$BG$83,MATCH(Projeçao!U$2,Modelos!$AZ$68:$AZ$83,0),MATCH("θ2",Modelos!$AY$68:$BG$68,0))*Y44+INDEX(Modelos!$AY$68:$BG$83,MATCH(Projeçao!U$2,Modelos!$AZ$68:$AZ$83,0),MATCH("θ3",Modelos!$AY$68:$BG$68,0))*Y43+INDEX(Modelos!$AY$68:$BG$83,MATCH(Projeçao!U$2,Modelos!$AZ$68:$AZ$83,0),MATCH("c",Modelos!$AY$68:$BG$68,0))+Y46</f>
        <v>0.58241282361510172</v>
      </c>
      <c r="V46" s="6">
        <f>INDEX(Modelos!$AY$68:$BG$83,MATCH(Projeçao!V$2,Modelos!$AZ$68:$AZ$83,0),MATCH("β1",Modelos!$AY$68:$BG$68,0))*$T45+INDEX(Modelos!$AY$68:$BG$83,MATCH(Projeçao!V$2,Modelos!$AZ$68:$AZ$83,0),MATCH("β2",Modelos!$AY$68:$BG$68,0))*$T44+INDEX(Modelos!$AY$68:$BG$83,MATCH(Projeçao!V$2,Modelos!$AZ$68:$AZ$83,0),MATCH("β3",Modelos!$AY$68:$BG$68,0))*$T43+INDEX(Modelos!$AY$68:$BG$83,MATCH(Projeçao!V$2,Modelos!$AZ$68:$AZ$83,0),MATCH("θ1",Modelos!$AY$68:$BG$68,0))*Z45+INDEX(Modelos!$AY$68:$BG$83,MATCH(Projeçao!V$2,Modelos!$AZ$68:$AZ$83,0),MATCH("θ2",Modelos!$AY$68:$BG$68,0))*Z44+INDEX(Modelos!$AY$68:$BG$83,MATCH(Projeçao!V$2,Modelos!$AZ$68:$AZ$83,0),MATCH("θ3",Modelos!$AY$68:$BG$68,0))*Z43+INDEX(Modelos!$AY$68:$BG$83,MATCH(Projeçao!V$2,Modelos!$AZ$68:$AZ$83,0),MATCH("c",Modelos!$AY$68:$BG$68,0))</f>
        <v>0.58362319402417939</v>
      </c>
      <c r="W46" s="6">
        <f ca="1">INDEX(Modelos!$AY$68:$BG$83,MATCH(Projeçao!W$2,Modelos!$AZ$68:$AZ$83,0),MATCH("β1",Modelos!$AY$68:$BG$68,0))*W45+INDEX(Modelos!$AY$68:$BG$83,MATCH(Projeçao!W$2,Modelos!$AZ$68:$AZ$83,0),MATCH("β2",Modelos!$AY$68:$BG$68,0))*W44+INDEX(Modelos!$AY$68:$BG$83,MATCH(Projeçao!W$2,Modelos!$AZ$68:$AZ$83,0),MATCH("β3",Modelos!$AY$68:$BG$68,0))*W43+INDEX(Modelos!$AY$68:$BG$83,MATCH(Projeçao!W$2,Modelos!$AZ$68:$AZ$83,0),MATCH("θ1",Modelos!$AY$68:$BG$68,0))*AA45+INDEX(Modelos!$AY$68:$BG$83,MATCH(Projeçao!W$2,Modelos!$AZ$68:$AZ$83,0),MATCH("θ2",Modelos!$AY$68:$BG$68,0))*AA44+INDEX(Modelos!$AY$68:$BG$83,MATCH(Projeçao!W$2,Modelos!$AZ$68:$AZ$83,0),MATCH("θ3",Modelos!$AY$68:$BG$68,0))*AA43+INDEX(Modelos!$AY$68:$BG$83,MATCH(Projeçao!W$2,Modelos!$AZ$68:$AZ$83,0),MATCH("c",Modelos!$AY$68:$BG$68,0))+AA46</f>
        <v>3.8093229595946836</v>
      </c>
      <c r="Y46" s="20"/>
      <c r="Z46" s="20"/>
      <c r="AA46" s="20"/>
    </row>
    <row r="47" spans="1:27" x14ac:dyDescent="0.15">
      <c r="A47" s="8">
        <f t="shared" si="10"/>
        <v>46112</v>
      </c>
      <c r="B47" s="6"/>
      <c r="C47" s="19">
        <f ca="1">INDEX(Modelos!$AY$30:$BG$45,MATCH(Projeçao!C$2,Modelos!$AZ$49:$AZ$64,0),MATCH("β1",Modelos!$AY$30:$BG$30,0))*C46+INDEX(Modelos!$AY$30:$BG$45,MATCH(Projeçao!C$2,Modelos!$AZ$49:$AZ$64,0),MATCH("β2",Modelos!$AY$30:$BG$30,0))*C45+INDEX(Modelos!$AY$30:$BG$45,MATCH(Projeçao!C$2,Modelos!$AZ$49:$AZ$64,0),MATCH("β3",Modelos!$AY$30:$BG$30,0))*C44+INDEX(Modelos!$AY$30:$BG$45,MATCH(Projeçao!C$2,Modelos!$AZ$49:$AZ$64,0),MATCH("θ1",Modelos!$AY$30:$BG$30,0))*G46+INDEX(Modelos!$AY$30:$BG$45,MATCH(Projeçao!C$2,Modelos!$AZ$49:$AZ$64,0),MATCH("θ2",Modelos!$AY$30:$BG$30,0))*G45+INDEX(Modelos!$AY$30:$BG$45,MATCH(Projeçao!C$2,Modelos!$AZ$49:$AZ$64,0),MATCH("θ3",Modelos!$AY$30:$BG$30,0))*G44+INDEX(Modelos!$AY$30:$BG$45,MATCH(Projeçao!C$2,Modelos!$AZ$49:$AZ$64,0),MATCH("c",Modelos!$AY$30:$BG$30,0))+G47</f>
        <v>0.60393209830203987</v>
      </c>
      <c r="D47" s="19">
        <f ca="1">INDEX(Modelos!$AY$30:$BG$45,MATCH(Projeçao!D$2,Modelos!$AZ$49:$AZ$64,0),MATCH("β1",Modelos!$AY$30:$BG$30,0))*D46+INDEX(Modelos!$AY$30:$BG$45,MATCH(Projeçao!D$2,Modelos!$AZ$49:$AZ$64,0),MATCH("β2",Modelos!$AY$30:$BG$30,0))*D45+INDEX(Modelos!$AY$30:$BG$45,MATCH(Projeçao!D$2,Modelos!$AZ$49:$AZ$64,0),MATCH("β3",Modelos!$AY$30:$BG$30,0))*D44+INDEX(Modelos!$AY$30:$BG$45,MATCH(Projeçao!D$2,Modelos!$AZ$49:$AZ$64,0),MATCH("θ1",Modelos!$AY$30:$BG$30,0))*H46+INDEX(Modelos!$AY$30:$BG$45,MATCH(Projeçao!D$2,Modelos!$AZ$49:$AZ$64,0),MATCH("θ2",Modelos!$AY$30:$BG$30,0))*H45+INDEX(Modelos!$AY$30:$BG$45,MATCH(Projeçao!D$2,Modelos!$AZ$49:$AZ$64,0),MATCH("θ3",Modelos!$AY$30:$BG$30,0))*H44+INDEX(Modelos!$AY$30:$BG$45,MATCH(Projeçao!D$2,Modelos!$AZ$49:$AZ$64,0),MATCH("c",Modelos!$AY$30:$BG$30,0))+H47</f>
        <v>0.90106656747508906</v>
      </c>
      <c r="E47" s="19">
        <f ca="1">INDEX(Modelos!$AY$30:$BG$45,MATCH(Projeçao!E$2,Modelos!$AZ$49:$AZ$64,0),MATCH("β1",Modelos!$AY$30:$BG$30,0))*E46+INDEX(Modelos!$AY$30:$BG$45,MATCH(Projeçao!E$2,Modelos!$AZ$49:$AZ$64,0),MATCH("β2",Modelos!$AY$30:$BG$30,0))*E45+INDEX(Modelos!$AY$30:$BG$45,MATCH(Projeçao!E$2,Modelos!$AZ$49:$AZ$64,0),MATCH("β3",Modelos!$AY$30:$BG$30,0))*E44+INDEX(Modelos!$AY$30:$BG$45,MATCH(Projeçao!E$2,Modelos!$AZ$49:$AZ$64,0),MATCH("θ1",Modelos!$AY$30:$BG$30,0))*I46+INDEX(Modelos!$AY$30:$BG$45,MATCH(Projeçao!E$2,Modelos!$AZ$49:$AZ$64,0),MATCH("θ2",Modelos!$AY$30:$BG$30,0))*I45+INDEX(Modelos!$AY$30:$BG$45,MATCH(Projeçao!E$2,Modelos!$AZ$49:$AZ$64,0),MATCH("θ3",Modelos!$AY$30:$BG$30,0))*I44+INDEX(Modelos!$AY$30:$BG$45,MATCH(Projeçao!E$2,Modelos!$AZ$49:$AZ$64,0),MATCH("c",Modelos!$AY$30:$BG$30,0))+I47</f>
        <v>0.86947069668678989</v>
      </c>
      <c r="G47" s="10"/>
      <c r="H47" s="10"/>
      <c r="I47" s="10"/>
      <c r="K47" s="6"/>
      <c r="L47" s="6">
        <f ca="1">INDEX(Modelos!$AY$49:$BG$64,MATCH(Projeçao!L$2,Modelos!$AZ$49:$AZ$64,0),MATCH("β1",Modelos!$AY$49:$BG$49,0))*L46+INDEX(Modelos!$AY$49:$BG$64,MATCH(Projeçao!L$2,Modelos!$AZ$49:$AZ$64,0),MATCH("β2",Modelos!$AY$49:$BG$49,0))*L45+INDEX(Modelos!$AY$49:$BG$64,MATCH(Projeçao!L$2,Modelos!$AZ$49:$AZ$64,0),MATCH("β3",Modelos!$AY$49:$BG$49,0))*L44+INDEX(Modelos!$AY$49:$BG$64,MATCH(Projeçao!L$2,Modelos!$AZ$49:$AZ$64,0),MATCH("θ1",Modelos!$AY$49:$BG$49,0))*P46+INDEX(Modelos!$AY$49:$BG$64,MATCH(Projeçao!L$2,Modelos!$AZ$49:$AZ$64,0),MATCH("θ2",Modelos!$AY$49:$BG$49,0))*P45+INDEX(Modelos!$AY$49:$BG$64,MATCH(Projeçao!L$2,Modelos!$AZ$49:$AZ$64,0),MATCH("θ3",Modelos!$AY$49:$BG$49,0))*P44+INDEX(Modelos!$AY$49:$BG$64,MATCH(Projeçao!L$2,Modelos!$AZ$49:$AZ$64,0),MATCH("c",Modelos!$AY$49:$BG$49,0))+P47</f>
        <v>0.25551045166171038</v>
      </c>
      <c r="M47" s="6">
        <f ca="1">INDEX(Modelos!$AY$49:$BG$64,MATCH(Projeçao!M$2,Modelos!$AZ$49:$AZ$64,0),MATCH("β1",Modelos!$AY$49:$BG$49,0))*M46+INDEX(Modelos!$AY$49:$BG$64,MATCH(Projeçao!M$2,Modelos!$AZ$49:$AZ$64,0),MATCH("β2",Modelos!$AY$49:$BG$49,0))*M45+INDEX(Modelos!$AY$49:$BG$64,MATCH(Projeçao!M$2,Modelos!$AZ$49:$AZ$64,0),MATCH("β3",Modelos!$AY$49:$BG$49,0))*M44+INDEX(Modelos!$AY$49:$BG$64,MATCH(Projeçao!M$2,Modelos!$AZ$49:$AZ$64,0),MATCH("θ1",Modelos!$AY$49:$BG$49,0))*Q46+INDEX(Modelos!$AY$49:$BG$64,MATCH(Projeçao!M$2,Modelos!$AZ$49:$AZ$64,0),MATCH("θ2",Modelos!$AY$49:$BG$49,0))*Q45+INDEX(Modelos!$AY$49:$BG$64,MATCH(Projeçao!M$2,Modelos!$AZ$49:$AZ$64,0),MATCH("θ3",Modelos!$AY$49:$BG$49,0))*Q44+INDEX(Modelos!$AY$49:$BG$64,MATCH(Projeçao!M$2,Modelos!$AZ$49:$AZ$64,0),MATCH("c",Modelos!$AY$49:$BG$49,0))+Q47</f>
        <v>0.19443380379632849</v>
      </c>
      <c r="N47" s="6">
        <f ca="1">INDEX(Modelos!$AY$49:$BG$64,MATCH(Projeçao!N$2,Modelos!$AZ$49:$AZ$64,0),MATCH("β1",Modelos!$AY$49:$BG$49,0))*N46+INDEX(Modelos!$AY$49:$BG$64,MATCH(Projeçao!N$2,Modelos!$AZ$49:$AZ$64,0),MATCH("β2",Modelos!$AY$49:$BG$49,0))*N45+INDEX(Modelos!$AY$49:$BG$64,MATCH(Projeçao!N$2,Modelos!$AZ$49:$AZ$64,0),MATCH("β3",Modelos!$AY$49:$BG$49,0))*N44+INDEX(Modelos!$AY$49:$BG$64,MATCH(Projeçao!N$2,Modelos!$AZ$49:$AZ$64,0),MATCH("θ1",Modelos!$AY$49:$BG$49,0))*R46+INDEX(Modelos!$AY$49:$BG$64,MATCH(Projeçao!N$2,Modelos!$AZ$49:$AZ$64,0),MATCH("θ2",Modelos!$AY$49:$BG$49,0))*R45+INDEX(Modelos!$AY$49:$BG$64,MATCH(Projeçao!N$2,Modelos!$AZ$49:$AZ$64,0),MATCH("θ3",Modelos!$AY$49:$BG$49,0))*R44+INDEX(Modelos!$AY$49:$BG$64,MATCH(Projeçao!N$2,Modelos!$AZ$49:$AZ$64,0),MATCH("c",Modelos!$AY$49:$BG$49,0))+R47</f>
        <v>0.20295163116231918</v>
      </c>
      <c r="P47" s="10"/>
      <c r="Q47" s="10"/>
      <c r="R47" s="10"/>
      <c r="T47" s="6"/>
      <c r="U47" s="6">
        <f ca="1">INDEX(Modelos!$AY$68:$BG$83,MATCH(Projeçao!U$2,Modelos!$AZ$68:$AZ$83,0),MATCH("β1",Modelos!$AY$68:$BG$68,0))*U46+INDEX(Modelos!$AY$68:$BG$83,MATCH(Projeçao!U$2,Modelos!$AZ$68:$AZ$83,0),MATCH("β2",Modelos!$AY$68:$BG$68,0))*U45+INDEX(Modelos!$AY$68:$BG$83,MATCH(Projeçao!U$2,Modelos!$AZ$68:$AZ$83,0),MATCH("β3",Modelos!$AY$68:$BG$68,0))*U44+INDEX(Modelos!$AY$68:$BG$83,MATCH(Projeçao!U$2,Modelos!$AZ$68:$AZ$83,0),MATCH("θ1",Modelos!$AY$68:$BG$68,0))*Y46+INDEX(Modelos!$AY$68:$BG$83,MATCH(Projeçao!U$2,Modelos!$AZ$68:$AZ$83,0),MATCH("θ2",Modelos!$AY$68:$BG$68,0))*Y45+INDEX(Modelos!$AY$68:$BG$83,MATCH(Projeçao!U$2,Modelos!$AZ$68:$AZ$83,0),MATCH("θ3",Modelos!$AY$68:$BG$68,0))*Y44+INDEX(Modelos!$AY$68:$BG$83,MATCH(Projeçao!U$2,Modelos!$AZ$68:$AZ$83,0),MATCH("c",Modelos!$AY$68:$BG$68,0))+Y47</f>
        <v>0.58241282361510172</v>
      </c>
      <c r="V47" s="6">
        <f>INDEX(Modelos!$AY$68:$BG$83,MATCH(Projeçao!V$2,Modelos!$AZ$68:$AZ$83,0),MATCH("β1",Modelos!$AY$68:$BG$68,0))*$T46+INDEX(Modelos!$AY$68:$BG$83,MATCH(Projeçao!V$2,Modelos!$AZ$68:$AZ$83,0),MATCH("β2",Modelos!$AY$68:$BG$68,0))*$T45+INDEX(Modelos!$AY$68:$BG$83,MATCH(Projeçao!V$2,Modelos!$AZ$68:$AZ$83,0),MATCH("β3",Modelos!$AY$68:$BG$68,0))*$T44+INDEX(Modelos!$AY$68:$BG$83,MATCH(Projeçao!V$2,Modelos!$AZ$68:$AZ$83,0),MATCH("θ1",Modelos!$AY$68:$BG$68,0))*Z46+INDEX(Modelos!$AY$68:$BG$83,MATCH(Projeçao!V$2,Modelos!$AZ$68:$AZ$83,0),MATCH("θ2",Modelos!$AY$68:$BG$68,0))*Z45+INDEX(Modelos!$AY$68:$BG$83,MATCH(Projeçao!V$2,Modelos!$AZ$68:$AZ$83,0),MATCH("θ3",Modelos!$AY$68:$BG$68,0))*Z44+INDEX(Modelos!$AY$68:$BG$83,MATCH(Projeçao!V$2,Modelos!$AZ$68:$AZ$83,0),MATCH("c",Modelos!$AY$68:$BG$68,0))</f>
        <v>0.58362319402417939</v>
      </c>
      <c r="W47" s="6">
        <f ca="1">INDEX(Modelos!$AY$68:$BG$83,MATCH(Projeçao!W$2,Modelos!$AZ$68:$AZ$83,0),MATCH("β1",Modelos!$AY$68:$BG$68,0))*W46+INDEX(Modelos!$AY$68:$BG$83,MATCH(Projeçao!W$2,Modelos!$AZ$68:$AZ$83,0),MATCH("β2",Modelos!$AY$68:$BG$68,0))*W45+INDEX(Modelos!$AY$68:$BG$83,MATCH(Projeçao!W$2,Modelos!$AZ$68:$AZ$83,0),MATCH("β3",Modelos!$AY$68:$BG$68,0))*W44+INDEX(Modelos!$AY$68:$BG$83,MATCH(Projeçao!W$2,Modelos!$AZ$68:$AZ$83,0),MATCH("θ1",Modelos!$AY$68:$BG$68,0))*AA46+INDEX(Modelos!$AY$68:$BG$83,MATCH(Projeçao!W$2,Modelos!$AZ$68:$AZ$83,0),MATCH("θ2",Modelos!$AY$68:$BG$68,0))*AA45+INDEX(Modelos!$AY$68:$BG$83,MATCH(Projeçao!W$2,Modelos!$AZ$68:$AZ$83,0),MATCH("θ3",Modelos!$AY$68:$BG$68,0))*AA44+INDEX(Modelos!$AY$68:$BG$83,MATCH(Projeçao!W$2,Modelos!$AZ$68:$AZ$83,0),MATCH("c",Modelos!$AY$68:$BG$68,0))+AA47</f>
        <v>-0.2488975551855328</v>
      </c>
      <c r="Y47" s="20"/>
      <c r="Z47" s="20"/>
      <c r="AA47" s="20"/>
    </row>
    <row r="48" spans="1:27" x14ac:dyDescent="0.15">
      <c r="A48" s="8">
        <f t="shared" si="10"/>
        <v>46203</v>
      </c>
      <c r="B48" s="6"/>
      <c r="C48" s="19">
        <f ca="1">INDEX(Modelos!$AY$30:$BG$45,MATCH(Projeçao!C$2,Modelos!$AZ$49:$AZ$64,0),MATCH("β1",Modelos!$AY$30:$BG$30,0))*C47+INDEX(Modelos!$AY$30:$BG$45,MATCH(Projeçao!C$2,Modelos!$AZ$49:$AZ$64,0),MATCH("β2",Modelos!$AY$30:$BG$30,0))*C46+INDEX(Modelos!$AY$30:$BG$45,MATCH(Projeçao!C$2,Modelos!$AZ$49:$AZ$64,0),MATCH("β3",Modelos!$AY$30:$BG$30,0))*C45+INDEX(Modelos!$AY$30:$BG$45,MATCH(Projeçao!C$2,Modelos!$AZ$49:$AZ$64,0),MATCH("θ1",Modelos!$AY$30:$BG$30,0))*G47+INDEX(Modelos!$AY$30:$BG$45,MATCH(Projeçao!C$2,Modelos!$AZ$49:$AZ$64,0),MATCH("θ2",Modelos!$AY$30:$BG$30,0))*G46+INDEX(Modelos!$AY$30:$BG$45,MATCH(Projeçao!C$2,Modelos!$AZ$49:$AZ$64,0),MATCH("θ3",Modelos!$AY$30:$BG$30,0))*G45+INDEX(Modelos!$AY$30:$BG$45,MATCH(Projeçao!C$2,Modelos!$AZ$49:$AZ$64,0),MATCH("c",Modelos!$AY$30:$BG$30,0))+G48</f>
        <v>0.5956069886206975</v>
      </c>
      <c r="D48" s="19">
        <f ca="1">INDEX(Modelos!$AY$30:$BG$45,MATCH(Projeçao!D$2,Modelos!$AZ$49:$AZ$64,0),MATCH("β1",Modelos!$AY$30:$BG$30,0))*D47+INDEX(Modelos!$AY$30:$BG$45,MATCH(Projeçao!D$2,Modelos!$AZ$49:$AZ$64,0),MATCH("β2",Modelos!$AY$30:$BG$30,0))*D46+INDEX(Modelos!$AY$30:$BG$45,MATCH(Projeçao!D$2,Modelos!$AZ$49:$AZ$64,0),MATCH("β3",Modelos!$AY$30:$BG$30,0))*D45+INDEX(Modelos!$AY$30:$BG$45,MATCH(Projeçao!D$2,Modelos!$AZ$49:$AZ$64,0),MATCH("θ1",Modelos!$AY$30:$BG$30,0))*H47+INDEX(Modelos!$AY$30:$BG$45,MATCH(Projeçao!D$2,Modelos!$AZ$49:$AZ$64,0),MATCH("θ2",Modelos!$AY$30:$BG$30,0))*H46+INDEX(Modelos!$AY$30:$BG$45,MATCH(Projeçao!D$2,Modelos!$AZ$49:$AZ$64,0),MATCH("θ3",Modelos!$AY$30:$BG$30,0))*H45+INDEX(Modelos!$AY$30:$BG$45,MATCH(Projeçao!D$2,Modelos!$AZ$49:$AZ$64,0),MATCH("c",Modelos!$AY$30:$BG$30,0))+H48</f>
        <v>0.88438945194114771</v>
      </c>
      <c r="E48" s="19">
        <f ca="1">INDEX(Modelos!$AY$30:$BG$45,MATCH(Projeçao!E$2,Modelos!$AZ$49:$AZ$64,0),MATCH("β1",Modelos!$AY$30:$BG$30,0))*E47+INDEX(Modelos!$AY$30:$BG$45,MATCH(Projeçao!E$2,Modelos!$AZ$49:$AZ$64,0),MATCH("β2",Modelos!$AY$30:$BG$30,0))*E46+INDEX(Modelos!$AY$30:$BG$45,MATCH(Projeçao!E$2,Modelos!$AZ$49:$AZ$64,0),MATCH("β3",Modelos!$AY$30:$BG$30,0))*E45+INDEX(Modelos!$AY$30:$BG$45,MATCH(Projeçao!E$2,Modelos!$AZ$49:$AZ$64,0),MATCH("θ1",Modelos!$AY$30:$BG$30,0))*I47+INDEX(Modelos!$AY$30:$BG$45,MATCH(Projeçao!E$2,Modelos!$AZ$49:$AZ$64,0),MATCH("θ2",Modelos!$AY$30:$BG$30,0))*I46+INDEX(Modelos!$AY$30:$BG$45,MATCH(Projeçao!E$2,Modelos!$AZ$49:$AZ$64,0),MATCH("θ3",Modelos!$AY$30:$BG$30,0))*I45+INDEX(Modelos!$AY$30:$BG$45,MATCH(Projeçao!E$2,Modelos!$AZ$49:$AZ$64,0),MATCH("c",Modelos!$AY$30:$BG$30,0))+I48</f>
        <v>0.8694711318503574</v>
      </c>
      <c r="G48" s="10"/>
      <c r="H48" s="10"/>
      <c r="I48" s="10"/>
      <c r="K48" s="6"/>
      <c r="L48" s="6">
        <f ca="1">INDEX(Modelos!$AY$49:$BG$64,MATCH(Projeçao!L$2,Modelos!$AZ$49:$AZ$64,0),MATCH("β1",Modelos!$AY$49:$BG$49,0))*L47+INDEX(Modelos!$AY$49:$BG$64,MATCH(Projeçao!L$2,Modelos!$AZ$49:$AZ$64,0),MATCH("β2",Modelos!$AY$49:$BG$49,0))*L46+INDEX(Modelos!$AY$49:$BG$64,MATCH(Projeçao!L$2,Modelos!$AZ$49:$AZ$64,0),MATCH("β3",Modelos!$AY$49:$BG$49,0))*L45+INDEX(Modelos!$AY$49:$BG$64,MATCH(Projeçao!L$2,Modelos!$AZ$49:$AZ$64,0),MATCH("θ1",Modelos!$AY$49:$BG$49,0))*P47+INDEX(Modelos!$AY$49:$BG$64,MATCH(Projeçao!L$2,Modelos!$AZ$49:$AZ$64,0),MATCH("θ2",Modelos!$AY$49:$BG$49,0))*P46+INDEX(Modelos!$AY$49:$BG$64,MATCH(Projeçao!L$2,Modelos!$AZ$49:$AZ$64,0),MATCH("θ3",Modelos!$AY$49:$BG$49,0))*P45+INDEX(Modelos!$AY$49:$BG$64,MATCH(Projeçao!L$2,Modelos!$AZ$49:$AZ$64,0),MATCH("c",Modelos!$AY$49:$BG$49,0))+P48</f>
        <v>0.25551045166171038</v>
      </c>
      <c r="M48" s="6">
        <f ca="1">INDEX(Modelos!$AY$49:$BG$64,MATCH(Projeçao!M$2,Modelos!$AZ$49:$AZ$64,0),MATCH("β1",Modelos!$AY$49:$BG$49,0))*M47+INDEX(Modelos!$AY$49:$BG$64,MATCH(Projeçao!M$2,Modelos!$AZ$49:$AZ$64,0),MATCH("β2",Modelos!$AY$49:$BG$49,0))*M46+INDEX(Modelos!$AY$49:$BG$64,MATCH(Projeçao!M$2,Modelos!$AZ$49:$AZ$64,0),MATCH("β3",Modelos!$AY$49:$BG$49,0))*M45+INDEX(Modelos!$AY$49:$BG$64,MATCH(Projeçao!M$2,Modelos!$AZ$49:$AZ$64,0),MATCH("θ1",Modelos!$AY$49:$BG$49,0))*Q47+INDEX(Modelos!$AY$49:$BG$64,MATCH(Projeçao!M$2,Modelos!$AZ$49:$AZ$64,0),MATCH("θ2",Modelos!$AY$49:$BG$49,0))*Q46+INDEX(Modelos!$AY$49:$BG$64,MATCH(Projeçao!M$2,Modelos!$AZ$49:$AZ$64,0),MATCH("θ3",Modelos!$AY$49:$BG$49,0))*Q45+INDEX(Modelos!$AY$49:$BG$64,MATCH(Projeçao!M$2,Modelos!$AZ$49:$AZ$64,0),MATCH("c",Modelos!$AY$49:$BG$49,0))+Q48</f>
        <v>0.19440119494416028</v>
      </c>
      <c r="N48" s="6">
        <f ca="1">INDEX(Modelos!$AY$49:$BG$64,MATCH(Projeçao!N$2,Modelos!$AZ$49:$AZ$64,0),MATCH("β1",Modelos!$AY$49:$BG$49,0))*N47+INDEX(Modelos!$AY$49:$BG$64,MATCH(Projeçao!N$2,Modelos!$AZ$49:$AZ$64,0),MATCH("β2",Modelos!$AY$49:$BG$49,0))*N46+INDEX(Modelos!$AY$49:$BG$64,MATCH(Projeçao!N$2,Modelos!$AZ$49:$AZ$64,0),MATCH("β3",Modelos!$AY$49:$BG$49,0))*N45+INDEX(Modelos!$AY$49:$BG$64,MATCH(Projeçao!N$2,Modelos!$AZ$49:$AZ$64,0),MATCH("θ1",Modelos!$AY$49:$BG$49,0))*R47+INDEX(Modelos!$AY$49:$BG$64,MATCH(Projeçao!N$2,Modelos!$AZ$49:$AZ$64,0),MATCH("θ2",Modelos!$AY$49:$BG$49,0))*R46+INDEX(Modelos!$AY$49:$BG$64,MATCH(Projeçao!N$2,Modelos!$AZ$49:$AZ$64,0),MATCH("θ3",Modelos!$AY$49:$BG$49,0))*R45+INDEX(Modelos!$AY$49:$BG$64,MATCH(Projeçao!N$2,Modelos!$AZ$49:$AZ$64,0),MATCH("c",Modelos!$AY$49:$BG$49,0))+R48</f>
        <v>0.20294739616124316</v>
      </c>
      <c r="P48" s="10"/>
      <c r="Q48" s="10"/>
      <c r="R48" s="10"/>
      <c r="T48" s="6"/>
      <c r="U48" s="6">
        <f ca="1">INDEX(Modelos!$AY$68:$BG$83,MATCH(Projeçao!U$2,Modelos!$AZ$68:$AZ$83,0),MATCH("β1",Modelos!$AY$68:$BG$68,0))*U47+INDEX(Modelos!$AY$68:$BG$83,MATCH(Projeçao!U$2,Modelos!$AZ$68:$AZ$83,0),MATCH("β2",Modelos!$AY$68:$BG$68,0))*U46+INDEX(Modelos!$AY$68:$BG$83,MATCH(Projeçao!U$2,Modelos!$AZ$68:$AZ$83,0),MATCH("β3",Modelos!$AY$68:$BG$68,0))*U45+INDEX(Modelos!$AY$68:$BG$83,MATCH(Projeçao!U$2,Modelos!$AZ$68:$AZ$83,0),MATCH("θ1",Modelos!$AY$68:$BG$68,0))*Y47+INDEX(Modelos!$AY$68:$BG$83,MATCH(Projeçao!U$2,Modelos!$AZ$68:$AZ$83,0),MATCH("θ2",Modelos!$AY$68:$BG$68,0))*Y46+INDEX(Modelos!$AY$68:$BG$83,MATCH(Projeçao!U$2,Modelos!$AZ$68:$AZ$83,0),MATCH("θ3",Modelos!$AY$68:$BG$68,0))*Y45+INDEX(Modelos!$AY$68:$BG$83,MATCH(Projeçao!U$2,Modelos!$AZ$68:$AZ$83,0),MATCH("c",Modelos!$AY$68:$BG$68,0))+Y48</f>
        <v>0.58241282361510172</v>
      </c>
      <c r="V48" s="6">
        <f>INDEX(Modelos!$AY$68:$BG$83,MATCH(Projeçao!V$2,Modelos!$AZ$68:$AZ$83,0),MATCH("β1",Modelos!$AY$68:$BG$68,0))*$T47+INDEX(Modelos!$AY$68:$BG$83,MATCH(Projeçao!V$2,Modelos!$AZ$68:$AZ$83,0),MATCH("β2",Modelos!$AY$68:$BG$68,0))*$T46+INDEX(Modelos!$AY$68:$BG$83,MATCH(Projeçao!V$2,Modelos!$AZ$68:$AZ$83,0),MATCH("β3",Modelos!$AY$68:$BG$68,0))*$T45+INDEX(Modelos!$AY$68:$BG$83,MATCH(Projeçao!V$2,Modelos!$AZ$68:$AZ$83,0),MATCH("θ1",Modelos!$AY$68:$BG$68,0))*Z47+INDEX(Modelos!$AY$68:$BG$83,MATCH(Projeçao!V$2,Modelos!$AZ$68:$AZ$83,0),MATCH("θ2",Modelos!$AY$68:$BG$68,0))*Z46+INDEX(Modelos!$AY$68:$BG$83,MATCH(Projeçao!V$2,Modelos!$AZ$68:$AZ$83,0),MATCH("θ3",Modelos!$AY$68:$BG$68,0))*Z45+INDEX(Modelos!$AY$68:$BG$83,MATCH(Projeçao!V$2,Modelos!$AZ$68:$AZ$83,0),MATCH("c",Modelos!$AY$68:$BG$68,0))</f>
        <v>0.58362319402417939</v>
      </c>
      <c r="W48" s="6">
        <f ca="1">INDEX(Modelos!$AY$68:$BG$83,MATCH(Projeçao!W$2,Modelos!$AZ$68:$AZ$83,0),MATCH("β1",Modelos!$AY$68:$BG$68,0))*W47+INDEX(Modelos!$AY$68:$BG$83,MATCH(Projeçao!W$2,Modelos!$AZ$68:$AZ$83,0),MATCH("β2",Modelos!$AY$68:$BG$68,0))*W46+INDEX(Modelos!$AY$68:$BG$83,MATCH(Projeçao!W$2,Modelos!$AZ$68:$AZ$83,0),MATCH("β3",Modelos!$AY$68:$BG$68,0))*W45+INDEX(Modelos!$AY$68:$BG$83,MATCH(Projeçao!W$2,Modelos!$AZ$68:$AZ$83,0),MATCH("θ1",Modelos!$AY$68:$BG$68,0))*AA47+INDEX(Modelos!$AY$68:$BG$83,MATCH(Projeçao!W$2,Modelos!$AZ$68:$AZ$83,0),MATCH("θ2",Modelos!$AY$68:$BG$68,0))*AA46+INDEX(Modelos!$AY$68:$BG$83,MATCH(Projeçao!W$2,Modelos!$AZ$68:$AZ$83,0),MATCH("θ3",Modelos!$AY$68:$BG$68,0))*AA45+INDEX(Modelos!$AY$68:$BG$83,MATCH(Projeçao!W$2,Modelos!$AZ$68:$AZ$83,0),MATCH("c",Modelos!$AY$68:$BG$68,0))+AA48</f>
        <v>-1.1009637871164104</v>
      </c>
      <c r="Y48" s="20"/>
      <c r="Z48" s="20"/>
      <c r="AA48" s="20"/>
    </row>
    <row r="49" spans="1:27" x14ac:dyDescent="0.15">
      <c r="A49" s="8">
        <f t="shared" si="10"/>
        <v>46295</v>
      </c>
      <c r="B49" s="6"/>
      <c r="C49" s="19">
        <f ca="1">INDEX(Modelos!$AY$30:$BG$45,MATCH(Projeçao!C$2,Modelos!$AZ$49:$AZ$64,0),MATCH("β1",Modelos!$AY$30:$BG$30,0))*C48+INDEX(Modelos!$AY$30:$BG$45,MATCH(Projeçao!C$2,Modelos!$AZ$49:$AZ$64,0),MATCH("β2",Modelos!$AY$30:$BG$30,0))*C47+INDEX(Modelos!$AY$30:$BG$45,MATCH(Projeçao!C$2,Modelos!$AZ$49:$AZ$64,0),MATCH("β3",Modelos!$AY$30:$BG$30,0))*C46+INDEX(Modelos!$AY$30:$BG$45,MATCH(Projeçao!C$2,Modelos!$AZ$49:$AZ$64,0),MATCH("θ1",Modelos!$AY$30:$BG$30,0))*G48+INDEX(Modelos!$AY$30:$BG$45,MATCH(Projeçao!C$2,Modelos!$AZ$49:$AZ$64,0),MATCH("θ2",Modelos!$AY$30:$BG$30,0))*G47+INDEX(Modelos!$AY$30:$BG$45,MATCH(Projeçao!C$2,Modelos!$AZ$49:$AZ$64,0),MATCH("θ3",Modelos!$AY$30:$BG$30,0))*G46+INDEX(Modelos!$AY$30:$BG$45,MATCH(Projeçao!C$2,Modelos!$AZ$49:$AZ$64,0),MATCH("c",Modelos!$AY$30:$BG$30,0))+G49</f>
        <v>0.61675517534652902</v>
      </c>
      <c r="D49" s="19">
        <f ca="1">INDEX(Modelos!$AY$30:$BG$45,MATCH(Projeçao!D$2,Modelos!$AZ$49:$AZ$64,0),MATCH("β1",Modelos!$AY$30:$BG$30,0))*D48+INDEX(Modelos!$AY$30:$BG$45,MATCH(Projeçao!D$2,Modelos!$AZ$49:$AZ$64,0),MATCH("β2",Modelos!$AY$30:$BG$30,0))*D47+INDEX(Modelos!$AY$30:$BG$45,MATCH(Projeçao!D$2,Modelos!$AZ$49:$AZ$64,0),MATCH("β3",Modelos!$AY$30:$BG$30,0))*D46+INDEX(Modelos!$AY$30:$BG$45,MATCH(Projeçao!D$2,Modelos!$AZ$49:$AZ$64,0),MATCH("θ1",Modelos!$AY$30:$BG$30,0))*H48+INDEX(Modelos!$AY$30:$BG$45,MATCH(Projeçao!D$2,Modelos!$AZ$49:$AZ$64,0),MATCH("θ2",Modelos!$AY$30:$BG$30,0))*H47+INDEX(Modelos!$AY$30:$BG$45,MATCH(Projeçao!D$2,Modelos!$AZ$49:$AZ$64,0),MATCH("θ3",Modelos!$AY$30:$BG$30,0))*H46+INDEX(Modelos!$AY$30:$BG$45,MATCH(Projeçao!D$2,Modelos!$AZ$49:$AZ$64,0),MATCH("c",Modelos!$AY$30:$BG$30,0))+H49</f>
        <v>0.87014165893733786</v>
      </c>
      <c r="E49" s="19">
        <f ca="1">INDEX(Modelos!$AY$30:$BG$45,MATCH(Projeçao!E$2,Modelos!$AZ$49:$AZ$64,0),MATCH("β1",Modelos!$AY$30:$BG$30,0))*E48+INDEX(Modelos!$AY$30:$BG$45,MATCH(Projeçao!E$2,Modelos!$AZ$49:$AZ$64,0),MATCH("β2",Modelos!$AY$30:$BG$30,0))*E47+INDEX(Modelos!$AY$30:$BG$45,MATCH(Projeçao!E$2,Modelos!$AZ$49:$AZ$64,0),MATCH("β3",Modelos!$AY$30:$BG$30,0))*E46+INDEX(Modelos!$AY$30:$BG$45,MATCH(Projeçao!E$2,Modelos!$AZ$49:$AZ$64,0),MATCH("θ1",Modelos!$AY$30:$BG$30,0))*I48+INDEX(Modelos!$AY$30:$BG$45,MATCH(Projeçao!E$2,Modelos!$AZ$49:$AZ$64,0),MATCH("θ2",Modelos!$AY$30:$BG$30,0))*I47+INDEX(Modelos!$AY$30:$BG$45,MATCH(Projeçao!E$2,Modelos!$AZ$49:$AZ$64,0),MATCH("θ3",Modelos!$AY$30:$BG$30,0))*I46+INDEX(Modelos!$AY$30:$BG$45,MATCH(Projeçao!E$2,Modelos!$AZ$49:$AZ$64,0),MATCH("c",Modelos!$AY$30:$BG$30,0))+I49</f>
        <v>0.86947097485125657</v>
      </c>
      <c r="G49" s="10"/>
      <c r="H49" s="10"/>
      <c r="I49" s="10"/>
      <c r="K49" s="6"/>
      <c r="L49" s="6">
        <f ca="1">INDEX(Modelos!$AY$49:$BG$64,MATCH(Projeçao!L$2,Modelos!$AZ$49:$AZ$64,0),MATCH("β1",Modelos!$AY$49:$BG$49,0))*L48+INDEX(Modelos!$AY$49:$BG$64,MATCH(Projeçao!L$2,Modelos!$AZ$49:$AZ$64,0),MATCH("β2",Modelos!$AY$49:$BG$49,0))*L47+INDEX(Modelos!$AY$49:$BG$64,MATCH(Projeçao!L$2,Modelos!$AZ$49:$AZ$64,0),MATCH("β3",Modelos!$AY$49:$BG$49,0))*L46+INDEX(Modelos!$AY$49:$BG$64,MATCH(Projeçao!L$2,Modelos!$AZ$49:$AZ$64,0),MATCH("θ1",Modelos!$AY$49:$BG$49,0))*P48+INDEX(Modelos!$AY$49:$BG$64,MATCH(Projeçao!L$2,Modelos!$AZ$49:$AZ$64,0),MATCH("θ2",Modelos!$AY$49:$BG$49,0))*P47+INDEX(Modelos!$AY$49:$BG$64,MATCH(Projeçao!L$2,Modelos!$AZ$49:$AZ$64,0),MATCH("θ3",Modelos!$AY$49:$BG$49,0))*P46+INDEX(Modelos!$AY$49:$BG$64,MATCH(Projeçao!L$2,Modelos!$AZ$49:$AZ$64,0),MATCH("c",Modelos!$AY$49:$BG$49,0))+P49</f>
        <v>0.25551045166171038</v>
      </c>
      <c r="M49" s="6">
        <f ca="1">INDEX(Modelos!$AY$49:$BG$64,MATCH(Projeçao!M$2,Modelos!$AZ$49:$AZ$64,0),MATCH("β1",Modelos!$AY$49:$BG$49,0))*M48+INDEX(Modelos!$AY$49:$BG$64,MATCH(Projeçao!M$2,Modelos!$AZ$49:$AZ$64,0),MATCH("β2",Modelos!$AY$49:$BG$49,0))*M47+INDEX(Modelos!$AY$49:$BG$64,MATCH(Projeçao!M$2,Modelos!$AZ$49:$AZ$64,0),MATCH("β3",Modelos!$AY$49:$BG$49,0))*M46+INDEX(Modelos!$AY$49:$BG$64,MATCH(Projeçao!M$2,Modelos!$AZ$49:$AZ$64,0),MATCH("θ1",Modelos!$AY$49:$BG$49,0))*Q48+INDEX(Modelos!$AY$49:$BG$64,MATCH(Projeçao!M$2,Modelos!$AZ$49:$AZ$64,0),MATCH("θ2",Modelos!$AY$49:$BG$49,0))*Q47+INDEX(Modelos!$AY$49:$BG$64,MATCH(Projeçao!M$2,Modelos!$AZ$49:$AZ$64,0),MATCH("θ3",Modelos!$AY$49:$BG$49,0))*Q46+INDEX(Modelos!$AY$49:$BG$64,MATCH(Projeçao!M$2,Modelos!$AZ$49:$AZ$64,0),MATCH("c",Modelos!$AY$49:$BG$49,0))+Q49</f>
        <v>0.19441822573851741</v>
      </c>
      <c r="N49" s="6">
        <f ca="1">INDEX(Modelos!$AY$49:$BG$64,MATCH(Projeçao!N$2,Modelos!$AZ$49:$AZ$64,0),MATCH("β1",Modelos!$AY$49:$BG$49,0))*N48+INDEX(Modelos!$AY$49:$BG$64,MATCH(Projeçao!N$2,Modelos!$AZ$49:$AZ$64,0),MATCH("β2",Modelos!$AY$49:$BG$49,0))*N47+INDEX(Modelos!$AY$49:$BG$64,MATCH(Projeçao!N$2,Modelos!$AZ$49:$AZ$64,0),MATCH("β3",Modelos!$AY$49:$BG$49,0))*N46+INDEX(Modelos!$AY$49:$BG$64,MATCH(Projeçao!N$2,Modelos!$AZ$49:$AZ$64,0),MATCH("θ1",Modelos!$AY$49:$BG$49,0))*R48+INDEX(Modelos!$AY$49:$BG$64,MATCH(Projeçao!N$2,Modelos!$AZ$49:$AZ$64,0),MATCH("θ2",Modelos!$AY$49:$BG$49,0))*R47+INDEX(Modelos!$AY$49:$BG$64,MATCH(Projeçao!N$2,Modelos!$AZ$49:$AZ$64,0),MATCH("θ3",Modelos!$AY$49:$BG$49,0))*R46+INDEX(Modelos!$AY$49:$BG$64,MATCH(Projeçao!N$2,Modelos!$AZ$49:$AZ$64,0),MATCH("c",Modelos!$AY$49:$BG$49,0))+R49</f>
        <v>0.20294954313338975</v>
      </c>
      <c r="P49" s="10"/>
      <c r="Q49" s="10"/>
      <c r="R49" s="10"/>
      <c r="T49" s="6"/>
      <c r="U49" s="6">
        <f ca="1">INDEX(Modelos!$AY$68:$BG$83,MATCH(Projeçao!U$2,Modelos!$AZ$68:$AZ$83,0),MATCH("β1",Modelos!$AY$68:$BG$68,0))*U48+INDEX(Modelos!$AY$68:$BG$83,MATCH(Projeçao!U$2,Modelos!$AZ$68:$AZ$83,0),MATCH("β2",Modelos!$AY$68:$BG$68,0))*U47+INDEX(Modelos!$AY$68:$BG$83,MATCH(Projeçao!U$2,Modelos!$AZ$68:$AZ$83,0),MATCH("β3",Modelos!$AY$68:$BG$68,0))*U46+INDEX(Modelos!$AY$68:$BG$83,MATCH(Projeçao!U$2,Modelos!$AZ$68:$AZ$83,0),MATCH("θ1",Modelos!$AY$68:$BG$68,0))*Y48+INDEX(Modelos!$AY$68:$BG$83,MATCH(Projeçao!U$2,Modelos!$AZ$68:$AZ$83,0),MATCH("θ2",Modelos!$AY$68:$BG$68,0))*Y47+INDEX(Modelos!$AY$68:$BG$83,MATCH(Projeçao!U$2,Modelos!$AZ$68:$AZ$83,0),MATCH("θ3",Modelos!$AY$68:$BG$68,0))*Y46+INDEX(Modelos!$AY$68:$BG$83,MATCH(Projeçao!U$2,Modelos!$AZ$68:$AZ$83,0),MATCH("c",Modelos!$AY$68:$BG$68,0))+Y49</f>
        <v>0.58241282361510172</v>
      </c>
      <c r="V49" s="6">
        <f>INDEX(Modelos!$AY$68:$BG$83,MATCH(Projeçao!V$2,Modelos!$AZ$68:$AZ$83,0),MATCH("β1",Modelos!$AY$68:$BG$68,0))*$T48+INDEX(Modelos!$AY$68:$BG$83,MATCH(Projeçao!V$2,Modelos!$AZ$68:$AZ$83,0),MATCH("β2",Modelos!$AY$68:$BG$68,0))*$T47+INDEX(Modelos!$AY$68:$BG$83,MATCH(Projeçao!V$2,Modelos!$AZ$68:$AZ$83,0),MATCH("β3",Modelos!$AY$68:$BG$68,0))*$T46+INDEX(Modelos!$AY$68:$BG$83,MATCH(Projeçao!V$2,Modelos!$AZ$68:$AZ$83,0),MATCH("θ1",Modelos!$AY$68:$BG$68,0))*Z48+INDEX(Modelos!$AY$68:$BG$83,MATCH(Projeçao!V$2,Modelos!$AZ$68:$AZ$83,0),MATCH("θ2",Modelos!$AY$68:$BG$68,0))*Z47+INDEX(Modelos!$AY$68:$BG$83,MATCH(Projeçao!V$2,Modelos!$AZ$68:$AZ$83,0),MATCH("θ3",Modelos!$AY$68:$BG$68,0))*Z46+INDEX(Modelos!$AY$68:$BG$83,MATCH(Projeçao!V$2,Modelos!$AZ$68:$AZ$83,0),MATCH("c",Modelos!$AY$68:$BG$68,0))</f>
        <v>0.58362319402417939</v>
      </c>
      <c r="W49" s="6">
        <f ca="1">INDEX(Modelos!$AY$68:$BG$83,MATCH(Projeçao!W$2,Modelos!$AZ$68:$AZ$83,0),MATCH("β1",Modelos!$AY$68:$BG$68,0))*W48+INDEX(Modelos!$AY$68:$BG$83,MATCH(Projeçao!W$2,Modelos!$AZ$68:$AZ$83,0),MATCH("β2",Modelos!$AY$68:$BG$68,0))*W47+INDEX(Modelos!$AY$68:$BG$83,MATCH(Projeçao!W$2,Modelos!$AZ$68:$AZ$83,0),MATCH("β3",Modelos!$AY$68:$BG$68,0))*W46+INDEX(Modelos!$AY$68:$BG$83,MATCH(Projeçao!W$2,Modelos!$AZ$68:$AZ$83,0),MATCH("θ1",Modelos!$AY$68:$BG$68,0))*AA48+INDEX(Modelos!$AY$68:$BG$83,MATCH(Projeçao!W$2,Modelos!$AZ$68:$AZ$83,0),MATCH("θ2",Modelos!$AY$68:$BG$68,0))*AA47+INDEX(Modelos!$AY$68:$BG$83,MATCH(Projeçao!W$2,Modelos!$AZ$68:$AZ$83,0),MATCH("θ3",Modelos!$AY$68:$BG$68,0))*AA46+INDEX(Modelos!$AY$68:$BG$83,MATCH(Projeçao!W$2,Modelos!$AZ$68:$AZ$83,0),MATCH("c",Modelos!$AY$68:$BG$68,0))+AA49</f>
        <v>3.8575516108628687</v>
      </c>
      <c r="Y49" s="20"/>
      <c r="Z49" s="20"/>
      <c r="AA49" s="20"/>
    </row>
    <row r="50" spans="1:27" x14ac:dyDescent="0.15">
      <c r="A50" s="8">
        <f t="shared" si="10"/>
        <v>46387</v>
      </c>
      <c r="B50" s="6"/>
      <c r="C50" s="19">
        <f ca="1">INDEX(Modelos!$AY$30:$BG$45,MATCH(Projeçao!C$2,Modelos!$AZ$49:$AZ$64,0),MATCH("β1",Modelos!$AY$30:$BG$30,0))*C49+INDEX(Modelos!$AY$30:$BG$45,MATCH(Projeçao!C$2,Modelos!$AZ$49:$AZ$64,0),MATCH("β2",Modelos!$AY$30:$BG$30,0))*C48+INDEX(Modelos!$AY$30:$BG$45,MATCH(Projeçao!C$2,Modelos!$AZ$49:$AZ$64,0),MATCH("β3",Modelos!$AY$30:$BG$30,0))*C47+INDEX(Modelos!$AY$30:$BG$45,MATCH(Projeçao!C$2,Modelos!$AZ$49:$AZ$64,0),MATCH("θ1",Modelos!$AY$30:$BG$30,0))*G49+INDEX(Modelos!$AY$30:$BG$45,MATCH(Projeçao!C$2,Modelos!$AZ$49:$AZ$64,0),MATCH("θ2",Modelos!$AY$30:$BG$30,0))*G48+INDEX(Modelos!$AY$30:$BG$45,MATCH(Projeçao!C$2,Modelos!$AZ$49:$AZ$64,0),MATCH("θ3",Modelos!$AY$30:$BG$30,0))*G47+INDEX(Modelos!$AY$30:$BG$45,MATCH(Projeçao!C$2,Modelos!$AZ$49:$AZ$64,0),MATCH("c",Modelos!$AY$30:$BG$30,0))+G50</f>
        <v>0.61867037731395425</v>
      </c>
      <c r="D50" s="19">
        <f ca="1">INDEX(Modelos!$AY$30:$BG$45,MATCH(Projeçao!D$2,Modelos!$AZ$49:$AZ$64,0),MATCH("β1",Modelos!$AY$30:$BG$30,0))*D49+INDEX(Modelos!$AY$30:$BG$45,MATCH(Projeçao!D$2,Modelos!$AZ$49:$AZ$64,0),MATCH("β2",Modelos!$AY$30:$BG$30,0))*D48+INDEX(Modelos!$AY$30:$BG$45,MATCH(Projeçao!D$2,Modelos!$AZ$49:$AZ$64,0),MATCH("β3",Modelos!$AY$30:$BG$30,0))*D47+INDEX(Modelos!$AY$30:$BG$45,MATCH(Projeçao!D$2,Modelos!$AZ$49:$AZ$64,0),MATCH("θ1",Modelos!$AY$30:$BG$30,0))*H49+INDEX(Modelos!$AY$30:$BG$45,MATCH(Projeçao!D$2,Modelos!$AZ$49:$AZ$64,0),MATCH("θ2",Modelos!$AY$30:$BG$30,0))*H48+INDEX(Modelos!$AY$30:$BG$45,MATCH(Projeçao!D$2,Modelos!$AZ$49:$AZ$64,0),MATCH("θ3",Modelos!$AY$30:$BG$30,0))*H47+INDEX(Modelos!$AY$30:$BG$45,MATCH(Projeçao!D$2,Modelos!$AZ$49:$AZ$64,0),MATCH("c",Modelos!$AY$30:$BG$30,0))+H50</f>
        <v>0.85795058534109736</v>
      </c>
      <c r="E50" s="19">
        <f ca="1">INDEX(Modelos!$AY$30:$BG$45,MATCH(Projeçao!E$2,Modelos!$AZ$49:$AZ$64,0),MATCH("β1",Modelos!$AY$30:$BG$30,0))*E49+INDEX(Modelos!$AY$30:$BG$45,MATCH(Projeçao!E$2,Modelos!$AZ$49:$AZ$64,0),MATCH("β2",Modelos!$AY$30:$BG$30,0))*E48+INDEX(Modelos!$AY$30:$BG$45,MATCH(Projeçao!E$2,Modelos!$AZ$49:$AZ$64,0),MATCH("β3",Modelos!$AY$30:$BG$30,0))*E47+INDEX(Modelos!$AY$30:$BG$45,MATCH(Projeçao!E$2,Modelos!$AZ$49:$AZ$64,0),MATCH("θ1",Modelos!$AY$30:$BG$30,0))*I49+INDEX(Modelos!$AY$30:$BG$45,MATCH(Projeçao!E$2,Modelos!$AZ$49:$AZ$64,0),MATCH("θ2",Modelos!$AY$30:$BG$30,0))*I48+INDEX(Modelos!$AY$30:$BG$45,MATCH(Projeçao!E$2,Modelos!$AZ$49:$AZ$64,0),MATCH("θ3",Modelos!$AY$30:$BG$30,0))*I47+INDEX(Modelos!$AY$30:$BG$45,MATCH(Projeçao!E$2,Modelos!$AZ$49:$AZ$64,0),MATCH("c",Modelos!$AY$30:$BG$30,0))+I50</f>
        <v>0.86947097552427566</v>
      </c>
      <c r="G50" s="10"/>
      <c r="H50" s="10"/>
      <c r="I50" s="10"/>
      <c r="K50" s="6"/>
      <c r="L50" s="6">
        <f ca="1">INDEX(Modelos!$AY$49:$BG$64,MATCH(Projeçao!L$2,Modelos!$AZ$49:$AZ$64,0),MATCH("β1",Modelos!$AY$49:$BG$49,0))*L49+INDEX(Modelos!$AY$49:$BG$64,MATCH(Projeçao!L$2,Modelos!$AZ$49:$AZ$64,0),MATCH("β2",Modelos!$AY$49:$BG$49,0))*L48+INDEX(Modelos!$AY$49:$BG$64,MATCH(Projeçao!L$2,Modelos!$AZ$49:$AZ$64,0),MATCH("β3",Modelos!$AY$49:$BG$49,0))*L47+INDEX(Modelos!$AY$49:$BG$64,MATCH(Projeçao!L$2,Modelos!$AZ$49:$AZ$64,0),MATCH("θ1",Modelos!$AY$49:$BG$49,0))*P49+INDEX(Modelos!$AY$49:$BG$64,MATCH(Projeçao!L$2,Modelos!$AZ$49:$AZ$64,0),MATCH("θ2",Modelos!$AY$49:$BG$49,0))*P48+INDEX(Modelos!$AY$49:$BG$64,MATCH(Projeçao!L$2,Modelos!$AZ$49:$AZ$64,0),MATCH("θ3",Modelos!$AY$49:$BG$49,0))*P47+INDEX(Modelos!$AY$49:$BG$64,MATCH(Projeçao!L$2,Modelos!$AZ$49:$AZ$64,0),MATCH("c",Modelos!$AY$49:$BG$49,0))+P50</f>
        <v>0.25551045166171038</v>
      </c>
      <c r="M50" s="6">
        <f ca="1">INDEX(Modelos!$AY$49:$BG$64,MATCH(Projeçao!M$2,Modelos!$AZ$49:$AZ$64,0),MATCH("β1",Modelos!$AY$49:$BG$49,0))*M49+INDEX(Modelos!$AY$49:$BG$64,MATCH(Projeçao!M$2,Modelos!$AZ$49:$AZ$64,0),MATCH("β2",Modelos!$AY$49:$BG$49,0))*M48+INDEX(Modelos!$AY$49:$BG$64,MATCH(Projeçao!M$2,Modelos!$AZ$49:$AZ$64,0),MATCH("β3",Modelos!$AY$49:$BG$49,0))*M47+INDEX(Modelos!$AY$49:$BG$64,MATCH(Projeçao!M$2,Modelos!$AZ$49:$AZ$64,0),MATCH("θ1",Modelos!$AY$49:$BG$49,0))*Q49+INDEX(Modelos!$AY$49:$BG$64,MATCH(Projeçao!M$2,Modelos!$AZ$49:$AZ$64,0),MATCH("θ2",Modelos!$AY$49:$BG$49,0))*Q48+INDEX(Modelos!$AY$49:$BG$64,MATCH(Projeçao!M$2,Modelos!$AZ$49:$AZ$64,0),MATCH("θ3",Modelos!$AY$49:$BG$49,0))*Q47+INDEX(Modelos!$AY$49:$BG$64,MATCH(Projeçao!M$2,Modelos!$AZ$49:$AZ$64,0),MATCH("c",Modelos!$AY$49:$BG$49,0))+Q50</f>
        <v>0.19441001912297731</v>
      </c>
      <c r="N50" s="6">
        <f ca="1">INDEX(Modelos!$AY$49:$BG$64,MATCH(Projeçao!N$2,Modelos!$AZ$49:$AZ$64,0),MATCH("β1",Modelos!$AY$49:$BG$49,0))*N49+INDEX(Modelos!$AY$49:$BG$64,MATCH(Projeçao!N$2,Modelos!$AZ$49:$AZ$64,0),MATCH("β2",Modelos!$AY$49:$BG$49,0))*N48+INDEX(Modelos!$AY$49:$BG$64,MATCH(Projeçao!N$2,Modelos!$AZ$49:$AZ$64,0),MATCH("β3",Modelos!$AY$49:$BG$49,0))*N47+INDEX(Modelos!$AY$49:$BG$64,MATCH(Projeçao!N$2,Modelos!$AZ$49:$AZ$64,0),MATCH("θ1",Modelos!$AY$49:$BG$49,0))*R49+INDEX(Modelos!$AY$49:$BG$64,MATCH(Projeçao!N$2,Modelos!$AZ$49:$AZ$64,0),MATCH("θ2",Modelos!$AY$49:$BG$49,0))*R48+INDEX(Modelos!$AY$49:$BG$64,MATCH(Projeçao!N$2,Modelos!$AZ$49:$AZ$64,0),MATCH("θ3",Modelos!$AY$49:$BG$49,0))*R47+INDEX(Modelos!$AY$49:$BG$64,MATCH(Projeçao!N$2,Modelos!$AZ$49:$AZ$64,0),MATCH("c",Modelos!$AY$49:$BG$49,0))+R50</f>
        <v>0.20294849018325992</v>
      </c>
      <c r="P50" s="10"/>
      <c r="Q50" s="10"/>
      <c r="R50" s="10"/>
      <c r="T50" s="6"/>
      <c r="U50" s="6">
        <f ca="1">INDEX(Modelos!$AY$68:$BG$83,MATCH(Projeçao!U$2,Modelos!$AZ$68:$AZ$83,0),MATCH("β1",Modelos!$AY$68:$BG$68,0))*U49+INDEX(Modelos!$AY$68:$BG$83,MATCH(Projeçao!U$2,Modelos!$AZ$68:$AZ$83,0),MATCH("β2",Modelos!$AY$68:$BG$68,0))*U48+INDEX(Modelos!$AY$68:$BG$83,MATCH(Projeçao!U$2,Modelos!$AZ$68:$AZ$83,0),MATCH("β3",Modelos!$AY$68:$BG$68,0))*U47+INDEX(Modelos!$AY$68:$BG$83,MATCH(Projeçao!U$2,Modelos!$AZ$68:$AZ$83,0),MATCH("θ1",Modelos!$AY$68:$BG$68,0))*Y49+INDEX(Modelos!$AY$68:$BG$83,MATCH(Projeçao!U$2,Modelos!$AZ$68:$AZ$83,0),MATCH("θ2",Modelos!$AY$68:$BG$68,0))*Y48+INDEX(Modelos!$AY$68:$BG$83,MATCH(Projeçao!U$2,Modelos!$AZ$68:$AZ$83,0),MATCH("θ3",Modelos!$AY$68:$BG$68,0))*Y47+INDEX(Modelos!$AY$68:$BG$83,MATCH(Projeçao!U$2,Modelos!$AZ$68:$AZ$83,0),MATCH("c",Modelos!$AY$68:$BG$68,0))+Y50</f>
        <v>0.58241282361510172</v>
      </c>
      <c r="V50" s="6">
        <f>INDEX(Modelos!$AY$68:$BG$83,MATCH(Projeçao!V$2,Modelos!$AZ$68:$AZ$83,0),MATCH("β1",Modelos!$AY$68:$BG$68,0))*$T49+INDEX(Modelos!$AY$68:$BG$83,MATCH(Projeçao!V$2,Modelos!$AZ$68:$AZ$83,0),MATCH("β2",Modelos!$AY$68:$BG$68,0))*$T48+INDEX(Modelos!$AY$68:$BG$83,MATCH(Projeçao!V$2,Modelos!$AZ$68:$AZ$83,0),MATCH("β3",Modelos!$AY$68:$BG$68,0))*$T47+INDEX(Modelos!$AY$68:$BG$83,MATCH(Projeçao!V$2,Modelos!$AZ$68:$AZ$83,0),MATCH("θ1",Modelos!$AY$68:$BG$68,0))*Z49+INDEX(Modelos!$AY$68:$BG$83,MATCH(Projeçao!V$2,Modelos!$AZ$68:$AZ$83,0),MATCH("θ2",Modelos!$AY$68:$BG$68,0))*Z48+INDEX(Modelos!$AY$68:$BG$83,MATCH(Projeçao!V$2,Modelos!$AZ$68:$AZ$83,0),MATCH("θ3",Modelos!$AY$68:$BG$68,0))*Z47+INDEX(Modelos!$AY$68:$BG$83,MATCH(Projeçao!V$2,Modelos!$AZ$68:$AZ$83,0),MATCH("c",Modelos!$AY$68:$BG$68,0))</f>
        <v>0.58362319402417939</v>
      </c>
      <c r="W50" s="6">
        <f ca="1">INDEX(Modelos!$AY$68:$BG$83,MATCH(Projeçao!W$2,Modelos!$AZ$68:$AZ$83,0),MATCH("β1",Modelos!$AY$68:$BG$68,0))*W49+INDEX(Modelos!$AY$68:$BG$83,MATCH(Projeçao!W$2,Modelos!$AZ$68:$AZ$83,0),MATCH("β2",Modelos!$AY$68:$BG$68,0))*W48+INDEX(Modelos!$AY$68:$BG$83,MATCH(Projeçao!W$2,Modelos!$AZ$68:$AZ$83,0),MATCH("β3",Modelos!$AY$68:$BG$68,0))*W47+INDEX(Modelos!$AY$68:$BG$83,MATCH(Projeçao!W$2,Modelos!$AZ$68:$AZ$83,0),MATCH("θ1",Modelos!$AY$68:$BG$68,0))*AA49+INDEX(Modelos!$AY$68:$BG$83,MATCH(Projeçao!W$2,Modelos!$AZ$68:$AZ$83,0),MATCH("θ2",Modelos!$AY$68:$BG$68,0))*AA48+INDEX(Modelos!$AY$68:$BG$83,MATCH(Projeçao!W$2,Modelos!$AZ$68:$AZ$83,0),MATCH("θ3",Modelos!$AY$68:$BG$68,0))*AA47+INDEX(Modelos!$AY$68:$BG$83,MATCH(Projeçao!W$2,Modelos!$AZ$68:$AZ$83,0),MATCH("c",Modelos!$AY$68:$BG$68,0))+AA50</f>
        <v>-2.6610356535778283</v>
      </c>
      <c r="Y50" s="20"/>
      <c r="Z50" s="20"/>
      <c r="AA50" s="2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FCBD8-9504-41B2-A4AD-A2BB10C07926}">
  <sheetPr codeName="Sheet6">
    <tabColor theme="0" tint="-0.499984740745262"/>
  </sheetPr>
  <dimension ref="A1:AJ170"/>
  <sheetViews>
    <sheetView showGridLines="0" zoomScale="85" zoomScaleNormal="85" workbookViewId="0">
      <pane xSplit="1" ySplit="3" topLeftCell="B4" activePane="bottomRight" state="frozen"/>
      <selection pane="topRight" activeCell="B1" sqref="B1"/>
      <selection pane="bottomLeft" activeCell="A3" sqref="A3"/>
      <selection pane="bottomRight"/>
    </sheetView>
  </sheetViews>
  <sheetFormatPr baseColWidth="10" defaultColWidth="8.83203125" defaultRowHeight="11" x14ac:dyDescent="0.15"/>
  <cols>
    <col min="1" max="1" width="8.83203125" style="2"/>
    <col min="2" max="9" width="12.83203125" style="2" customWidth="1"/>
    <col min="10" max="10" width="4.1640625" style="2" customWidth="1"/>
    <col min="11" max="11" width="11.83203125" style="2" customWidth="1"/>
    <col min="12" max="17" width="10.1640625" style="2" customWidth="1"/>
    <col min="18" max="18" width="4.1640625" style="2" customWidth="1"/>
    <col min="19" max="19" width="11.83203125" style="2" customWidth="1"/>
    <col min="20" max="22" width="10.1640625" style="2" customWidth="1"/>
    <col min="23" max="23" width="4.1640625" style="2" customWidth="1"/>
    <col min="24" max="29" width="8.83203125" style="2"/>
    <col min="30" max="30" width="4.1640625" style="2" customWidth="1"/>
    <col min="31" max="16384" width="8.83203125" style="2"/>
  </cols>
  <sheetData>
    <row r="1" spans="1:36" x14ac:dyDescent="0.15">
      <c r="A1" s="1" t="s">
        <v>178</v>
      </c>
      <c r="B1" s="1" t="s">
        <v>112</v>
      </c>
      <c r="C1" s="1"/>
      <c r="D1" s="1"/>
      <c r="E1" s="1"/>
      <c r="F1" s="1"/>
      <c r="G1" s="1"/>
      <c r="H1" s="1"/>
      <c r="I1" s="1"/>
      <c r="K1" s="1" t="s">
        <v>113</v>
      </c>
      <c r="L1" s="1"/>
      <c r="M1" s="1"/>
      <c r="N1" s="1"/>
      <c r="O1" s="1"/>
      <c r="P1" s="1"/>
      <c r="Q1" s="1"/>
      <c r="S1" s="1" t="s">
        <v>115</v>
      </c>
      <c r="T1" s="1"/>
      <c r="U1" s="1"/>
      <c r="V1" s="1"/>
      <c r="X1" s="26" t="s">
        <v>181</v>
      </c>
      <c r="Y1" s="1"/>
      <c r="Z1" s="1"/>
      <c r="AA1" s="1"/>
      <c r="AB1" s="1"/>
      <c r="AC1" s="1"/>
      <c r="AE1" s="26" t="s">
        <v>179</v>
      </c>
      <c r="AF1" s="1"/>
      <c r="AG1" s="1"/>
      <c r="AH1" s="1"/>
      <c r="AI1" s="1"/>
      <c r="AJ1" s="1"/>
    </row>
    <row r="2" spans="1:36" x14ac:dyDescent="0.15">
      <c r="A2" s="3" t="s">
        <v>139</v>
      </c>
      <c r="B2" s="1"/>
      <c r="C2" s="1"/>
      <c r="D2" s="1"/>
      <c r="E2" s="1"/>
      <c r="F2" s="1"/>
      <c r="G2" s="1"/>
      <c r="H2" s="1"/>
      <c r="I2" s="1"/>
      <c r="K2" s="27" t="s">
        <v>136</v>
      </c>
      <c r="L2" s="27" t="s">
        <v>133</v>
      </c>
      <c r="M2" s="27" t="s">
        <v>131</v>
      </c>
      <c r="N2" s="1" t="s">
        <v>176</v>
      </c>
      <c r="O2" s="1" t="s">
        <v>177</v>
      </c>
      <c r="P2" s="1" t="s">
        <v>176</v>
      </c>
      <c r="Q2" s="1" t="s">
        <v>176</v>
      </c>
      <c r="S2" s="1"/>
      <c r="T2" s="1"/>
      <c r="U2" s="1"/>
      <c r="V2" s="1"/>
    </row>
    <row r="3" spans="1:36" x14ac:dyDescent="0.15">
      <c r="A3" s="3" t="s">
        <v>111</v>
      </c>
      <c r="B3" s="3" t="s">
        <v>108</v>
      </c>
      <c r="C3" s="3" t="s">
        <v>116</v>
      </c>
      <c r="D3" s="3" t="s">
        <v>109</v>
      </c>
      <c r="E3" s="3" t="s">
        <v>114</v>
      </c>
      <c r="F3" s="23" t="s">
        <v>117</v>
      </c>
      <c r="G3" s="3" t="s">
        <v>110</v>
      </c>
      <c r="H3" s="23" t="s">
        <v>189</v>
      </c>
      <c r="I3" s="3" t="s">
        <v>190</v>
      </c>
      <c r="K3" s="3" t="s">
        <v>108</v>
      </c>
      <c r="L3" s="3" t="s">
        <v>116</v>
      </c>
      <c r="M3" s="3" t="s">
        <v>109</v>
      </c>
      <c r="N3" s="3" t="s">
        <v>114</v>
      </c>
      <c r="O3" s="3" t="s">
        <v>117</v>
      </c>
      <c r="P3" s="3" t="s">
        <v>110</v>
      </c>
      <c r="Q3" s="6" t="s">
        <v>189</v>
      </c>
      <c r="S3" s="3" t="s">
        <v>108</v>
      </c>
      <c r="T3" s="3" t="s">
        <v>116</v>
      </c>
      <c r="U3" s="3" t="s">
        <v>109</v>
      </c>
      <c r="V3" s="3" t="s">
        <v>117</v>
      </c>
      <c r="X3" s="23" t="s">
        <v>108</v>
      </c>
      <c r="Y3" s="23" t="s">
        <v>116</v>
      </c>
      <c r="Z3" s="23" t="s">
        <v>109</v>
      </c>
      <c r="AA3" s="23" t="s">
        <v>114</v>
      </c>
      <c r="AB3" s="23" t="s">
        <v>110</v>
      </c>
      <c r="AC3" s="23" t="s">
        <v>189</v>
      </c>
      <c r="AE3" s="23" t="s">
        <v>108</v>
      </c>
      <c r="AF3" s="23" t="s">
        <v>116</v>
      </c>
      <c r="AG3" s="23" t="s">
        <v>109</v>
      </c>
      <c r="AH3" s="23" t="s">
        <v>114</v>
      </c>
      <c r="AI3" s="23" t="s">
        <v>110</v>
      </c>
      <c r="AJ3" s="23" t="s">
        <v>189</v>
      </c>
    </row>
    <row r="4" spans="1:36" x14ac:dyDescent="0.15">
      <c r="A4" s="8">
        <v>35125</v>
      </c>
      <c r="B4" s="5" cm="1">
        <f t="array" aca="1" ref="B4" ca="1">OFFSET('Input IBGE'!$A$5,ROW()-3,COLUMN()-1,,)</f>
        <v>8434.1200000000008</v>
      </c>
      <c r="C4" s="5" cm="1">
        <f t="array" aca="1" ref="C4" ca="1">OFFSET('Input IBGE'!$A$5,ROW()-3,COLUMN()-1,,)</f>
        <v>41667.01</v>
      </c>
      <c r="D4" s="5" cm="1">
        <f t="array" aca="1" ref="D4" ca="1">OFFSET('Input IBGE'!$A$5,ROW()-3,COLUMN()-1,,)</f>
        <v>103507.88</v>
      </c>
      <c r="E4" s="5" cm="1">
        <f t="array" aca="1" ref="E4" ca="1">OFFSET('Input IBGE'!$A$5,ROW()-3,COLUMN()-1,,)</f>
        <v>152563.74</v>
      </c>
      <c r="F4" s="24">
        <f ca="1">G4-E4</f>
        <v>23135.23000000001</v>
      </c>
      <c r="G4" s="5" cm="1">
        <f t="array" aca="1" ref="G4" ca="1">OFFSET('Input IBGE'!$A$5,ROW()-3,COLUMN()-2,,)</f>
        <v>175698.97</v>
      </c>
      <c r="H4" s="24">
        <v>169531.01318888768</v>
      </c>
      <c r="I4" s="9">
        <f ca="1">(G4/H4-1)*100</f>
        <v>3.6382468877479868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6">
        <v>0</v>
      </c>
      <c r="S4" s="4">
        <f t="shared" ref="S4:S35" ca="1" si="0">B4/$G4/(SUM($B4:$D4,$F4)/$G4)*100</f>
        <v>4.7719348590935686</v>
      </c>
      <c r="T4" s="4">
        <f t="shared" ref="T4:T35" ca="1" si="1">C4/$G4/(SUM($B4:$D4,$F4)/$G4)*100</f>
        <v>23.574748461392574</v>
      </c>
      <c r="U4" s="4">
        <f t="shared" ref="U4:U35" ca="1" si="2">D4/$G4/(SUM($B4:$D4,$F4)/$G4)*100</f>
        <v>58.563651070043342</v>
      </c>
      <c r="V4" s="4">
        <f ca="1">F4/$G4/(SUM($B4:$D4,$F4)/$G4)*100</f>
        <v>13.089665609470503</v>
      </c>
      <c r="W4" s="2">
        <f>YEAR(A4)</f>
        <v>1996</v>
      </c>
    </row>
    <row r="5" spans="1:36" x14ac:dyDescent="0.15">
      <c r="A5" s="8">
        <f>EOMONTH(A4,3)</f>
        <v>35246</v>
      </c>
      <c r="B5" s="5" cm="1">
        <f t="array" aca="1" ref="B5" ca="1">OFFSET('Input IBGE'!$A$5,ROW()-3,COLUMN()-1,,)</f>
        <v>8542.84</v>
      </c>
      <c r="C5" s="5" cm="1">
        <f t="array" aca="1" ref="C5" ca="1">OFFSET('Input IBGE'!$A$5,ROW()-3,COLUMN()-1,,)</f>
        <v>40181.870000000003</v>
      </c>
      <c r="D5" s="5" cm="1">
        <f t="array" aca="1" ref="D5" ca="1">OFFSET('Input IBGE'!$A$5,ROW()-3,COLUMN()-1,,)</f>
        <v>104800.29</v>
      </c>
      <c r="E5" s="5" cm="1">
        <f t="array" aca="1" ref="E5" ca="1">OFFSET('Input IBGE'!$A$5,ROW()-3,COLUMN()-1,,)</f>
        <v>153572.20000000001</v>
      </c>
      <c r="F5" s="24">
        <f t="shared" ref="F5:F68" ca="1" si="3">G5-E5</f>
        <v>23697.859999999986</v>
      </c>
      <c r="G5" s="5" cm="1">
        <f t="array" aca="1" ref="G5" ca="1">OFFSET('Input IBGE'!$A$5,ROW()-3,COLUMN()-2,,)</f>
        <v>177270.06</v>
      </c>
      <c r="H5" s="24">
        <v>171126.34774111945</v>
      </c>
      <c r="I5" s="9">
        <f t="shared" ref="I5:I68" ca="1" si="4">(G5/H5-1)*100</f>
        <v>3.5901615034610534</v>
      </c>
      <c r="K5" s="4">
        <f t="shared" ref="K5:K36" ca="1" si="5">100*(B5/B4-1)</f>
        <v>1.289049717101487</v>
      </c>
      <c r="L5" s="4">
        <f t="shared" ref="L5:L36" ca="1" si="6">100*(C5/C4-1)</f>
        <v>-3.5643066301133675</v>
      </c>
      <c r="M5" s="4">
        <f t="shared" ref="M5:M36" ca="1" si="7">100*(D5/D4-1)</f>
        <v>1.2486102507364594</v>
      </c>
      <c r="N5" s="4">
        <f t="shared" ref="N5:N36" ca="1" si="8">100*(E5/E4-1)</f>
        <v>0.6610089658263707</v>
      </c>
      <c r="O5" s="4">
        <f t="shared" ref="O5:O36" ca="1" si="9">100*(F5/F4-1)</f>
        <v>2.4319187663143005</v>
      </c>
      <c r="P5" s="4">
        <f t="shared" ref="P5:P36" ca="1" si="10">100*(G5/G4-1)</f>
        <v>0.89419420045546705</v>
      </c>
      <c r="Q5" s="6">
        <f t="shared" ref="Q5:Q36" si="11">100*(H5/H4-1)</f>
        <v>0.94102814713570293</v>
      </c>
      <c r="S5" s="4">
        <f t="shared" ca="1" si="0"/>
        <v>4.8203939378926624</v>
      </c>
      <c r="T5" s="4">
        <f t="shared" ca="1" si="1"/>
        <v>22.673073891257598</v>
      </c>
      <c r="U5" s="4">
        <f t="shared" ca="1" si="2"/>
        <v>59.134747063668883</v>
      </c>
      <c r="V5" s="4">
        <f t="shared" ref="V5:V68" ca="1" si="12">F5/$G5/(SUM($B5:$D5,$F5)/$G5)*100</f>
        <v>13.371785107180861</v>
      </c>
    </row>
    <row r="6" spans="1:36" x14ac:dyDescent="0.15">
      <c r="A6" s="8">
        <f t="shared" ref="A6:A69" si="13">EOMONTH(A5,3)</f>
        <v>35338</v>
      </c>
      <c r="B6" s="5" cm="1">
        <f t="array" aca="1" ref="B6" ca="1">OFFSET('Input IBGE'!$A$5,ROW()-3,COLUMN()-1,,)</f>
        <v>9005.68</v>
      </c>
      <c r="C6" s="5" cm="1">
        <f t="array" aca="1" ref="C6" ca="1">OFFSET('Input IBGE'!$A$5,ROW()-3,COLUMN()-1,,)</f>
        <v>43756.3</v>
      </c>
      <c r="D6" s="5" cm="1">
        <f t="array" aca="1" ref="D6" ca="1">OFFSET('Input IBGE'!$A$5,ROW()-3,COLUMN()-1,,)</f>
        <v>106330.66</v>
      </c>
      <c r="E6" s="5" cm="1">
        <f t="array" aca="1" ref="E6" ca="1">OFFSET('Input IBGE'!$A$5,ROW()-3,COLUMN()-1,,)</f>
        <v>159426.10999999999</v>
      </c>
      <c r="F6" s="24">
        <f t="shared" ca="1" si="3"/>
        <v>24786.47</v>
      </c>
      <c r="G6" s="5" cm="1">
        <f t="array" aca="1" ref="G6" ca="1">OFFSET('Input IBGE'!$A$5,ROW()-3,COLUMN()-2,,)</f>
        <v>184212.58</v>
      </c>
      <c r="H6" s="24">
        <v>172708.12366956758</v>
      </c>
      <c r="I6" s="9">
        <f t="shared" ca="1" si="4"/>
        <v>6.6612131994689516</v>
      </c>
      <c r="K6" s="4">
        <f t="shared" ca="1" si="5"/>
        <v>5.4178704037533221</v>
      </c>
      <c r="L6" s="4">
        <f t="shared" ca="1" si="6"/>
        <v>8.8956287997547179</v>
      </c>
      <c r="M6" s="4">
        <f t="shared" ca="1" si="7"/>
        <v>1.4602726767263707</v>
      </c>
      <c r="N6" s="4">
        <f t="shared" ca="1" si="8"/>
        <v>3.8118292242997009</v>
      </c>
      <c r="O6" s="4">
        <f t="shared" ca="1" si="9"/>
        <v>4.5937059295650062</v>
      </c>
      <c r="P6" s="4">
        <f t="shared" ca="1" si="10"/>
        <v>3.9163522593719469</v>
      </c>
      <c r="Q6" s="6">
        <f t="shared" si="11"/>
        <v>0.92433219625598362</v>
      </c>
      <c r="S6" s="4">
        <f t="shared" ca="1" si="0"/>
        <v>4.8976090867527038</v>
      </c>
      <c r="T6" s="4">
        <f t="shared" ca="1" si="1"/>
        <v>23.796232209303167</v>
      </c>
      <c r="U6" s="4">
        <f t="shared" ca="1" si="2"/>
        <v>57.826394743807498</v>
      </c>
      <c r="V6" s="4">
        <f t="shared" ca="1" si="12"/>
        <v>13.479763960136633</v>
      </c>
    </row>
    <row r="7" spans="1:36" x14ac:dyDescent="0.15">
      <c r="A7" s="8">
        <f t="shared" si="13"/>
        <v>35430</v>
      </c>
      <c r="B7" s="5" cm="1">
        <f t="array" aca="1" ref="B7" ca="1">OFFSET('Input IBGE'!$A$5,ROW()-3,COLUMN()-1,,)</f>
        <v>11103.54</v>
      </c>
      <c r="C7" s="5" cm="1">
        <f t="array" aca="1" ref="C7" ca="1">OFFSET('Input IBGE'!$A$5,ROW()-3,COLUMN()-1,,)</f>
        <v>41096.019999999997</v>
      </c>
      <c r="D7" s="5" cm="1">
        <f t="array" aca="1" ref="D7" ca="1">OFFSET('Input IBGE'!$A$5,ROW()-3,COLUMN()-1,,)</f>
        <v>104152.97</v>
      </c>
      <c r="E7" s="5" cm="1">
        <f t="array" aca="1" ref="E7" ca="1">OFFSET('Input IBGE'!$A$5,ROW()-3,COLUMN()-1,,)</f>
        <v>155610.46</v>
      </c>
      <c r="F7" s="24">
        <f t="shared" ca="1" si="3"/>
        <v>26711.460000000021</v>
      </c>
      <c r="G7" s="5" cm="1">
        <f t="array" aca="1" ref="G7" ca="1">OFFSET('Input IBGE'!$A$5,ROW()-3,COLUMN()-2,,)</f>
        <v>182321.92000000001</v>
      </c>
      <c r="H7" s="24">
        <v>174276.34097423207</v>
      </c>
      <c r="I7" s="9">
        <f t="shared" ca="1" si="4"/>
        <v>4.6165641192555951</v>
      </c>
      <c r="K7" s="4">
        <f t="shared" ca="1" si="5"/>
        <v>23.294853914418457</v>
      </c>
      <c r="L7" s="4">
        <f t="shared" ca="1" si="6"/>
        <v>-6.0797645139100132</v>
      </c>
      <c r="M7" s="4">
        <f t="shared" ca="1" si="7"/>
        <v>-2.0480358158220802</v>
      </c>
      <c r="N7" s="4">
        <f t="shared" ca="1" si="8"/>
        <v>-2.3933658043842398</v>
      </c>
      <c r="O7" s="4">
        <f t="shared" ca="1" si="9"/>
        <v>7.7662934657497296</v>
      </c>
      <c r="P7" s="4">
        <f t="shared" ca="1" si="10"/>
        <v>-1.0263468434131728</v>
      </c>
      <c r="Q7" s="6">
        <f t="shared" si="11"/>
        <v>0.90801594698861621</v>
      </c>
      <c r="S7" s="4">
        <f t="shared" ca="1" si="0"/>
        <v>6.0653872998179494</v>
      </c>
      <c r="T7" s="4">
        <f t="shared" ca="1" si="1"/>
        <v>22.448991743269659</v>
      </c>
      <c r="U7" s="4">
        <f t="shared" ca="1" si="2"/>
        <v>56.894296906781058</v>
      </c>
      <c r="V7" s="4">
        <f t="shared" ca="1" si="12"/>
        <v>14.591324050131332</v>
      </c>
    </row>
    <row r="8" spans="1:36" x14ac:dyDescent="0.15">
      <c r="A8" s="8">
        <f t="shared" si="13"/>
        <v>35520</v>
      </c>
      <c r="B8" s="5" cm="1">
        <f t="array" aca="1" ref="B8" ca="1">OFFSET('Input IBGE'!$A$5,ROW()-3,COLUMN()-1,,)</f>
        <v>9020.16</v>
      </c>
      <c r="C8" s="5" cm="1">
        <f t="array" aca="1" ref="C8" ca="1">OFFSET('Input IBGE'!$A$5,ROW()-3,COLUMN()-1,,)</f>
        <v>43229.93</v>
      </c>
      <c r="D8" s="5" cm="1">
        <f t="array" aca="1" ref="D8" ca="1">OFFSET('Input IBGE'!$A$5,ROW()-3,COLUMN()-1,,)</f>
        <v>106679.85</v>
      </c>
      <c r="E8" s="5" cm="1">
        <f t="array" aca="1" ref="E8" ca="1">OFFSET('Input IBGE'!$A$5,ROW()-3,COLUMN()-1,,)</f>
        <v>158328.79999999999</v>
      </c>
      <c r="F8" s="24">
        <f t="shared" ca="1" si="3"/>
        <v>25784.910000000003</v>
      </c>
      <c r="G8" s="5" cm="1">
        <f t="array" aca="1" ref="G8" ca="1">OFFSET('Input IBGE'!$A$5,ROW()-3,COLUMN()-2,,)</f>
        <v>184113.71</v>
      </c>
      <c r="H8" s="24">
        <v>175844.55827889661</v>
      </c>
      <c r="I8" s="9">
        <f t="shared" ca="1" si="4"/>
        <v>4.7025348990260785</v>
      </c>
      <c r="K8" s="4">
        <f t="shared" ca="1" si="5"/>
        <v>-18.763205248056035</v>
      </c>
      <c r="L8" s="4">
        <f t="shared" ca="1" si="6"/>
        <v>5.1924979596564391</v>
      </c>
      <c r="M8" s="4">
        <f t="shared" ca="1" si="7"/>
        <v>2.4261238061670243</v>
      </c>
      <c r="N8" s="4">
        <f t="shared" ca="1" si="8"/>
        <v>1.7468877092195356</v>
      </c>
      <c r="O8" s="4">
        <f t="shared" ca="1" si="9"/>
        <v>-3.4687358908873422</v>
      </c>
      <c r="P8" s="4">
        <f t="shared" ca="1" si="10"/>
        <v>0.98276169974513827</v>
      </c>
      <c r="Q8" s="6">
        <f t="shared" si="11"/>
        <v>0.89984520899277776</v>
      </c>
      <c r="S8" s="4">
        <f t="shared" ca="1" si="0"/>
        <v>4.8832890263018918</v>
      </c>
      <c r="T8" s="4">
        <f t="shared" ca="1" si="1"/>
        <v>23.403602904693372</v>
      </c>
      <c r="U8" s="4">
        <f t="shared" ca="1" si="2"/>
        <v>57.753802685598913</v>
      </c>
      <c r="V8" s="4">
        <f t="shared" ca="1" si="12"/>
        <v>13.959305383405828</v>
      </c>
      <c r="W8" s="2">
        <f>YEAR(A8)</f>
        <v>1997</v>
      </c>
    </row>
    <row r="9" spans="1:36" x14ac:dyDescent="0.15">
      <c r="A9" s="8">
        <f t="shared" si="13"/>
        <v>35611</v>
      </c>
      <c r="B9" s="5" cm="1">
        <f t="array" aca="1" ref="B9" ca="1">OFFSET('Input IBGE'!$A$5,ROW()-3,COLUMN()-1,,)</f>
        <v>8877.92</v>
      </c>
      <c r="C9" s="5" cm="1">
        <f t="array" aca="1" ref="C9" ca="1">OFFSET('Input IBGE'!$A$5,ROW()-3,COLUMN()-1,,)</f>
        <v>43076.68</v>
      </c>
      <c r="D9" s="5" cm="1">
        <f t="array" aca="1" ref="D9" ca="1">OFFSET('Input IBGE'!$A$5,ROW()-3,COLUMN()-1,,)</f>
        <v>107138.66</v>
      </c>
      <c r="E9" s="5" cm="1">
        <f t="array" aca="1" ref="E9" ca="1">OFFSET('Input IBGE'!$A$5,ROW()-3,COLUMN()-1,,)</f>
        <v>159404.88</v>
      </c>
      <c r="F9" s="24">
        <f t="shared" ca="1" si="3"/>
        <v>25955.329999999987</v>
      </c>
      <c r="G9" s="5" cm="1">
        <f t="array" aca="1" ref="G9" ca="1">OFFSET('Input IBGE'!$A$5,ROW()-3,COLUMN()-2,,)</f>
        <v>185360.21</v>
      </c>
      <c r="H9" s="24">
        <v>177412.77558356113</v>
      </c>
      <c r="I9" s="9">
        <f t="shared" ca="1" si="4"/>
        <v>4.4796291531415955</v>
      </c>
      <c r="K9" s="4">
        <f t="shared" ca="1" si="5"/>
        <v>-1.5769121612033477</v>
      </c>
      <c r="L9" s="4">
        <f t="shared" ca="1" si="6"/>
        <v>-0.35449976439934083</v>
      </c>
      <c r="M9" s="4">
        <f t="shared" ca="1" si="7"/>
        <v>0.43008121964924761</v>
      </c>
      <c r="N9" s="4">
        <f t="shared" ca="1" si="8"/>
        <v>0.6796489331063027</v>
      </c>
      <c r="O9" s="4">
        <f t="shared" ca="1" si="9"/>
        <v>0.66092920239002595</v>
      </c>
      <c r="P9" s="4">
        <f t="shared" ca="1" si="10"/>
        <v>0.67702725668827846</v>
      </c>
      <c r="Q9" s="6">
        <f t="shared" si="11"/>
        <v>0.89182020758200586</v>
      </c>
      <c r="S9" s="4">
        <f t="shared" ca="1" si="0"/>
        <v>4.7976155884246401</v>
      </c>
      <c r="T9" s="4">
        <f t="shared" ca="1" si="1"/>
        <v>23.278577804888975</v>
      </c>
      <c r="U9" s="4">
        <f t="shared" ca="1" si="2"/>
        <v>57.897582467394116</v>
      </c>
      <c r="V9" s="4">
        <f t="shared" ca="1" si="12"/>
        <v>14.026224139292273</v>
      </c>
    </row>
    <row r="10" spans="1:36" x14ac:dyDescent="0.15">
      <c r="A10" s="8">
        <f t="shared" si="13"/>
        <v>35703</v>
      </c>
      <c r="B10" s="5" cm="1">
        <f t="array" aca="1" ref="B10" ca="1">OFFSET('Input IBGE'!$A$5,ROW()-3,COLUMN()-1,,)</f>
        <v>9170.32</v>
      </c>
      <c r="C10" s="5" cm="1">
        <f t="array" aca="1" ref="C10" ca="1">OFFSET('Input IBGE'!$A$5,ROW()-3,COLUMN()-1,,)</f>
        <v>43921.86</v>
      </c>
      <c r="D10" s="5" cm="1">
        <f t="array" aca="1" ref="D10" ca="1">OFFSET('Input IBGE'!$A$5,ROW()-3,COLUMN()-1,,)</f>
        <v>107741.2</v>
      </c>
      <c r="E10" s="5" cm="1">
        <f t="array" aca="1" ref="E10" ca="1">OFFSET('Input IBGE'!$A$5,ROW()-3,COLUMN()-1,,)</f>
        <v>160981.85999999999</v>
      </c>
      <c r="F10" s="24">
        <f t="shared" ca="1" si="3"/>
        <v>26680.690000000002</v>
      </c>
      <c r="G10" s="5" cm="1">
        <f t="array" aca="1" ref="G10" ca="1">OFFSET('Input IBGE'!$A$5,ROW()-3,COLUMN()-2,,)</f>
        <v>187662.55</v>
      </c>
      <c r="H10" s="24">
        <v>178905.16380834006</v>
      </c>
      <c r="I10" s="9">
        <f t="shared" ca="1" si="4"/>
        <v>4.8949879395553175</v>
      </c>
      <c r="K10" s="4">
        <f t="shared" ca="1" si="5"/>
        <v>3.2935642582947233</v>
      </c>
      <c r="L10" s="4">
        <f t="shared" ca="1" si="6"/>
        <v>1.9620360714892593</v>
      </c>
      <c r="M10" s="4">
        <f t="shared" ca="1" si="7"/>
        <v>0.56239269746325427</v>
      </c>
      <c r="N10" s="4">
        <f t="shared" ca="1" si="8"/>
        <v>0.98929217223462373</v>
      </c>
      <c r="O10" s="4">
        <f t="shared" ca="1" si="9"/>
        <v>2.7946475733501286</v>
      </c>
      <c r="P10" s="4">
        <f t="shared" ca="1" si="10"/>
        <v>1.2420896588323904</v>
      </c>
      <c r="Q10" s="6">
        <f t="shared" si="11"/>
        <v>0.84119546626224562</v>
      </c>
      <c r="S10" s="4">
        <f t="shared" ca="1" si="0"/>
        <v>4.8904703524380855</v>
      </c>
      <c r="T10" s="4">
        <f t="shared" ca="1" si="1"/>
        <v>23.42323432049659</v>
      </c>
      <c r="U10" s="4">
        <f t="shared" ca="1" si="2"/>
        <v>57.457661710398575</v>
      </c>
      <c r="V10" s="4">
        <f t="shared" ca="1" si="12"/>
        <v>14.228633616666739</v>
      </c>
    </row>
    <row r="11" spans="1:36" x14ac:dyDescent="0.15">
      <c r="A11" s="8">
        <f t="shared" si="13"/>
        <v>35795</v>
      </c>
      <c r="B11" s="5" cm="1">
        <f t="array" aca="1" ref="B11" ca="1">OFFSET('Input IBGE'!$A$5,ROW()-3,COLUMN()-1,,)</f>
        <v>9942.0499999999993</v>
      </c>
      <c r="C11" s="5" cm="1">
        <f t="array" aca="1" ref="C11" ca="1">OFFSET('Input IBGE'!$A$5,ROW()-3,COLUMN()-1,,)</f>
        <v>43768.07</v>
      </c>
      <c r="D11" s="5" cm="1">
        <f t="array" aca="1" ref="D11" ca="1">OFFSET('Input IBGE'!$A$5,ROW()-3,COLUMN()-1,,)</f>
        <v>109008.63</v>
      </c>
      <c r="E11" s="5" cm="1">
        <f t="array" aca="1" ref="E11" ca="1">OFFSET('Input IBGE'!$A$5,ROW()-3,COLUMN()-1,,)</f>
        <v>162473.25</v>
      </c>
      <c r="F11" s="24">
        <f t="shared" ca="1" si="3"/>
        <v>26644.190000000002</v>
      </c>
      <c r="G11" s="5" cm="1">
        <f t="array" aca="1" ref="G11" ca="1">OFFSET('Input IBGE'!$A$5,ROW()-3,COLUMN()-2,,)</f>
        <v>189117.44</v>
      </c>
      <c r="H11" s="24">
        <v>180321.72295323334</v>
      </c>
      <c r="I11" s="9">
        <f t="shared" ca="1" si="4"/>
        <v>4.8777911516783012</v>
      </c>
      <c r="K11" s="4">
        <f t="shared" ca="1" si="5"/>
        <v>8.4155187605230672</v>
      </c>
      <c r="L11" s="4">
        <f t="shared" ca="1" si="6"/>
        <v>-0.350144552166054</v>
      </c>
      <c r="M11" s="4">
        <f t="shared" ca="1" si="7"/>
        <v>1.1763652159062721</v>
      </c>
      <c r="N11" s="4">
        <f t="shared" ca="1" si="8"/>
        <v>0.92643357456549946</v>
      </c>
      <c r="O11" s="4">
        <f t="shared" ca="1" si="9"/>
        <v>-0.13680305869151477</v>
      </c>
      <c r="P11" s="4">
        <f t="shared" ca="1" si="10"/>
        <v>0.77526922659849618</v>
      </c>
      <c r="Q11" s="6">
        <f t="shared" si="11"/>
        <v>0.79179332487619991</v>
      </c>
      <c r="S11" s="4">
        <f t="shared" ca="1" si="0"/>
        <v>5.2502617460417538</v>
      </c>
      <c r="T11" s="4">
        <f t="shared" ca="1" si="1"/>
        <v>23.113324074921945</v>
      </c>
      <c r="U11" s="4">
        <f t="shared" ca="1" si="2"/>
        <v>57.565978855207888</v>
      </c>
      <c r="V11" s="4">
        <f t="shared" ca="1" si="12"/>
        <v>14.070435323828413</v>
      </c>
      <c r="X11" s="25">
        <f ca="1">(SUM(B8:B11)-SUM(B4:B7))/(SUM($E8:$E11)-SUM($E4:$E7))*$AA11</f>
        <v>-1.2191460307862471E-2</v>
      </c>
      <c r="Y11" s="25">
        <f ca="1">(SUM(C8:C11)-SUM(C4:C7))/(SUM($E8:$E11)-SUM($E4:$E7))*$AA11</f>
        <v>1.1744466927552832</v>
      </c>
      <c r="Z11" s="25">
        <f ca="1">(SUM(D8:D11)-SUM(D4:D7))/(SUM($E8:$E11)-SUM($E4:$E7))*$AA11</f>
        <v>1.8958565954568838</v>
      </c>
      <c r="AA11" s="25">
        <f t="shared" ref="AA11:AA26" ca="1" si="14">100*(SUM(E8:E11)/SUM(E4:E7)-1)</f>
        <v>3.2223383484887291</v>
      </c>
      <c r="AB11" s="25">
        <f ca="1">100*(SUM(G8:G11)/SUM(G4:G7)-1)</f>
        <v>3.7178941985176683</v>
      </c>
      <c r="AC11" s="25">
        <f>100*(SUM(H8:H11)/SUM(H4:H7)-1)</f>
        <v>3.6126940110855932</v>
      </c>
      <c r="AE11" s="25">
        <f ca="1">(SUM(B8:B11)/SUM(B4:B7)-1)*100</f>
        <v>-0.20420005511487815</v>
      </c>
      <c r="AF11" s="25">
        <f ca="1">(SUM(C8:C11)/SUM(C4:C7)-1)*100</f>
        <v>4.3762972312136883</v>
      </c>
      <c r="AG11" s="25">
        <f ca="1">(SUM(D8:D11)/SUM(D4:D7)-1)*100</f>
        <v>2.812027360612146</v>
      </c>
      <c r="AH11" s="25">
        <f ca="1">(SUM(E8:E11)/SUM(E4:E7)-1)*100</f>
        <v>3.2223383484887291</v>
      </c>
      <c r="AI11" s="25">
        <f ca="1">(SUM(G8:G11)/SUM(G4:G7)-1)*100</f>
        <v>3.7178941985176683</v>
      </c>
      <c r="AJ11" s="25">
        <f>(SUM(H8:H11)/SUM(H4:H7)-1)*100</f>
        <v>3.6126940110855932</v>
      </c>
    </row>
    <row r="12" spans="1:36" x14ac:dyDescent="0.15">
      <c r="A12" s="8">
        <f t="shared" si="13"/>
        <v>35885</v>
      </c>
      <c r="B12" s="5" cm="1">
        <f t="array" aca="1" ref="B12" ca="1">OFFSET('Input IBGE'!$A$5,ROW()-3,COLUMN()-1,,)</f>
        <v>8866.11</v>
      </c>
      <c r="C12" s="5" cm="1">
        <f t="array" aca="1" ref="C12" ca="1">OFFSET('Input IBGE'!$A$5,ROW()-3,COLUMN()-1,,)</f>
        <v>42753.82</v>
      </c>
      <c r="D12" s="5" cm="1">
        <f t="array" aca="1" ref="D12" ca="1">OFFSET('Input IBGE'!$A$5,ROW()-3,COLUMN()-1,,)</f>
        <v>108135.86</v>
      </c>
      <c r="E12" s="5" cm="1">
        <f t="array" aca="1" ref="E12" ca="1">OFFSET('Input IBGE'!$A$5,ROW()-3,COLUMN()-1,,)</f>
        <v>159729.69</v>
      </c>
      <c r="F12" s="24">
        <f t="shared" ca="1" si="3"/>
        <v>25733.600000000006</v>
      </c>
      <c r="G12" s="5" cm="1">
        <f t="array" aca="1" ref="G12" ca="1">OFFSET('Input IBGE'!$A$5,ROW()-3,COLUMN()-2,,)</f>
        <v>185463.29</v>
      </c>
      <c r="H12" s="24">
        <v>181738.28209812666</v>
      </c>
      <c r="I12" s="9">
        <f t="shared" ca="1" si="4"/>
        <v>2.0496550637922883</v>
      </c>
      <c r="K12" s="4">
        <f t="shared" ca="1" si="5"/>
        <v>-10.822114151507979</v>
      </c>
      <c r="L12" s="4">
        <f t="shared" ca="1" si="6"/>
        <v>-2.3173285913680952</v>
      </c>
      <c r="M12" s="4">
        <f t="shared" ca="1" si="7"/>
        <v>-0.80064303165722217</v>
      </c>
      <c r="N12" s="4">
        <f t="shared" ca="1" si="8"/>
        <v>-1.6886225886415085</v>
      </c>
      <c r="O12" s="4">
        <f t="shared" ca="1" si="9"/>
        <v>-3.4175931037873419</v>
      </c>
      <c r="P12" s="4">
        <f t="shared" ca="1" si="10"/>
        <v>-1.9322120688604838</v>
      </c>
      <c r="Q12" s="6">
        <f t="shared" si="11"/>
        <v>0.78557320864813818</v>
      </c>
      <c r="S12" s="4">
        <f t="shared" ca="1" si="0"/>
        <v>4.779847515806698</v>
      </c>
      <c r="T12" s="4">
        <f t="shared" ca="1" si="1"/>
        <v>23.04919974128978</v>
      </c>
      <c r="U12" s="4">
        <f t="shared" ca="1" si="2"/>
        <v>58.297598585018783</v>
      </c>
      <c r="V12" s="4">
        <f t="shared" ca="1" si="12"/>
        <v>13.873354157884718</v>
      </c>
      <c r="W12" s="2">
        <f>YEAR(A12)</f>
        <v>1998</v>
      </c>
      <c r="X12" s="25">
        <f t="shared" ref="X12:X75" ca="1" si="15">(SUM(B9:B12)-SUM(B5:B8))/(SUM($E9:$E12)-SUM($E5:$E8))*$AA12</f>
        <v>-0.13012778927892435</v>
      </c>
      <c r="Y12" s="25">
        <f t="shared" ref="Y12:Y75" ca="1" si="16">(SUM(C9:C12)-SUM(C5:C8))/(SUM($E9:$E12)-SUM($E5:$E8))*$AA12</f>
        <v>0.83841043375340207</v>
      </c>
      <c r="Z12" s="25">
        <f t="shared" ref="Z12:Z75" ca="1" si="17">(SUM(D9:D12)-SUM(D5:D8))/(SUM($E9:$E12)-SUM($E5:$E8))*$AA12</f>
        <v>1.6047179944886665</v>
      </c>
      <c r="AA12" s="25">
        <f t="shared" ca="1" si="14"/>
        <v>2.4965978669933442</v>
      </c>
      <c r="AB12" s="25">
        <f t="shared" ref="AB12:AB75" ca="1" si="18">100*(SUM(G9:G12)/SUM(G5:G8)-1)</f>
        <v>2.7043173404618592</v>
      </c>
      <c r="AC12" s="25">
        <f t="shared" ref="AC12:AC75" si="19">100*(SUM(H9:H12)/SUM(H5:H8)-1)</f>
        <v>3.5193291689757711</v>
      </c>
      <c r="AE12" s="25">
        <f t="shared" ref="AE12:AE75" ca="1" si="20">(SUM(B9:B12)/SUM(B5:B8)-1)*100</f>
        <v>-2.1655745267998738</v>
      </c>
      <c r="AF12" s="25">
        <f t="shared" ref="AF12:AF75" ca="1" si="21">(SUM(C9:C12)/SUM(C5:C8)-1)*100</f>
        <v>3.1238448220571424</v>
      </c>
      <c r="AG12" s="25">
        <f t="shared" ref="AG12:AG75" ca="1" si="22">(SUM(D9:D12)/SUM(D5:D8)-1)*100</f>
        <v>2.3842283900345151</v>
      </c>
      <c r="AH12" s="25">
        <f t="shared" ref="AH12:AH75" ca="1" si="23">(SUM(E9:E12)/SUM(E5:E8)-1)*100</f>
        <v>2.4965978669933442</v>
      </c>
      <c r="AI12" s="25">
        <f t="shared" ref="AI12:AI75" ca="1" si="24">(SUM(G9:G12)/SUM(G5:G8)-1)*100</f>
        <v>2.7043173404618592</v>
      </c>
      <c r="AJ12" s="25">
        <f t="shared" ref="AJ12:AJ75" si="25">(SUM(H9:H12)/SUM(H5:H8)-1)*100</f>
        <v>3.5193291689757711</v>
      </c>
    </row>
    <row r="13" spans="1:36" x14ac:dyDescent="0.15">
      <c r="A13" s="8">
        <f t="shared" si="13"/>
        <v>35976</v>
      </c>
      <c r="B13" s="5" cm="1">
        <f t="array" aca="1" ref="B13" ca="1">OFFSET('Input IBGE'!$A$5,ROW()-3,COLUMN()-1,,)</f>
        <v>9968.36</v>
      </c>
      <c r="C13" s="5" cm="1">
        <f t="array" aca="1" ref="C13" ca="1">OFFSET('Input IBGE'!$A$5,ROW()-3,COLUMN()-1,,)</f>
        <v>43382.19</v>
      </c>
      <c r="D13" s="5" cm="1">
        <f t="array" aca="1" ref="D13" ca="1">OFFSET('Input IBGE'!$A$5,ROW()-3,COLUMN()-1,,)</f>
        <v>109077.64</v>
      </c>
      <c r="E13" s="5" cm="1">
        <f t="array" aca="1" ref="E13" ca="1">OFFSET('Input IBGE'!$A$5,ROW()-3,COLUMN()-1,,)</f>
        <v>162387.97</v>
      </c>
      <c r="F13" s="24">
        <f t="shared" ca="1" si="3"/>
        <v>26085.03</v>
      </c>
      <c r="G13" s="5" cm="1">
        <f t="array" aca="1" ref="G13" ca="1">OFFSET('Input IBGE'!$A$5,ROW()-3,COLUMN()-2,,)</f>
        <v>188473</v>
      </c>
      <c r="H13" s="24">
        <v>183154.84124301997</v>
      </c>
      <c r="I13" s="9">
        <f t="shared" ca="1" si="4"/>
        <v>2.9036408324711438</v>
      </c>
      <c r="K13" s="4">
        <f t="shared" ca="1" si="5"/>
        <v>12.432171493473465</v>
      </c>
      <c r="L13" s="4">
        <f t="shared" ca="1" si="6"/>
        <v>1.4697400138747874</v>
      </c>
      <c r="M13" s="4">
        <f t="shared" ca="1" si="7"/>
        <v>0.87092292972932306</v>
      </c>
      <c r="N13" s="4">
        <f t="shared" ca="1" si="8"/>
        <v>1.6642366237610506</v>
      </c>
      <c r="O13" s="4">
        <f t="shared" ca="1" si="9"/>
        <v>1.3656464699847382</v>
      </c>
      <c r="P13" s="4">
        <f t="shared" ca="1" si="10"/>
        <v>1.6228063246370716</v>
      </c>
      <c r="Q13" s="6">
        <f t="shared" si="11"/>
        <v>0.77945005781911991</v>
      </c>
      <c r="S13" s="4">
        <f t="shared" ca="1" si="0"/>
        <v>5.2878837887337555</v>
      </c>
      <c r="T13" s="4">
        <f t="shared" ca="1" si="1"/>
        <v>23.012810454354341</v>
      </c>
      <c r="U13" s="4">
        <f t="shared" ca="1" si="2"/>
        <v>57.862063997421508</v>
      </c>
      <c r="V13" s="4">
        <f t="shared" ca="1" si="12"/>
        <v>13.837241759490396</v>
      </c>
      <c r="X13" s="25">
        <f t="shared" ca="1" si="15"/>
        <v>-9.5548107705769204E-3</v>
      </c>
      <c r="Y13" s="25">
        <f t="shared" ca="1" si="16"/>
        <v>0.42148157249807711</v>
      </c>
      <c r="Z13" s="25">
        <f t="shared" ca="1" si="17"/>
        <v>1.526808505930868</v>
      </c>
      <c r="AA13" s="25">
        <f t="shared" ca="1" si="14"/>
        <v>2.0232493547223562</v>
      </c>
      <c r="AB13" s="25">
        <f t="shared" ca="1" si="18"/>
        <v>1.9983276821751828</v>
      </c>
      <c r="AC13" s="25">
        <f t="shared" si="19"/>
        <v>3.4099951827210484</v>
      </c>
      <c r="AE13" s="25">
        <f t="shared" ca="1" si="20"/>
        <v>-0.15907470407002799</v>
      </c>
      <c r="AF13" s="25">
        <f t="shared" ca="1" si="21"/>
        <v>1.5582067497150298</v>
      </c>
      <c r="AG13" s="25">
        <f t="shared" ca="1" si="22"/>
        <v>2.276959998363437</v>
      </c>
      <c r="AH13" s="25">
        <f t="shared" ca="1" si="23"/>
        <v>2.0232493547223562</v>
      </c>
      <c r="AI13" s="25">
        <f t="shared" ca="1" si="24"/>
        <v>1.9983276821751828</v>
      </c>
      <c r="AJ13" s="25">
        <f t="shared" si="25"/>
        <v>3.4099951827210484</v>
      </c>
    </row>
    <row r="14" spans="1:36" x14ac:dyDescent="0.15">
      <c r="A14" s="8">
        <f t="shared" si="13"/>
        <v>36068</v>
      </c>
      <c r="B14" s="5" cm="1">
        <f t="array" aca="1" ref="B14" ca="1">OFFSET('Input IBGE'!$A$5,ROW()-3,COLUMN()-1,,)</f>
        <v>9710.09</v>
      </c>
      <c r="C14" s="5" cm="1">
        <f t="array" aca="1" ref="C14" ca="1">OFFSET('Input IBGE'!$A$5,ROW()-3,COLUMN()-1,,)</f>
        <v>42780.11</v>
      </c>
      <c r="D14" s="5" cm="1">
        <f t="array" aca="1" ref="D14" ca="1">OFFSET('Input IBGE'!$A$5,ROW()-3,COLUMN()-1,,)</f>
        <v>109777.93</v>
      </c>
      <c r="E14" s="5" cm="1">
        <f t="array" aca="1" ref="E14" ca="1">OFFSET('Input IBGE'!$A$5,ROW()-3,COLUMN()-1,,)</f>
        <v>162414.82999999999</v>
      </c>
      <c r="F14" s="24">
        <f t="shared" ca="1" si="3"/>
        <v>26174.040000000008</v>
      </c>
      <c r="G14" s="5" cm="1">
        <f t="array" aca="1" ref="G14" ca="1">OFFSET('Input IBGE'!$A$5,ROW()-3,COLUMN()-2,,)</f>
        <v>188588.87</v>
      </c>
      <c r="H14" s="24">
        <v>184521.11608647616</v>
      </c>
      <c r="I14" s="9">
        <f t="shared" ca="1" si="4"/>
        <v>2.2044923636910241</v>
      </c>
      <c r="K14" s="4">
        <f t="shared" ca="1" si="5"/>
        <v>-2.5908976000064254</v>
      </c>
      <c r="L14" s="4">
        <f t="shared" ca="1" si="6"/>
        <v>-1.3878506364017218</v>
      </c>
      <c r="M14" s="4">
        <f t="shared" ca="1" si="7"/>
        <v>0.64201058988808679</v>
      </c>
      <c r="N14" s="4">
        <f t="shared" ca="1" si="8"/>
        <v>1.6540634136874566E-2</v>
      </c>
      <c r="O14" s="4">
        <f t="shared" ca="1" si="9"/>
        <v>0.34123019985028424</v>
      </c>
      <c r="P14" s="4">
        <f t="shared" ca="1" si="10"/>
        <v>6.1478301931838786E-2</v>
      </c>
      <c r="Q14" s="6">
        <f t="shared" si="11"/>
        <v>0.74596709220662305</v>
      </c>
      <c r="S14" s="4">
        <f t="shared" ca="1" si="0"/>
        <v>5.1528222159615336</v>
      </c>
      <c r="T14" s="4">
        <f t="shared" ca="1" si="1"/>
        <v>22.701983319338762</v>
      </c>
      <c r="U14" s="4">
        <f t="shared" ca="1" si="2"/>
        <v>58.255500878598454</v>
      </c>
      <c r="V14" s="4">
        <f t="shared" ca="1" si="12"/>
        <v>13.889693586101245</v>
      </c>
      <c r="X14" s="25">
        <f t="shared" ca="1" si="15"/>
        <v>4.9606984421259458E-2</v>
      </c>
      <c r="Y14" s="25">
        <f t="shared" ca="1" si="16"/>
        <v>0.21435350277302392</v>
      </c>
      <c r="Z14" s="25">
        <f t="shared" ca="1" si="17"/>
        <v>1.6217812292102178</v>
      </c>
      <c r="AA14" s="25">
        <f t="shared" ca="1" si="14"/>
        <v>1.9989311489675643</v>
      </c>
      <c r="AB14" s="25">
        <f t="shared" ca="1" si="18"/>
        <v>1.6477208406547428</v>
      </c>
      <c r="AC14" s="25">
        <f t="shared" si="19"/>
        <v>3.2978260057885178</v>
      </c>
      <c r="AE14" s="25">
        <f t="shared" ca="1" si="20"/>
        <v>0.8243489851445851</v>
      </c>
      <c r="AF14" s="25">
        <f t="shared" ca="1" si="21"/>
        <v>0.79364018535821312</v>
      </c>
      <c r="AG14" s="25">
        <f t="shared" ca="1" si="22"/>
        <v>2.4165077723313333</v>
      </c>
      <c r="AH14" s="25">
        <f t="shared" ca="1" si="23"/>
        <v>1.9989311489675643</v>
      </c>
      <c r="AI14" s="25">
        <f t="shared" ca="1" si="24"/>
        <v>1.6477208406547428</v>
      </c>
      <c r="AJ14" s="25">
        <f t="shared" si="25"/>
        <v>3.2978260057885178</v>
      </c>
    </row>
    <row r="15" spans="1:36" x14ac:dyDescent="0.15">
      <c r="A15" s="8">
        <f t="shared" si="13"/>
        <v>36160</v>
      </c>
      <c r="B15" s="5" cm="1">
        <f t="array" aca="1" ref="B15" ca="1">OFFSET('Input IBGE'!$A$5,ROW()-3,COLUMN()-1,,)</f>
        <v>9499.43</v>
      </c>
      <c r="C15" s="5" cm="1">
        <f t="array" aca="1" ref="C15" ca="1">OFFSET('Input IBGE'!$A$5,ROW()-3,COLUMN()-1,,)</f>
        <v>41447.15</v>
      </c>
      <c r="D15" s="5" cm="1">
        <f t="array" aca="1" ref="D15" ca="1">OFFSET('Input IBGE'!$A$5,ROW()-3,COLUMN()-1,,)</f>
        <v>109751.23</v>
      </c>
      <c r="E15" s="5" cm="1">
        <f t="array" aca="1" ref="E15" ca="1">OFFSET('Input IBGE'!$A$5,ROW()-3,COLUMN()-1,,)</f>
        <v>160727.32999999999</v>
      </c>
      <c r="F15" s="24">
        <f t="shared" ca="1" si="3"/>
        <v>25625.660000000003</v>
      </c>
      <c r="G15" s="5" cm="1">
        <f t="array" aca="1" ref="G15" ca="1">OFFSET('Input IBGE'!$A$5,ROW()-3,COLUMN()-2,,)</f>
        <v>186352.99</v>
      </c>
      <c r="H15" s="24">
        <v>185837.10662849533</v>
      </c>
      <c r="I15" s="9">
        <f t="shared" ca="1" si="4"/>
        <v>0.27759976511900764</v>
      </c>
      <c r="K15" s="4">
        <f t="shared" ca="1" si="5"/>
        <v>-2.1694958543123644</v>
      </c>
      <c r="L15" s="4">
        <f t="shared" ca="1" si="6"/>
        <v>-3.1158405156040958</v>
      </c>
      <c r="M15" s="4">
        <f t="shared" ca="1" si="7"/>
        <v>-2.4321828622564379E-2</v>
      </c>
      <c r="N15" s="4">
        <f t="shared" ca="1" si="8"/>
        <v>-1.0390061055385202</v>
      </c>
      <c r="O15" s="4">
        <f t="shared" ca="1" si="9"/>
        <v>-2.0951293724622011</v>
      </c>
      <c r="P15" s="4">
        <f t="shared" ca="1" si="10"/>
        <v>-1.185584281829577</v>
      </c>
      <c r="Q15" s="6">
        <f t="shared" si="11"/>
        <v>0.71319238140876706</v>
      </c>
      <c r="S15" s="4">
        <f t="shared" ca="1" si="0"/>
        <v>5.0983539540134162</v>
      </c>
      <c r="T15" s="4">
        <f t="shared" ca="1" si="1"/>
        <v>22.244728482139152</v>
      </c>
      <c r="U15" s="4">
        <f t="shared" ca="1" si="2"/>
        <v>58.903599208408899</v>
      </c>
      <c r="V15" s="4">
        <f t="shared" ca="1" si="12"/>
        <v>13.753318355438532</v>
      </c>
      <c r="X15" s="25">
        <f t="shared" ca="1" si="15"/>
        <v>0.16119121483705348</v>
      </c>
      <c r="Y15" s="25">
        <f t="shared" ca="1" si="16"/>
        <v>-0.56664590159163164</v>
      </c>
      <c r="Z15" s="25">
        <f t="shared" ca="1" si="17"/>
        <v>0.96294883758025807</v>
      </c>
      <c r="AA15" s="25">
        <f t="shared" ca="1" si="14"/>
        <v>0.63491908521979834</v>
      </c>
      <c r="AB15" s="25">
        <f t="shared" ca="1" si="18"/>
        <v>0.3516551089159492</v>
      </c>
      <c r="AC15" s="25">
        <f t="shared" si="19"/>
        <v>3.1954567937162448</v>
      </c>
      <c r="AE15" s="25">
        <f t="shared" ca="1" si="20"/>
        <v>2.7925626410919335</v>
      </c>
      <c r="AF15" s="25">
        <f t="shared" ca="1" si="21"/>
        <v>-2.0881277294364509</v>
      </c>
      <c r="AG15" s="25">
        <f t="shared" ca="1" si="22"/>
        <v>1.4339930334868356</v>
      </c>
      <c r="AH15" s="25">
        <f t="shared" ca="1" si="23"/>
        <v>0.63491908521979834</v>
      </c>
      <c r="AI15" s="25">
        <f t="shared" ca="1" si="24"/>
        <v>0.3516551089159492</v>
      </c>
      <c r="AJ15" s="25">
        <f t="shared" si="25"/>
        <v>3.1954567937162448</v>
      </c>
    </row>
    <row r="16" spans="1:36" x14ac:dyDescent="0.15">
      <c r="A16" s="8">
        <f t="shared" si="13"/>
        <v>36250</v>
      </c>
      <c r="B16" s="5" cm="1">
        <f t="array" aca="1" ref="B16" ca="1">OFFSET('Input IBGE'!$A$5,ROW()-3,COLUMN()-1,,)</f>
        <v>9911.52</v>
      </c>
      <c r="C16" s="5" cm="1">
        <f t="array" aca="1" ref="C16" ca="1">OFFSET('Input IBGE'!$A$5,ROW()-3,COLUMN()-1,,)</f>
        <v>41278.68</v>
      </c>
      <c r="D16" s="5" cm="1">
        <f t="array" aca="1" ref="D16" ca="1">OFFSET('Input IBGE'!$A$5,ROW()-3,COLUMN()-1,,)</f>
        <v>111045.26</v>
      </c>
      <c r="E16" s="5" cm="1">
        <f t="array" aca="1" ref="E16" ca="1">OFFSET('Input IBGE'!$A$5,ROW()-3,COLUMN()-1,,)</f>
        <v>162242.57</v>
      </c>
      <c r="F16" s="24">
        <f t="shared" ca="1" si="3"/>
        <v>24717.289999999979</v>
      </c>
      <c r="G16" s="5" cm="1">
        <f t="array" aca="1" ref="G16" ca="1">OFFSET('Input IBGE'!$A$5,ROW()-3,COLUMN()-2,,)</f>
        <v>186959.86</v>
      </c>
      <c r="H16" s="24">
        <v>187153.09717051446</v>
      </c>
      <c r="I16" s="9">
        <f t="shared" ca="1" si="4"/>
        <v>-0.10325085367859366</v>
      </c>
      <c r="K16" s="4">
        <f t="shared" ca="1" si="5"/>
        <v>4.3380497566696041</v>
      </c>
      <c r="L16" s="4">
        <f t="shared" ca="1" si="6"/>
        <v>-0.40646944361675263</v>
      </c>
      <c r="M16" s="4">
        <f t="shared" ca="1" si="7"/>
        <v>1.1790574009967747</v>
      </c>
      <c r="N16" s="4">
        <f t="shared" ca="1" si="8"/>
        <v>0.94273948307361799</v>
      </c>
      <c r="O16" s="4">
        <f t="shared" ca="1" si="9"/>
        <v>-3.5447672372146632</v>
      </c>
      <c r="P16" s="4">
        <f t="shared" ca="1" si="10"/>
        <v>0.3256561646797218</v>
      </c>
      <c r="Q16" s="6">
        <f t="shared" si="11"/>
        <v>0.70814196685160535</v>
      </c>
      <c r="S16" s="4">
        <f t="shared" ca="1" si="0"/>
        <v>5.3016176547282683</v>
      </c>
      <c r="T16" s="4">
        <f t="shared" ca="1" si="1"/>
        <v>22.079739399393702</v>
      </c>
      <c r="U16" s="4">
        <f t="shared" ca="1" si="2"/>
        <v>59.397500170497644</v>
      </c>
      <c r="V16" s="4">
        <f t="shared" ca="1" si="12"/>
        <v>13.2211427753804</v>
      </c>
      <c r="W16" s="2">
        <f>YEAR(A16)</f>
        <v>1999</v>
      </c>
      <c r="X16" s="25">
        <f t="shared" ca="1" si="15"/>
        <v>0.34750013414469921</v>
      </c>
      <c r="Y16" s="25">
        <f t="shared" ca="1" si="16"/>
        <v>-0.72087992449551774</v>
      </c>
      <c r="Z16" s="25">
        <f t="shared" ca="1" si="17"/>
        <v>1.1870265330124776</v>
      </c>
      <c r="AA16" s="25">
        <f t="shared" ca="1" si="14"/>
        <v>0.8065831371583787</v>
      </c>
      <c r="AB16" s="25">
        <f t="shared" ca="1" si="18"/>
        <v>0.3706817901558912</v>
      </c>
      <c r="AC16" s="25">
        <f t="shared" si="19"/>
        <v>3.1025753028258718</v>
      </c>
      <c r="AE16" s="25">
        <f t="shared" ca="1" si="20"/>
        <v>6.0586492440933171</v>
      </c>
      <c r="AF16" s="25">
        <f t="shared" ca="1" si="21"/>
        <v>-2.6695991935935304</v>
      </c>
      <c r="AG16" s="25">
        <f t="shared" ca="1" si="22"/>
        <v>1.765574093219513</v>
      </c>
      <c r="AH16" s="25">
        <f t="shared" ca="1" si="23"/>
        <v>0.8065831371583787</v>
      </c>
      <c r="AI16" s="25">
        <f t="shared" ca="1" si="24"/>
        <v>0.3706817901558912</v>
      </c>
      <c r="AJ16" s="25">
        <f t="shared" si="25"/>
        <v>3.1025753028258718</v>
      </c>
    </row>
    <row r="17" spans="1:36" x14ac:dyDescent="0.15">
      <c r="A17" s="8">
        <f t="shared" si="13"/>
        <v>36341</v>
      </c>
      <c r="B17" s="5" cm="1">
        <f t="array" aca="1" ref="B17" ca="1">OFFSET('Input IBGE'!$A$5,ROW()-3,COLUMN()-1,,)</f>
        <v>10078.9</v>
      </c>
      <c r="C17" s="5" cm="1">
        <f t="array" aca="1" ref="C17" ca="1">OFFSET('Input IBGE'!$A$5,ROW()-3,COLUMN()-1,,)</f>
        <v>41179.9</v>
      </c>
      <c r="D17" s="5" cm="1">
        <f t="array" aca="1" ref="D17" ca="1">OFFSET('Input IBGE'!$A$5,ROW()-3,COLUMN()-1,,)</f>
        <v>110837.03</v>
      </c>
      <c r="E17" s="5" cm="1">
        <f t="array" aca="1" ref="E17" ca="1">OFFSET('Input IBGE'!$A$5,ROW()-3,COLUMN()-1,,)</f>
        <v>162424.59</v>
      </c>
      <c r="F17" s="24">
        <f t="shared" ca="1" si="3"/>
        <v>24979.709999999992</v>
      </c>
      <c r="G17" s="5" cm="1">
        <f t="array" aca="1" ref="G17" ca="1">OFFSET('Input IBGE'!$A$5,ROW()-3,COLUMN()-2,,)</f>
        <v>187404.3</v>
      </c>
      <c r="H17" s="24">
        <v>188469.0877125336</v>
      </c>
      <c r="I17" s="9">
        <f t="shared" ca="1" si="4"/>
        <v>-0.56496676747207486</v>
      </c>
      <c r="K17" s="4">
        <f t="shared" ca="1" si="5"/>
        <v>1.6887419891197242</v>
      </c>
      <c r="L17" s="4">
        <f t="shared" ca="1" si="6"/>
        <v>-0.23930028770299261</v>
      </c>
      <c r="M17" s="4">
        <f t="shared" ca="1" si="7"/>
        <v>-0.18751813449758847</v>
      </c>
      <c r="N17" s="4">
        <f t="shared" ca="1" si="8"/>
        <v>0.11219003742357625</v>
      </c>
      <c r="O17" s="4">
        <f t="shared" ca="1" si="9"/>
        <v>1.0616859696188863</v>
      </c>
      <c r="P17" s="4">
        <f t="shared" ca="1" si="10"/>
        <v>0.2377194762554824</v>
      </c>
      <c r="Q17" s="6">
        <f t="shared" si="11"/>
        <v>0.70316257754481359</v>
      </c>
      <c r="S17" s="4">
        <f t="shared" ca="1" si="0"/>
        <v>5.3876097324107679</v>
      </c>
      <c r="T17" s="4">
        <f t="shared" ca="1" si="1"/>
        <v>22.012444812400382</v>
      </c>
      <c r="U17" s="4">
        <f t="shared" ca="1" si="2"/>
        <v>59.247205700969772</v>
      </c>
      <c r="V17" s="4">
        <f t="shared" ca="1" si="12"/>
        <v>13.352739754219067</v>
      </c>
      <c r="X17" s="25">
        <f t="shared" ca="1" si="15"/>
        <v>0.19410670000842722</v>
      </c>
      <c r="Y17" s="25">
        <f t="shared" ca="1" si="16"/>
        <v>-1.1060100939511339</v>
      </c>
      <c r="Z17" s="25">
        <f t="shared" ca="1" si="17"/>
        <v>1.1537227631208586</v>
      </c>
      <c r="AA17" s="25">
        <f t="shared" ca="1" si="14"/>
        <v>0.3464442900836584</v>
      </c>
      <c r="AB17" s="25">
        <f t="shared" ca="1" si="18"/>
        <v>-0.18785525738165276</v>
      </c>
      <c r="AC17" s="25">
        <f t="shared" si="19"/>
        <v>3.0188915083562806</v>
      </c>
      <c r="AE17" s="25">
        <f t="shared" ca="1" si="20"/>
        <v>3.302251254649935</v>
      </c>
      <c r="AF17" s="25">
        <f t="shared" ca="1" si="21"/>
        <v>-4.1076147783236543</v>
      </c>
      <c r="AG17" s="25">
        <f t="shared" ca="1" si="22"/>
        <v>1.7163016976572409</v>
      </c>
      <c r="AH17" s="25">
        <f t="shared" ca="1" si="23"/>
        <v>0.3464442900836584</v>
      </c>
      <c r="AI17" s="25">
        <f t="shared" ca="1" si="24"/>
        <v>-0.18785525738165276</v>
      </c>
      <c r="AJ17" s="25">
        <f t="shared" si="25"/>
        <v>3.0188915083562806</v>
      </c>
    </row>
    <row r="18" spans="1:36" x14ac:dyDescent="0.15">
      <c r="A18" s="8">
        <f t="shared" si="13"/>
        <v>36433</v>
      </c>
      <c r="B18" s="5" cm="1">
        <f t="array" aca="1" ref="B18" ca="1">OFFSET('Input IBGE'!$A$5,ROW()-3,COLUMN()-1,,)</f>
        <v>10129.540000000001</v>
      </c>
      <c r="C18" s="5" cm="1">
        <f t="array" aca="1" ref="C18" ca="1">OFFSET('Input IBGE'!$A$5,ROW()-3,COLUMN()-1,,)</f>
        <v>41320.769999999997</v>
      </c>
      <c r="D18" s="5" cm="1">
        <f t="array" aca="1" ref="D18" ca="1">OFFSET('Input IBGE'!$A$5,ROW()-3,COLUMN()-1,,)</f>
        <v>110860.6</v>
      </c>
      <c r="E18" s="5" cm="1">
        <f t="array" aca="1" ref="E18" ca="1">OFFSET('Input IBGE'!$A$5,ROW()-3,COLUMN()-1,,)</f>
        <v>162439.49</v>
      </c>
      <c r="F18" s="24">
        <f t="shared" ca="1" si="3"/>
        <v>25281.24000000002</v>
      </c>
      <c r="G18" s="5" cm="1">
        <f t="array" aca="1" ref="G18" ca="1">OFFSET('Input IBGE'!$A$5,ROW()-3,COLUMN()-2,,)</f>
        <v>187720.73</v>
      </c>
      <c r="H18" s="24">
        <v>189792.32680595422</v>
      </c>
      <c r="I18" s="9">
        <f t="shared" ca="1" si="4"/>
        <v>-1.091507144054471</v>
      </c>
      <c r="K18" s="4">
        <f t="shared" ca="1" si="5"/>
        <v>0.50243578168254199</v>
      </c>
      <c r="L18" s="4">
        <f t="shared" ca="1" si="6"/>
        <v>0.3420843664020401</v>
      </c>
      <c r="M18" s="4">
        <f t="shared" ca="1" si="7"/>
        <v>2.1265456138630512E-2</v>
      </c>
      <c r="N18" s="4">
        <f t="shared" ca="1" si="8"/>
        <v>9.1734878320925972E-3</v>
      </c>
      <c r="O18" s="4">
        <f t="shared" ca="1" si="9"/>
        <v>1.2070996821021085</v>
      </c>
      <c r="P18" s="4">
        <f t="shared" ca="1" si="10"/>
        <v>0.16884884711825254</v>
      </c>
      <c r="Q18" s="6">
        <f t="shared" si="11"/>
        <v>0.70209874175171105</v>
      </c>
      <c r="S18" s="4">
        <f t="shared" ca="1" si="0"/>
        <v>5.3997675275857757</v>
      </c>
      <c r="T18" s="4">
        <f t="shared" ca="1" si="1"/>
        <v>22.026918503786</v>
      </c>
      <c r="U18" s="4">
        <f t="shared" ca="1" si="2"/>
        <v>59.096609319739656</v>
      </c>
      <c r="V18" s="4">
        <f t="shared" ca="1" si="12"/>
        <v>13.476704648888568</v>
      </c>
      <c r="X18" s="25">
        <f t="shared" ca="1" si="15"/>
        <v>0.17508036327467938</v>
      </c>
      <c r="Y18" s="25">
        <f t="shared" ca="1" si="16"/>
        <v>-1.1526466519447247</v>
      </c>
      <c r="Z18" s="25">
        <f t="shared" ca="1" si="17"/>
        <v>1.0037097970723046</v>
      </c>
      <c r="AA18" s="25">
        <f t="shared" ca="1" si="14"/>
        <v>0.12801122908121521</v>
      </c>
      <c r="AB18" s="25">
        <f t="shared" ca="1" si="18"/>
        <v>-0.42636220991201235</v>
      </c>
      <c r="AC18" s="25">
        <f t="shared" si="19"/>
        <v>2.9484165569206411</v>
      </c>
      <c r="AE18" s="25">
        <f t="shared" ca="1" si="20"/>
        <v>2.9433093743512329</v>
      </c>
      <c r="AF18" s="25">
        <f t="shared" ca="1" si="21"/>
        <v>-4.3186871942359044</v>
      </c>
      <c r="AG18" s="25">
        <f t="shared" ca="1" si="22"/>
        <v>1.4894630977803081</v>
      </c>
      <c r="AH18" s="25">
        <f t="shared" ca="1" si="23"/>
        <v>0.12801122908121521</v>
      </c>
      <c r="AI18" s="25">
        <f t="shared" ca="1" si="24"/>
        <v>-0.42636220991201235</v>
      </c>
      <c r="AJ18" s="25">
        <f t="shared" si="25"/>
        <v>2.9484165569206411</v>
      </c>
    </row>
    <row r="19" spans="1:36" x14ac:dyDescent="0.15">
      <c r="A19" s="8">
        <f t="shared" si="13"/>
        <v>36525</v>
      </c>
      <c r="B19" s="5" cm="1">
        <f t="array" aca="1" ref="B19" ca="1">OFFSET('Input IBGE'!$A$5,ROW()-3,COLUMN()-1,,)</f>
        <v>10517.49</v>
      </c>
      <c r="C19" s="5" cm="1">
        <f t="array" aca="1" ref="C19" ca="1">OFFSET('Input IBGE'!$A$5,ROW()-3,COLUMN()-1,,)</f>
        <v>42120.160000000003</v>
      </c>
      <c r="D19" s="5" cm="1">
        <f t="array" aca="1" ref="D19" ca="1">OFFSET('Input IBGE'!$A$5,ROW()-3,COLUMN()-1,,)</f>
        <v>112012.78</v>
      </c>
      <c r="E19" s="5" cm="1">
        <f t="array" aca="1" ref="E19" ca="1">OFFSET('Input IBGE'!$A$5,ROW()-3,COLUMN()-1,,)</f>
        <v>164422.18</v>
      </c>
      <c r="F19" s="24">
        <f t="shared" ca="1" si="3"/>
        <v>25930.200000000012</v>
      </c>
      <c r="G19" s="5" cm="1">
        <f t="array" aca="1" ref="G19" ca="1">OFFSET('Input IBGE'!$A$5,ROW()-3,COLUMN()-2,,)</f>
        <v>190352.38</v>
      </c>
      <c r="H19" s="24">
        <v>191122.81445077626</v>
      </c>
      <c r="I19" s="9">
        <f t="shared" ca="1" si="4"/>
        <v>-0.40310961984848515</v>
      </c>
      <c r="K19" s="4">
        <f t="shared" ca="1" si="5"/>
        <v>3.8298876355688405</v>
      </c>
      <c r="L19" s="4">
        <f t="shared" ca="1" si="6"/>
        <v>1.9345960881174351</v>
      </c>
      <c r="M19" s="4">
        <f t="shared" ca="1" si="7"/>
        <v>1.0393052175434736</v>
      </c>
      <c r="N19" s="4">
        <f t="shared" ca="1" si="8"/>
        <v>1.2205714263200385</v>
      </c>
      <c r="O19" s="4">
        <f t="shared" ca="1" si="9"/>
        <v>2.5669626964499814</v>
      </c>
      <c r="P19" s="4">
        <f t="shared" ca="1" si="10"/>
        <v>1.4018963169384557</v>
      </c>
      <c r="Q19" s="6">
        <f t="shared" si="11"/>
        <v>0.70102288496749487</v>
      </c>
      <c r="S19" s="4">
        <f t="shared" ca="1" si="0"/>
        <v>5.5186563293446973</v>
      </c>
      <c r="T19" s="4">
        <f t="shared" ca="1" si="1"/>
        <v>22.100965874653681</v>
      </c>
      <c r="U19" s="4">
        <f t="shared" ca="1" si="2"/>
        <v>58.774483010156906</v>
      </c>
      <c r="V19" s="4">
        <f t="shared" ca="1" si="12"/>
        <v>13.605894785844717</v>
      </c>
      <c r="X19" s="25">
        <f t="shared" ca="1" si="15"/>
        <v>0.40192491762465749</v>
      </c>
      <c r="Y19" s="25">
        <f t="shared" ca="1" si="16"/>
        <v>-0.69177715110171367</v>
      </c>
      <c r="Z19" s="25">
        <f t="shared" ca="1" si="17"/>
        <v>1.241826896954491</v>
      </c>
      <c r="AA19" s="25">
        <f t="shared" ca="1" si="14"/>
        <v>0.97154817419131678</v>
      </c>
      <c r="AB19" s="25">
        <f t="shared" ca="1" si="18"/>
        <v>0.47526022758175301</v>
      </c>
      <c r="AC19" s="25">
        <f t="shared" si="19"/>
        <v>2.8950616952744479</v>
      </c>
      <c r="AE19" s="25">
        <f t="shared" ca="1" si="20"/>
        <v>6.8170031587117652</v>
      </c>
      <c r="AF19" s="25">
        <f t="shared" ca="1" si="21"/>
        <v>-2.6201422407541308</v>
      </c>
      <c r="AG19" s="25">
        <f t="shared" ca="1" si="22"/>
        <v>1.8347211605113323</v>
      </c>
      <c r="AH19" s="25">
        <f t="shared" ca="1" si="23"/>
        <v>0.97154817419131678</v>
      </c>
      <c r="AI19" s="25">
        <f t="shared" ca="1" si="24"/>
        <v>0.47526022758175301</v>
      </c>
      <c r="AJ19" s="25">
        <f t="shared" si="25"/>
        <v>2.8950616952744479</v>
      </c>
    </row>
    <row r="20" spans="1:36" x14ac:dyDescent="0.15">
      <c r="A20" s="8">
        <f t="shared" si="13"/>
        <v>36616</v>
      </c>
      <c r="B20" s="5" cm="1">
        <f t="array" aca="1" ref="B20" ca="1">OFFSET('Input IBGE'!$A$5,ROW()-3,COLUMN()-1,,)</f>
        <v>10457.73</v>
      </c>
      <c r="C20" s="5" cm="1">
        <f t="array" aca="1" ref="C20" ca="1">OFFSET('Input IBGE'!$A$5,ROW()-3,COLUMN()-1,,)</f>
        <v>42672.12</v>
      </c>
      <c r="D20" s="5" cm="1">
        <f t="array" aca="1" ref="D20" ca="1">OFFSET('Input IBGE'!$A$5,ROW()-3,COLUMN()-1,,)</f>
        <v>113095.71</v>
      </c>
      <c r="E20" s="5" cm="1">
        <f t="array" aca="1" ref="E20" ca="1">OFFSET('Input IBGE'!$A$5,ROW()-3,COLUMN()-1,,)</f>
        <v>165958.82</v>
      </c>
      <c r="F20" s="24">
        <f t="shared" ca="1" si="3"/>
        <v>26392.399999999994</v>
      </c>
      <c r="G20" s="5" cm="1">
        <f t="array" aca="1" ref="G20" ca="1">OFFSET('Input IBGE'!$A$5,ROW()-3,COLUMN()-2,,)</f>
        <v>192351.22</v>
      </c>
      <c r="H20" s="24">
        <v>192453.30209559831</v>
      </c>
      <c r="I20" s="9">
        <f t="shared" ca="1" si="4"/>
        <v>-5.304252745301774E-2</v>
      </c>
      <c r="K20" s="4">
        <f t="shared" ca="1" si="5"/>
        <v>-0.56819640427516749</v>
      </c>
      <c r="L20" s="4">
        <f t="shared" ca="1" si="6"/>
        <v>1.3104413658447722</v>
      </c>
      <c r="M20" s="4">
        <f t="shared" ca="1" si="7"/>
        <v>0.96679146790215054</v>
      </c>
      <c r="N20" s="4">
        <f t="shared" ca="1" si="8"/>
        <v>0.93456977641339645</v>
      </c>
      <c r="O20" s="4">
        <f t="shared" ca="1" si="9"/>
        <v>1.7824775744112342</v>
      </c>
      <c r="P20" s="4">
        <f t="shared" ca="1" si="10"/>
        <v>1.0500735530598604</v>
      </c>
      <c r="Q20" s="6">
        <f t="shared" si="11"/>
        <v>0.6961427648736862</v>
      </c>
      <c r="S20" s="4">
        <f t="shared" ca="1" si="0"/>
        <v>5.4292600752287061</v>
      </c>
      <c r="T20" s="4">
        <f t="shared" ca="1" si="1"/>
        <v>22.153759701327957</v>
      </c>
      <c r="U20" s="4">
        <f t="shared" ca="1" si="2"/>
        <v>58.715038826078327</v>
      </c>
      <c r="V20" s="4">
        <f t="shared" ca="1" si="12"/>
        <v>13.701941397365022</v>
      </c>
      <c r="W20" s="2">
        <f t="shared" ref="W20" si="26">YEAR(A20)</f>
        <v>2000</v>
      </c>
      <c r="X20" s="25">
        <f t="shared" ca="1" si="15"/>
        <v>0.32330167665293558</v>
      </c>
      <c r="Y20" s="25">
        <f t="shared" ca="1" si="16"/>
        <v>-0.24625613274532626</v>
      </c>
      <c r="Z20" s="25">
        <f t="shared" ca="1" si="17"/>
        <v>1.104409000255802</v>
      </c>
      <c r="AA20" s="25">
        <f t="shared" ca="1" si="14"/>
        <v>1.153549694206002</v>
      </c>
      <c r="AB20" s="25">
        <f t="shared" ca="1" si="18"/>
        <v>0.99335835834128972</v>
      </c>
      <c r="AC20" s="25">
        <f t="shared" si="19"/>
        <v>2.8584227344879531</v>
      </c>
      <c r="AE20" s="25">
        <f t="shared" ca="1" si="20"/>
        <v>5.3576161312274051</v>
      </c>
      <c r="AF20" s="25">
        <f t="shared" ca="1" si="21"/>
        <v>-0.94451871780449892</v>
      </c>
      <c r="AG20" s="25">
        <f t="shared" ca="1" si="22"/>
        <v>1.6272094801512038</v>
      </c>
      <c r="AH20" s="25">
        <f t="shared" ca="1" si="23"/>
        <v>1.153549694206002</v>
      </c>
      <c r="AI20" s="25">
        <f t="shared" ca="1" si="24"/>
        <v>0.99335835834128972</v>
      </c>
      <c r="AJ20" s="25">
        <f t="shared" si="25"/>
        <v>2.8584227344879531</v>
      </c>
    </row>
    <row r="21" spans="1:36" x14ac:dyDescent="0.15">
      <c r="A21" s="8">
        <f t="shared" si="13"/>
        <v>36707</v>
      </c>
      <c r="B21" s="5" cm="1">
        <f t="array" aca="1" ref="B21" ca="1">OFFSET('Input IBGE'!$A$5,ROW()-3,COLUMN()-1,,)</f>
        <v>10416.780000000001</v>
      </c>
      <c r="C21" s="5" cm="1">
        <f t="array" aca="1" ref="C21" ca="1">OFFSET('Input IBGE'!$A$5,ROW()-3,COLUMN()-1,,)</f>
        <v>43167.37</v>
      </c>
      <c r="D21" s="5" cm="1">
        <f t="array" aca="1" ref="D21" ca="1">OFFSET('Input IBGE'!$A$5,ROW()-3,COLUMN()-1,,)</f>
        <v>114443.96</v>
      </c>
      <c r="E21" s="5" cm="1">
        <f t="array" aca="1" ref="E21" ca="1">OFFSET('Input IBGE'!$A$5,ROW()-3,COLUMN()-1,,)</f>
        <v>167941.72</v>
      </c>
      <c r="F21" s="24">
        <f t="shared" ca="1" si="3"/>
        <v>27123.72</v>
      </c>
      <c r="G21" s="5" cm="1">
        <f t="array" aca="1" ref="G21" ca="1">OFFSET('Input IBGE'!$A$5,ROW()-3,COLUMN()-2,,)</f>
        <v>195065.44</v>
      </c>
      <c r="H21" s="24">
        <v>193783.78974042035</v>
      </c>
      <c r="I21" s="9">
        <f t="shared" ca="1" si="4"/>
        <v>0.66138156411146287</v>
      </c>
      <c r="K21" s="4">
        <f t="shared" ca="1" si="5"/>
        <v>-0.3915763746051848</v>
      </c>
      <c r="L21" s="4">
        <f t="shared" ca="1" si="6"/>
        <v>1.1605938490986567</v>
      </c>
      <c r="M21" s="4">
        <f t="shared" ca="1" si="7"/>
        <v>1.1921318677781789</v>
      </c>
      <c r="N21" s="4">
        <f t="shared" ca="1" si="8"/>
        <v>1.1948144726505072</v>
      </c>
      <c r="O21" s="4">
        <f t="shared" ca="1" si="9"/>
        <v>2.7709492126521518</v>
      </c>
      <c r="P21" s="4">
        <f t="shared" ca="1" si="10"/>
        <v>1.4110750116375748</v>
      </c>
      <c r="Q21" s="6">
        <f t="shared" si="11"/>
        <v>0.69133012026010299</v>
      </c>
      <c r="S21" s="4">
        <f t="shared" ca="1" si="0"/>
        <v>5.3377823820560639</v>
      </c>
      <c r="T21" s="4">
        <f t="shared" ca="1" si="1"/>
        <v>22.119889933904282</v>
      </c>
      <c r="U21" s="4">
        <f t="shared" ca="1" si="2"/>
        <v>58.643549486571558</v>
      </c>
      <c r="V21" s="4">
        <f t="shared" ca="1" si="12"/>
        <v>13.898778197468095</v>
      </c>
      <c r="X21" s="25">
        <f t="shared" ca="1" si="15"/>
        <v>0.35837706070669012</v>
      </c>
      <c r="Y21" s="25">
        <f t="shared" ca="1" si="16"/>
        <v>0.40051600369071327</v>
      </c>
      <c r="Z21" s="25">
        <f t="shared" ca="1" si="17"/>
        <v>1.3895446888600005</v>
      </c>
      <c r="AA21" s="25">
        <f t="shared" ca="1" si="14"/>
        <v>1.9994911465614607</v>
      </c>
      <c r="AB21" s="25">
        <f t="shared" ca="1" si="18"/>
        <v>2.1598318401338856</v>
      </c>
      <c r="AC21" s="25">
        <f t="shared" si="19"/>
        <v>2.8381208513103884</v>
      </c>
      <c r="AE21" s="25">
        <f t="shared" ca="1" si="20"/>
        <v>5.9224580445786268</v>
      </c>
      <c r="AF21" s="25">
        <f t="shared" ca="1" si="21"/>
        <v>1.5565689323100207</v>
      </c>
      <c r="AG21" s="25">
        <f t="shared" ca="1" si="22"/>
        <v>2.0392765072134056</v>
      </c>
      <c r="AH21" s="25">
        <f t="shared" ca="1" si="23"/>
        <v>1.9994911465614607</v>
      </c>
      <c r="AI21" s="25">
        <f t="shared" ca="1" si="24"/>
        <v>2.1598318401338856</v>
      </c>
      <c r="AJ21" s="25">
        <f t="shared" si="25"/>
        <v>2.8381208513103884</v>
      </c>
    </row>
    <row r="22" spans="1:36" x14ac:dyDescent="0.15">
      <c r="A22" s="8">
        <f t="shared" si="13"/>
        <v>36799</v>
      </c>
      <c r="B22" s="5" cm="1">
        <f t="array" aca="1" ref="B22" ca="1">OFFSET('Input IBGE'!$A$5,ROW()-3,COLUMN()-1,,)</f>
        <v>10320.94</v>
      </c>
      <c r="C22" s="5" cm="1">
        <f t="array" aca="1" ref="C22" ca="1">OFFSET('Input IBGE'!$A$5,ROW()-3,COLUMN()-1,,)</f>
        <v>43314.73</v>
      </c>
      <c r="D22" s="5" cm="1">
        <f t="array" aca="1" ref="D22" ca="1">OFFSET('Input IBGE'!$A$5,ROW()-3,COLUMN()-1,,)</f>
        <v>115991.09</v>
      </c>
      <c r="E22" s="5" cm="1">
        <f t="array" aca="1" ref="E22" ca="1">OFFSET('Input IBGE'!$A$5,ROW()-3,COLUMN()-1,,)</f>
        <v>169991.6</v>
      </c>
      <c r="F22" s="24">
        <f t="shared" ca="1" si="3"/>
        <v>27375.350000000006</v>
      </c>
      <c r="G22" s="5" cm="1">
        <f t="array" aca="1" ref="G22" ca="1">OFFSET('Input IBGE'!$A$5,ROW()-3,COLUMN()-2,,)</f>
        <v>197366.95</v>
      </c>
      <c r="H22" s="24">
        <v>195161.33609803295</v>
      </c>
      <c r="I22" s="9">
        <f t="shared" ca="1" si="4"/>
        <v>1.1301490070037001</v>
      </c>
      <c r="K22" s="4">
        <f t="shared" ca="1" si="5"/>
        <v>-0.92005398981259701</v>
      </c>
      <c r="L22" s="4">
        <f t="shared" ca="1" si="6"/>
        <v>0.34136895530119116</v>
      </c>
      <c r="M22" s="4">
        <f t="shared" ca="1" si="7"/>
        <v>1.3518668875141859</v>
      </c>
      <c r="N22" s="4">
        <f t="shared" ca="1" si="8"/>
        <v>1.2205900951830273</v>
      </c>
      <c r="O22" s="4">
        <f t="shared" ca="1" si="9"/>
        <v>0.92771198051007087</v>
      </c>
      <c r="P22" s="4">
        <f t="shared" ca="1" si="10"/>
        <v>1.1798655876715136</v>
      </c>
      <c r="Q22" s="6">
        <f t="shared" si="11"/>
        <v>0.71086769407175954</v>
      </c>
      <c r="S22" s="4">
        <f t="shared" ca="1" si="0"/>
        <v>5.2389997244191955</v>
      </c>
      <c r="T22" s="4">
        <f t="shared" ca="1" si="1"/>
        <v>21.986937094227059</v>
      </c>
      <c r="U22" s="4">
        <f t="shared" ca="1" si="2"/>
        <v>58.878095265071018</v>
      </c>
      <c r="V22" s="4">
        <f t="shared" ca="1" si="12"/>
        <v>13.895967916282725</v>
      </c>
      <c r="X22" s="25">
        <f t="shared" ca="1" si="15"/>
        <v>0.32316149887661083</v>
      </c>
      <c r="Y22" s="25">
        <f t="shared" ca="1" si="16"/>
        <v>0.9335539948058923</v>
      </c>
      <c r="Z22" s="25">
        <f t="shared" ca="1" si="17"/>
        <v>2.0143154577967715</v>
      </c>
      <c r="AA22" s="25">
        <f t="shared" ca="1" si="14"/>
        <v>3.1613562474756218</v>
      </c>
      <c r="AB22" s="25">
        <f t="shared" ca="1" si="18"/>
        <v>3.5671778130738296</v>
      </c>
      <c r="AC22" s="25">
        <f t="shared" si="19"/>
        <v>2.8312250581191245</v>
      </c>
      <c r="AE22" s="25">
        <f t="shared" ca="1" si="20"/>
        <v>5.2841550564004303</v>
      </c>
      <c r="AF22" s="25">
        <f t="shared" ca="1" si="21"/>
        <v>3.6603571460994466</v>
      </c>
      <c r="AG22" s="25">
        <f t="shared" ca="1" si="22"/>
        <v>2.9490606564444466</v>
      </c>
      <c r="AH22" s="25">
        <f t="shared" ca="1" si="23"/>
        <v>3.1613562474756218</v>
      </c>
      <c r="AI22" s="25">
        <f t="shared" ca="1" si="24"/>
        <v>3.5671778130738296</v>
      </c>
      <c r="AJ22" s="25">
        <f t="shared" si="25"/>
        <v>2.8312250581191245</v>
      </c>
    </row>
    <row r="23" spans="1:36" x14ac:dyDescent="0.15">
      <c r="A23" s="8">
        <f t="shared" si="13"/>
        <v>36891</v>
      </c>
      <c r="B23" s="5" cm="1">
        <f t="array" aca="1" ref="B23" ca="1">OFFSET('Input IBGE'!$A$5,ROW()-3,COLUMN()-1,,)</f>
        <v>10383.31</v>
      </c>
      <c r="C23" s="5" cm="1">
        <f t="array" aca="1" ref="C23" ca="1">OFFSET('Input IBGE'!$A$5,ROW()-3,COLUMN()-1,,)</f>
        <v>44011.64</v>
      </c>
      <c r="D23" s="5" cm="1">
        <f t="array" aca="1" ref="D23" ca="1">OFFSET('Input IBGE'!$A$5,ROW()-3,COLUMN()-1,,)</f>
        <v>117380.78</v>
      </c>
      <c r="E23" s="5" cm="1">
        <f t="array" aca="1" ref="E23" ca="1">OFFSET('Input IBGE'!$A$5,ROW()-3,COLUMN()-1,,)</f>
        <v>172236.28</v>
      </c>
      <c r="F23" s="24">
        <f t="shared" ca="1" si="3"/>
        <v>27552.369999999995</v>
      </c>
      <c r="G23" s="5" cm="1">
        <f t="array" aca="1" ref="G23" ca="1">OFFSET('Input IBGE'!$A$5,ROW()-3,COLUMN()-2,,)</f>
        <v>199788.65</v>
      </c>
      <c r="H23" s="24">
        <v>196585.94116843602</v>
      </c>
      <c r="I23" s="9">
        <f t="shared" ca="1" si="4"/>
        <v>1.629164737075417</v>
      </c>
      <c r="K23" s="4">
        <f t="shared" ca="1" si="5"/>
        <v>0.6043054217929722</v>
      </c>
      <c r="L23" s="4">
        <f t="shared" ca="1" si="6"/>
        <v>1.6089445784378542</v>
      </c>
      <c r="M23" s="4">
        <f t="shared" ca="1" si="7"/>
        <v>1.198100647213507</v>
      </c>
      <c r="N23" s="4">
        <f t="shared" ca="1" si="8"/>
        <v>1.3204652465180544</v>
      </c>
      <c r="O23" s="4">
        <f t="shared" ca="1" si="9"/>
        <v>0.64664013428135103</v>
      </c>
      <c r="P23" s="4">
        <f t="shared" ca="1" si="10"/>
        <v>1.227003811935079</v>
      </c>
      <c r="Q23" s="6">
        <f t="shared" si="11"/>
        <v>0.72996275742214234</v>
      </c>
      <c r="S23" s="4">
        <f t="shared" ca="1" si="0"/>
        <v>5.2091551567490981</v>
      </c>
      <c r="T23" s="4">
        <f t="shared" ca="1" si="1"/>
        <v>22.079997752449358</v>
      </c>
      <c r="U23" s="4">
        <f t="shared" ca="1" si="2"/>
        <v>58.888224991860149</v>
      </c>
      <c r="V23" s="4">
        <f t="shared" ca="1" si="12"/>
        <v>13.822622098941393</v>
      </c>
      <c r="X23" s="25">
        <f t="shared" ca="1" si="15"/>
        <v>0.14447710625483848</v>
      </c>
      <c r="Y23" s="25">
        <f t="shared" ca="1" si="16"/>
        <v>1.1152768174510381</v>
      </c>
      <c r="Z23" s="25">
        <f t="shared" ca="1" si="17"/>
        <v>2.479686125324648</v>
      </c>
      <c r="AA23" s="25">
        <f t="shared" ca="1" si="14"/>
        <v>3.7756717534663808</v>
      </c>
      <c r="AB23" s="25">
        <f t="shared" ca="1" si="18"/>
        <v>4.2707865866346673</v>
      </c>
      <c r="AC23" s="25">
        <f t="shared" si="19"/>
        <v>2.834895546019145</v>
      </c>
      <c r="AE23" s="25">
        <f t="shared" ca="1" si="20"/>
        <v>2.3163608937076585</v>
      </c>
      <c r="AF23" s="25">
        <f t="shared" ca="1" si="21"/>
        <v>4.3799707425296042</v>
      </c>
      <c r="AG23" s="25">
        <f t="shared" ca="1" si="22"/>
        <v>3.632527045692302</v>
      </c>
      <c r="AH23" s="25">
        <f t="shared" ca="1" si="23"/>
        <v>3.7756717534663808</v>
      </c>
      <c r="AI23" s="25">
        <f t="shared" ca="1" si="24"/>
        <v>4.2707865866346673</v>
      </c>
      <c r="AJ23" s="25">
        <f t="shared" si="25"/>
        <v>2.834895546019145</v>
      </c>
    </row>
    <row r="24" spans="1:36" x14ac:dyDescent="0.15">
      <c r="A24" s="8">
        <f t="shared" si="13"/>
        <v>36981</v>
      </c>
      <c r="B24" s="5" cm="1">
        <f t="array" aca="1" ref="B24" ca="1">OFFSET('Input IBGE'!$A$5,ROW()-3,COLUMN()-1,,)</f>
        <v>10708.01</v>
      </c>
      <c r="C24" s="5" cm="1">
        <f t="array" aca="1" ref="C24" ca="1">OFFSET('Input IBGE'!$A$5,ROW()-3,COLUMN()-1,,)</f>
        <v>44294.83</v>
      </c>
      <c r="D24" s="5" cm="1">
        <f t="array" aca="1" ref="D24" ca="1">OFFSET('Input IBGE'!$A$5,ROW()-3,COLUMN()-1,,)</f>
        <v>116869.71</v>
      </c>
      <c r="E24" s="5" cm="1">
        <f t="array" aca="1" ref="E24" ca="1">OFFSET('Input IBGE'!$A$5,ROW()-3,COLUMN()-1,,)</f>
        <v>172164.19</v>
      </c>
      <c r="F24" s="24">
        <f t="shared" ca="1" si="3"/>
        <v>28369.290000000008</v>
      </c>
      <c r="G24" s="5" cm="1">
        <f t="array" aca="1" ref="G24" ca="1">OFFSET('Input IBGE'!$A$5,ROW()-3,COLUMN()-2,,)</f>
        <v>200533.48</v>
      </c>
      <c r="H24" s="24">
        <v>198010.54623883913</v>
      </c>
      <c r="I24" s="9">
        <f t="shared" ca="1" si="4"/>
        <v>1.274141104644877</v>
      </c>
      <c r="K24" s="4">
        <f t="shared" ca="1" si="5"/>
        <v>3.1271338330455478</v>
      </c>
      <c r="L24" s="4">
        <f t="shared" ca="1" si="6"/>
        <v>0.64344341633260083</v>
      </c>
      <c r="M24" s="4">
        <f t="shared" ca="1" si="7"/>
        <v>-0.43539495989035615</v>
      </c>
      <c r="N24" s="4">
        <f t="shared" ca="1" si="8"/>
        <v>-4.1855293205350641E-2</v>
      </c>
      <c r="O24" s="4">
        <f t="shared" ca="1" si="9"/>
        <v>2.9649717973445178</v>
      </c>
      <c r="P24" s="4">
        <f t="shared" ca="1" si="10"/>
        <v>0.37280896587470469</v>
      </c>
      <c r="Q24" s="6">
        <f t="shared" si="11"/>
        <v>0.72467291502931186</v>
      </c>
      <c r="S24" s="4">
        <f t="shared" ca="1" si="0"/>
        <v>5.3475387561360801</v>
      </c>
      <c r="T24" s="4">
        <f t="shared" ca="1" si="1"/>
        <v>22.120666689838643</v>
      </c>
      <c r="U24" s="4">
        <f t="shared" ca="1" si="2"/>
        <v>58.364280911521782</v>
      </c>
      <c r="V24" s="4">
        <f t="shared" ca="1" si="12"/>
        <v>14.167513642503488</v>
      </c>
      <c r="W24" s="2">
        <f t="shared" ref="W24" si="27">YEAR(A24)</f>
        <v>2001</v>
      </c>
      <c r="X24" s="25">
        <f t="shared" ca="1" si="15"/>
        <v>9.8494444246723295E-2</v>
      </c>
      <c r="Y24" s="25">
        <f t="shared" ca="1" si="16"/>
        <v>1.1439414394382017</v>
      </c>
      <c r="Z24" s="25">
        <f t="shared" ca="1" si="17"/>
        <v>2.7286614651116388</v>
      </c>
      <c r="AA24" s="25">
        <f t="shared" ca="1" si="14"/>
        <v>4.1341340556116934</v>
      </c>
      <c r="AB24" s="25">
        <f t="shared" ca="1" si="18"/>
        <v>4.608679141615446</v>
      </c>
      <c r="AC24" s="25">
        <f t="shared" si="19"/>
        <v>2.8489121756090308</v>
      </c>
      <c r="AE24" s="25">
        <f t="shared" ca="1" si="20"/>
        <v>1.5670778167846011</v>
      </c>
      <c r="AF24" s="25">
        <f t="shared" ca="1" si="21"/>
        <v>4.4805354917825335</v>
      </c>
      <c r="AG24" s="25">
        <f t="shared" ca="1" si="22"/>
        <v>4.001605886687476</v>
      </c>
      <c r="AH24" s="25">
        <f t="shared" ca="1" si="23"/>
        <v>4.1341340556116934</v>
      </c>
      <c r="AI24" s="25">
        <f t="shared" ca="1" si="24"/>
        <v>4.608679141615446</v>
      </c>
      <c r="AJ24" s="25">
        <f t="shared" si="25"/>
        <v>2.8489121756090308</v>
      </c>
    </row>
    <row r="25" spans="1:36" x14ac:dyDescent="0.15">
      <c r="A25" s="8">
        <f t="shared" si="13"/>
        <v>37072</v>
      </c>
      <c r="B25" s="5" cm="1">
        <f t="array" aca="1" ref="B25" ca="1">OFFSET('Input IBGE'!$A$5,ROW()-3,COLUMN()-1,,)</f>
        <v>10729.08</v>
      </c>
      <c r="C25" s="5" cm="1">
        <f t="array" aca="1" ref="C25" ca="1">OFFSET('Input IBGE'!$A$5,ROW()-3,COLUMN()-1,,)</f>
        <v>43488.34</v>
      </c>
      <c r="D25" s="5" cm="1">
        <f t="array" aca="1" ref="D25" ca="1">OFFSET('Input IBGE'!$A$5,ROW()-3,COLUMN()-1,,)</f>
        <v>117982</v>
      </c>
      <c r="E25" s="5" cm="1">
        <f t="array" aca="1" ref="E25" ca="1">OFFSET('Input IBGE'!$A$5,ROW()-3,COLUMN()-1,,)</f>
        <v>172052.33</v>
      </c>
      <c r="F25" s="24">
        <f t="shared" ca="1" si="3"/>
        <v>27487.920000000013</v>
      </c>
      <c r="G25" s="5" cm="1">
        <f t="array" aca="1" ref="G25" ca="1">OFFSET('Input IBGE'!$A$5,ROW()-3,COLUMN()-2,,)</f>
        <v>199540.25</v>
      </c>
      <c r="H25" s="24">
        <v>199435.15130924224</v>
      </c>
      <c r="I25" s="9">
        <f t="shared" ca="1" si="4"/>
        <v>5.2698177862731121E-2</v>
      </c>
      <c r="K25" s="4">
        <f t="shared" ca="1" si="5"/>
        <v>0.19676858725383717</v>
      </c>
      <c r="L25" s="4">
        <f t="shared" ca="1" si="6"/>
        <v>-1.8207316745543545</v>
      </c>
      <c r="M25" s="4">
        <f t="shared" ca="1" si="7"/>
        <v>0.95173505607226705</v>
      </c>
      <c r="N25" s="4">
        <f t="shared" ca="1" si="8"/>
        <v>-6.4972861081047384E-2</v>
      </c>
      <c r="O25" s="4">
        <f t="shared" ca="1" si="9"/>
        <v>-3.1067749668743705</v>
      </c>
      <c r="P25" s="4">
        <f t="shared" ca="1" si="10"/>
        <v>-0.49529385317604868</v>
      </c>
      <c r="Q25" s="6">
        <f t="shared" si="11"/>
        <v>0.71945918915083951</v>
      </c>
      <c r="S25" s="4">
        <f t="shared" ca="1" si="0"/>
        <v>5.3729395163459035</v>
      </c>
      <c r="T25" s="4">
        <f t="shared" ca="1" si="1"/>
        <v>21.778215884892852</v>
      </c>
      <c r="U25" s="4">
        <f t="shared" ca="1" si="2"/>
        <v>59.083365024542864</v>
      </c>
      <c r="V25" s="4">
        <f t="shared" ca="1" si="12"/>
        <v>13.765479574218384</v>
      </c>
      <c r="X25" s="25">
        <f t="shared" ca="1" si="15"/>
        <v>9.3800763817895136E-2</v>
      </c>
      <c r="Y25" s="25">
        <f t="shared" ca="1" si="16"/>
        <v>0.88218120101027542</v>
      </c>
      <c r="Z25" s="25">
        <f t="shared" ca="1" si="17"/>
        <v>2.6954522717030094</v>
      </c>
      <c r="AA25" s="25">
        <f t="shared" ca="1" si="14"/>
        <v>3.88675224026509</v>
      </c>
      <c r="AB25" s="25">
        <f t="shared" ca="1" si="18"/>
        <v>4.1463075332802912</v>
      </c>
      <c r="AC25" s="25">
        <f t="shared" si="19"/>
        <v>2.8730597097976984</v>
      </c>
      <c r="AE25" s="25">
        <f t="shared" ca="1" si="20"/>
        <v>1.4927192006847667</v>
      </c>
      <c r="AF25" s="25">
        <f t="shared" ca="1" si="21"/>
        <v>3.4434697172892381</v>
      </c>
      <c r="AG25" s="25">
        <f t="shared" ca="1" si="22"/>
        <v>3.954265978749949</v>
      </c>
      <c r="AH25" s="25">
        <f t="shared" ca="1" si="23"/>
        <v>3.88675224026509</v>
      </c>
      <c r="AI25" s="25">
        <f t="shared" ca="1" si="24"/>
        <v>4.1463075332802912</v>
      </c>
      <c r="AJ25" s="25">
        <f t="shared" si="25"/>
        <v>2.8730597097976984</v>
      </c>
    </row>
    <row r="26" spans="1:36" x14ac:dyDescent="0.15">
      <c r="A26" s="8">
        <f t="shared" si="13"/>
        <v>37164</v>
      </c>
      <c r="B26" s="5" cm="1">
        <f t="array" aca="1" ref="B26" ca="1">OFFSET('Input IBGE'!$A$5,ROW()-3,COLUMN()-1,,)</f>
        <v>10971.61</v>
      </c>
      <c r="C26" s="5" cm="1">
        <f t="array" aca="1" ref="C26" ca="1">OFFSET('Input IBGE'!$A$5,ROW()-3,COLUMN()-1,,)</f>
        <v>42107.47</v>
      </c>
      <c r="D26" s="5" cm="1">
        <f t="array" aca="1" ref="D26" ca="1">OFFSET('Input IBGE'!$A$5,ROW()-3,COLUMN()-1,,)</f>
        <v>118137.65</v>
      </c>
      <c r="E26" s="5" cm="1">
        <f t="array" aca="1" ref="E26" ca="1">OFFSET('Input IBGE'!$A$5,ROW()-3,COLUMN()-1,,)</f>
        <v>171505.46</v>
      </c>
      <c r="F26" s="24">
        <f t="shared" ca="1" si="3"/>
        <v>27000.920000000013</v>
      </c>
      <c r="G26" s="5" cm="1">
        <f t="array" aca="1" ref="G26" ca="1">OFFSET('Input IBGE'!$A$5,ROW()-3,COLUMN()-2,,)</f>
        <v>198506.38</v>
      </c>
      <c r="H26" s="24">
        <v>200913.20141756895</v>
      </c>
      <c r="I26" s="9">
        <f t="shared" ca="1" si="4"/>
        <v>-1.1979409021345089</v>
      </c>
      <c r="K26" s="4">
        <f t="shared" ca="1" si="5"/>
        <v>2.2604920459163402</v>
      </c>
      <c r="L26" s="4">
        <f t="shared" ca="1" si="6"/>
        <v>-3.1752649100885377</v>
      </c>
      <c r="M26" s="4">
        <f t="shared" ca="1" si="7"/>
        <v>0.13192690410401831</v>
      </c>
      <c r="N26" s="4">
        <f t="shared" ca="1" si="8"/>
        <v>-0.31785097010891272</v>
      </c>
      <c r="O26" s="4">
        <f t="shared" ca="1" si="9"/>
        <v>-1.7716873448409332</v>
      </c>
      <c r="P26" s="4">
        <f t="shared" ca="1" si="10"/>
        <v>-0.51812604223959724</v>
      </c>
      <c r="Q26" s="6">
        <f t="shared" si="11"/>
        <v>0.74111815225335054</v>
      </c>
      <c r="S26" s="4">
        <f t="shared" ca="1" si="0"/>
        <v>5.5351327190086259</v>
      </c>
      <c r="T26" s="4">
        <f t="shared" ca="1" si="1"/>
        <v>21.243047730613295</v>
      </c>
      <c r="U26" s="4">
        <f t="shared" ca="1" si="2"/>
        <v>59.599964987981643</v>
      </c>
      <c r="V26" s="4">
        <f t="shared" ca="1" si="12"/>
        <v>13.621854562396443</v>
      </c>
      <c r="X26" s="25">
        <f t="shared" ca="1" si="15"/>
        <v>0.1614614512524587</v>
      </c>
      <c r="Y26" s="25">
        <f t="shared" ca="1" si="16"/>
        <v>0.39321318148621998</v>
      </c>
      <c r="Z26" s="25">
        <f t="shared" ca="1" si="17"/>
        <v>2.218507004308989</v>
      </c>
      <c r="AA26" s="25">
        <f t="shared" ca="1" si="14"/>
        <v>2.9393265133088819</v>
      </c>
      <c r="AB26" s="25">
        <f t="shared" ca="1" si="18"/>
        <v>2.997250843687449</v>
      </c>
      <c r="AC26" s="25">
        <f t="shared" si="19"/>
        <v>2.9026512824469552</v>
      </c>
      <c r="AE26" s="25">
        <f t="shared" ca="1" si="20"/>
        <v>2.5868950977802063</v>
      </c>
      <c r="AF26" s="25">
        <f t="shared" ca="1" si="21"/>
        <v>1.5343217123308106</v>
      </c>
      <c r="AG26" s="25">
        <f t="shared" ca="1" si="22"/>
        <v>3.2547053570334938</v>
      </c>
      <c r="AH26" s="25">
        <f t="shared" ca="1" si="23"/>
        <v>2.9393265133088819</v>
      </c>
      <c r="AI26" s="25">
        <f t="shared" ca="1" si="24"/>
        <v>2.997250843687449</v>
      </c>
      <c r="AJ26" s="25">
        <f t="shared" si="25"/>
        <v>2.9026512824469552</v>
      </c>
    </row>
    <row r="27" spans="1:36" x14ac:dyDescent="0.15">
      <c r="A27" s="8">
        <f t="shared" si="13"/>
        <v>37256</v>
      </c>
      <c r="B27" s="5" cm="1">
        <f t="array" aca="1" ref="B27" ca="1">OFFSET('Input IBGE'!$A$5,ROW()-3,COLUMN()-1,,)</f>
        <v>11542.24</v>
      </c>
      <c r="C27" s="5" cm="1">
        <f t="array" aca="1" ref="C27" ca="1">OFFSET('Input IBGE'!$A$5,ROW()-3,COLUMN()-1,,)</f>
        <v>42107.13</v>
      </c>
      <c r="D27" s="5" cm="1">
        <f t="array" aca="1" ref="D27" ca="1">OFFSET('Input IBGE'!$A$5,ROW()-3,COLUMN()-1,,)</f>
        <v>118386.89</v>
      </c>
      <c r="E27" s="5" cm="1">
        <f t="array" aca="1" ref="E27" ca="1">OFFSET('Input IBGE'!$A$5,ROW()-3,COLUMN()-1,,)</f>
        <v>171701.43</v>
      </c>
      <c r="F27" s="24">
        <f t="shared" ca="1" si="3"/>
        <v>26250.23000000001</v>
      </c>
      <c r="G27" s="5" cm="1">
        <f t="array" aca="1" ref="G27" ca="1">OFFSET('Input IBGE'!$A$5,ROW()-3,COLUMN()-2,,)</f>
        <v>197951.66</v>
      </c>
      <c r="H27" s="24">
        <v>202444.69656381934</v>
      </c>
      <c r="I27" s="9">
        <f t="shared" ca="1" si="4"/>
        <v>-2.2193896111291522</v>
      </c>
      <c r="K27" s="4">
        <f t="shared" ca="1" si="5"/>
        <v>5.2009686818980994</v>
      </c>
      <c r="L27" s="4">
        <f t="shared" ca="1" si="6"/>
        <v>-8.0745767913059652E-4</v>
      </c>
      <c r="M27" s="4">
        <f t="shared" ca="1" si="7"/>
        <v>0.21097423217746325</v>
      </c>
      <c r="N27" s="4">
        <f t="shared" ca="1" si="8"/>
        <v>0.11426458376311288</v>
      </c>
      <c r="O27" s="4">
        <f t="shared" ca="1" si="9"/>
        <v>-2.7802385992773626</v>
      </c>
      <c r="P27" s="4">
        <f t="shared" ca="1" si="10"/>
        <v>-0.27944693767525397</v>
      </c>
      <c r="Q27" s="6">
        <f t="shared" si="11"/>
        <v>0.76226705634310221</v>
      </c>
      <c r="S27" s="4">
        <f t="shared" ca="1" si="0"/>
        <v>5.8209916368987109</v>
      </c>
      <c r="T27" s="4">
        <f t="shared" ca="1" si="1"/>
        <v>21.235501218464247</v>
      </c>
      <c r="U27" s="4">
        <f t="shared" ca="1" si="2"/>
        <v>59.704970318451842</v>
      </c>
      <c r="V27" s="4">
        <f t="shared" ca="1" si="12"/>
        <v>13.238536826185188</v>
      </c>
      <c r="X27" s="25">
        <f t="shared" ca="1" si="15"/>
        <v>0.35084755052893829</v>
      </c>
      <c r="Y27" s="25">
        <f t="shared" ca="1" si="16"/>
        <v>-0.17276155911328239</v>
      </c>
      <c r="Z27" s="25">
        <f t="shared" ca="1" si="17"/>
        <v>1.5477399988599818</v>
      </c>
      <c r="AA27" s="25">
        <f t="shared" ref="AA27:AA42" ca="1" si="28">100*(SUM(E24:E27)/SUM(E20:E23)-1)</f>
        <v>1.6705391558603511</v>
      </c>
      <c r="AB27" s="25">
        <f t="shared" ca="1" si="18"/>
        <v>1.5243350561489288</v>
      </c>
      <c r="AC27" s="25">
        <f t="shared" si="19"/>
        <v>2.9331214524666027</v>
      </c>
      <c r="AE27" s="25">
        <f t="shared" ca="1" si="20"/>
        <v>5.705268747793335</v>
      </c>
      <c r="AF27" s="25">
        <f t="shared" ca="1" si="21"/>
        <v>-0.67454982177203027</v>
      </c>
      <c r="AG27" s="25">
        <f t="shared" ca="1" si="22"/>
        <v>2.270437837160677</v>
      </c>
      <c r="AH27" s="25">
        <f t="shared" ca="1" si="23"/>
        <v>1.6705391558603511</v>
      </c>
      <c r="AI27" s="25">
        <f t="shared" ca="1" si="24"/>
        <v>1.5243350561489288</v>
      </c>
      <c r="AJ27" s="25">
        <f t="shared" si="25"/>
        <v>2.9331214524666027</v>
      </c>
    </row>
    <row r="28" spans="1:36" x14ac:dyDescent="0.15">
      <c r="A28" s="8">
        <f t="shared" si="13"/>
        <v>37346</v>
      </c>
      <c r="B28" s="5" cm="1">
        <f t="array" aca="1" ref="B28" ca="1">OFFSET('Input IBGE'!$A$5,ROW()-3,COLUMN()-1,,)</f>
        <v>11208.26</v>
      </c>
      <c r="C28" s="5" cm="1">
        <f t="array" aca="1" ref="C28" ca="1">OFFSET('Input IBGE'!$A$5,ROW()-3,COLUMN()-1,,)</f>
        <v>43845.87</v>
      </c>
      <c r="D28" s="5" cm="1">
        <f t="array" aca="1" ref="D28" ca="1">OFFSET('Input IBGE'!$A$5,ROW()-3,COLUMN()-1,,)</f>
        <v>120478.68</v>
      </c>
      <c r="E28" s="5" cm="1">
        <f t="array" aca="1" ref="E28" ca="1">OFFSET('Input IBGE'!$A$5,ROW()-3,COLUMN()-1,,)</f>
        <v>175511.69</v>
      </c>
      <c r="F28" s="24">
        <f t="shared" ca="1" si="3"/>
        <v>27009.790000000008</v>
      </c>
      <c r="G28" s="5" cm="1">
        <f t="array" aca="1" ref="G28" ca="1">OFFSET('Input IBGE'!$A$5,ROW()-3,COLUMN()-2,,)</f>
        <v>202521.48</v>
      </c>
      <c r="H28" s="24">
        <v>203976.19171006972</v>
      </c>
      <c r="I28" s="9">
        <f t="shared" ca="1" si="4"/>
        <v>-0.7131772085133492</v>
      </c>
      <c r="K28" s="4">
        <f t="shared" ca="1" si="5"/>
        <v>-2.8935457935374775</v>
      </c>
      <c r="L28" s="4">
        <f t="shared" ca="1" si="6"/>
        <v>4.1293244160787168</v>
      </c>
      <c r="M28" s="4">
        <f t="shared" ca="1" si="7"/>
        <v>1.7669101705433787</v>
      </c>
      <c r="N28" s="4">
        <f t="shared" ca="1" si="8"/>
        <v>2.2191195495576244</v>
      </c>
      <c r="O28" s="4">
        <f t="shared" ca="1" si="9"/>
        <v>2.8935365518702127</v>
      </c>
      <c r="P28" s="4">
        <f t="shared" ca="1" si="10"/>
        <v>2.3085535125090706</v>
      </c>
      <c r="Q28" s="6">
        <f t="shared" si="11"/>
        <v>0.75650050223350362</v>
      </c>
      <c r="S28" s="4">
        <f t="shared" ca="1" si="0"/>
        <v>5.533779066724728</v>
      </c>
      <c r="T28" s="4">
        <f t="shared" ca="1" si="1"/>
        <v>21.647727441042033</v>
      </c>
      <c r="U28" s="4">
        <f t="shared" ca="1" si="2"/>
        <v>59.483130956154397</v>
      </c>
      <c r="V28" s="4">
        <f t="shared" ca="1" si="12"/>
        <v>13.335362536078833</v>
      </c>
      <c r="W28" s="2">
        <f t="shared" ref="W28" si="29">YEAR(A28)</f>
        <v>2002</v>
      </c>
      <c r="X28" s="25">
        <f t="shared" ca="1" si="15"/>
        <v>0.38429138911616567</v>
      </c>
      <c r="Y28" s="25">
        <f t="shared" ca="1" si="16"/>
        <v>-0.47480573987109498</v>
      </c>
      <c r="Z28" s="25">
        <f t="shared" ca="1" si="17"/>
        <v>1.5094782276574508</v>
      </c>
      <c r="AA28" s="25">
        <f t="shared" ca="1" si="28"/>
        <v>1.2365091870944589</v>
      </c>
      <c r="AB28" s="25">
        <f t="shared" ca="1" si="18"/>
        <v>0.72724277876081711</v>
      </c>
      <c r="AC28" s="25">
        <f t="shared" si="19"/>
        <v>2.9644408621456897</v>
      </c>
      <c r="AE28" s="25">
        <f t="shared" ca="1" si="20"/>
        <v>6.2687310060187906</v>
      </c>
      <c r="AF28" s="25">
        <f t="shared" ca="1" si="21"/>
        <v>-1.8535308115399163</v>
      </c>
      <c r="AG28" s="25">
        <f t="shared" ca="1" si="22"/>
        <v>2.216483861322649</v>
      </c>
      <c r="AH28" s="25">
        <f t="shared" ca="1" si="23"/>
        <v>1.2365091870944589</v>
      </c>
      <c r="AI28" s="25">
        <f t="shared" ca="1" si="24"/>
        <v>0.72724277876081711</v>
      </c>
      <c r="AJ28" s="25">
        <f t="shared" si="25"/>
        <v>2.9644408621456897</v>
      </c>
    </row>
    <row r="29" spans="1:36" x14ac:dyDescent="0.15">
      <c r="A29" s="8">
        <f t="shared" si="13"/>
        <v>37437</v>
      </c>
      <c r="B29" s="5" cm="1">
        <f t="array" aca="1" ref="B29" ca="1">OFFSET('Input IBGE'!$A$5,ROW()-3,COLUMN()-1,,)</f>
        <v>11474.24</v>
      </c>
      <c r="C29" s="5" cm="1">
        <f t="array" aca="1" ref="C29" ca="1">OFFSET('Input IBGE'!$A$5,ROW()-3,COLUMN()-1,,)</f>
        <v>44183.88</v>
      </c>
      <c r="D29" s="5" cm="1">
        <f t="array" aca="1" ref="D29" ca="1">OFFSET('Input IBGE'!$A$5,ROW()-3,COLUMN()-1,,)</f>
        <v>120741</v>
      </c>
      <c r="E29" s="5" cm="1">
        <f t="array" aca="1" ref="E29" ca="1">OFFSET('Input IBGE'!$A$5,ROW()-3,COLUMN()-1,,)</f>
        <v>176661.5</v>
      </c>
      <c r="F29" s="24">
        <f t="shared" ca="1" si="3"/>
        <v>26985.850000000006</v>
      </c>
      <c r="G29" s="5" cm="1">
        <f t="array" aca="1" ref="G29" ca="1">OFFSET('Input IBGE'!$A$5,ROW()-3,COLUMN()-2,,)</f>
        <v>203647.35</v>
      </c>
      <c r="H29" s="24">
        <v>205507.68685632007</v>
      </c>
      <c r="I29" s="9">
        <f t="shared" ca="1" si="4"/>
        <v>-0.90523954834872411</v>
      </c>
      <c r="K29" s="4">
        <f t="shared" ca="1" si="5"/>
        <v>2.3730712884961536</v>
      </c>
      <c r="L29" s="4">
        <f t="shared" ca="1" si="6"/>
        <v>0.77090499059544459</v>
      </c>
      <c r="M29" s="4">
        <f t="shared" ca="1" si="7"/>
        <v>0.21773146916947983</v>
      </c>
      <c r="N29" s="4">
        <f t="shared" ca="1" si="8"/>
        <v>0.65511875590735791</v>
      </c>
      <c r="O29" s="4">
        <f t="shared" ca="1" si="9"/>
        <v>-8.8634528443209959E-2</v>
      </c>
      <c r="P29" s="4">
        <f t="shared" ca="1" si="10"/>
        <v>0.55592621582658541</v>
      </c>
      <c r="Q29" s="6">
        <f t="shared" si="11"/>
        <v>0.75082054106943019</v>
      </c>
      <c r="S29" s="4">
        <f t="shared" ca="1" si="0"/>
        <v>5.641636154333332</v>
      </c>
      <c r="T29" s="4">
        <f t="shared" ca="1" si="1"/>
        <v>21.724260155507068</v>
      </c>
      <c r="U29" s="4">
        <f t="shared" ca="1" si="2"/>
        <v>59.365743692859908</v>
      </c>
      <c r="V29" s="4">
        <f t="shared" ca="1" si="12"/>
        <v>13.268359997299706</v>
      </c>
      <c r="X29" s="25">
        <f t="shared" ca="1" si="15"/>
        <v>0.44504842635470337</v>
      </c>
      <c r="Y29" s="25">
        <f t="shared" ca="1" si="16"/>
        <v>-0.41739578617000789</v>
      </c>
      <c r="Z29" s="25">
        <f t="shared" ca="1" si="17"/>
        <v>1.3869499117481221</v>
      </c>
      <c r="AA29" s="25">
        <f t="shared" ca="1" si="28"/>
        <v>1.3017339787461335</v>
      </c>
      <c r="AB29" s="25">
        <f t="shared" ca="1" si="18"/>
        <v>0.67703730870012357</v>
      </c>
      <c r="AC29" s="25">
        <f t="shared" si="19"/>
        <v>2.9965803660106038</v>
      </c>
      <c r="AE29" s="25">
        <f t="shared" ca="1" si="20"/>
        <v>7.2494372509274596</v>
      </c>
      <c r="AF29" s="25">
        <f t="shared" ca="1" si="21"/>
        <v>-1.6362272438155023</v>
      </c>
      <c r="AG29" s="25">
        <f t="shared" ca="1" si="22"/>
        <v>2.0333533821598637</v>
      </c>
      <c r="AH29" s="25">
        <f t="shared" ca="1" si="23"/>
        <v>1.3017339787461335</v>
      </c>
      <c r="AI29" s="25">
        <f t="shared" ca="1" si="24"/>
        <v>0.67703730870012357</v>
      </c>
      <c r="AJ29" s="25">
        <f t="shared" si="25"/>
        <v>2.9965803660106038</v>
      </c>
    </row>
    <row r="30" spans="1:36" x14ac:dyDescent="0.15">
      <c r="A30" s="8">
        <f t="shared" si="13"/>
        <v>37529</v>
      </c>
      <c r="B30" s="5" cm="1">
        <f t="array" aca="1" ref="B30" ca="1">OFFSET('Input IBGE'!$A$5,ROW()-3,COLUMN()-1,,)</f>
        <v>12279.7</v>
      </c>
      <c r="C30" s="5" cm="1">
        <f t="array" aca="1" ref="C30" ca="1">OFFSET('Input IBGE'!$A$5,ROW()-3,COLUMN()-1,,)</f>
        <v>44573.82</v>
      </c>
      <c r="D30" s="5" cm="1">
        <f t="array" aca="1" ref="D30" ca="1">OFFSET('Input IBGE'!$A$5,ROW()-3,COLUMN()-1,,)</f>
        <v>122070.44</v>
      </c>
      <c r="E30" s="5" cm="1">
        <f t="array" aca="1" ref="E30" ca="1">OFFSET('Input IBGE'!$A$5,ROW()-3,COLUMN()-1,,)</f>
        <v>178765.28</v>
      </c>
      <c r="F30" s="24">
        <f t="shared" ca="1" si="3"/>
        <v>27403.850000000006</v>
      </c>
      <c r="G30" s="5" cm="1">
        <f t="array" aca="1" ref="G30" ca="1">OFFSET('Input IBGE'!$A$5,ROW()-3,COLUMN()-2,,)</f>
        <v>206169.13</v>
      </c>
      <c r="H30" s="24">
        <v>207101.31146232458</v>
      </c>
      <c r="I30" s="9">
        <f t="shared" ca="1" si="4"/>
        <v>-0.45010891323793434</v>
      </c>
      <c r="K30" s="4">
        <f t="shared" ca="1" si="5"/>
        <v>7.0197241821680745</v>
      </c>
      <c r="L30" s="4">
        <f t="shared" ca="1" si="6"/>
        <v>0.88253906175737029</v>
      </c>
      <c r="M30" s="4">
        <f t="shared" ca="1" si="7"/>
        <v>1.1010675743947873</v>
      </c>
      <c r="N30" s="4">
        <f t="shared" ca="1" si="8"/>
        <v>1.1908536947778714</v>
      </c>
      <c r="O30" s="4">
        <f t="shared" ca="1" si="9"/>
        <v>1.5489599178828861</v>
      </c>
      <c r="P30" s="4">
        <f t="shared" ca="1" si="10"/>
        <v>1.2383072993584321</v>
      </c>
      <c r="Q30" s="6">
        <f t="shared" si="11"/>
        <v>0.77545741980866723</v>
      </c>
      <c r="S30" s="4">
        <f t="shared" ca="1" si="0"/>
        <v>5.9515486545415275</v>
      </c>
      <c r="T30" s="4">
        <f t="shared" ca="1" si="1"/>
        <v>21.60339897951711</v>
      </c>
      <c r="U30" s="4">
        <f t="shared" ca="1" si="2"/>
        <v>59.163347878310738</v>
      </c>
      <c r="V30" s="4">
        <f t="shared" ca="1" si="12"/>
        <v>13.281704487630632</v>
      </c>
      <c r="X30" s="25">
        <f t="shared" ca="1" si="15"/>
        <v>0.53963012232748009</v>
      </c>
      <c r="Y30" s="25">
        <f t="shared" ca="1" si="16"/>
        <v>0.11751003614667169</v>
      </c>
      <c r="Z30" s="25">
        <f t="shared" ca="1" si="17"/>
        <v>1.6435401182624083</v>
      </c>
      <c r="AA30" s="25">
        <f t="shared" ca="1" si="28"/>
        <v>2.1340887745137538</v>
      </c>
      <c r="AB30" s="25">
        <f t="shared" ca="1" si="18"/>
        <v>1.4931521118136004</v>
      </c>
      <c r="AC30" s="25">
        <f t="shared" si="19"/>
        <v>3.0297758086441418</v>
      </c>
      <c r="AE30" s="25">
        <f t="shared" ca="1" si="20"/>
        <v>8.6755214349594656</v>
      </c>
      <c r="AF30" s="25">
        <f t="shared" ca="1" si="21"/>
        <v>0.46487027082107168</v>
      </c>
      <c r="AG30" s="25">
        <f t="shared" ca="1" si="22"/>
        <v>2.4038239332114131</v>
      </c>
      <c r="AH30" s="25">
        <f t="shared" ca="1" si="23"/>
        <v>2.1340887745137538</v>
      </c>
      <c r="AI30" s="25">
        <f t="shared" ca="1" si="24"/>
        <v>1.4931521118136004</v>
      </c>
      <c r="AJ30" s="25">
        <f t="shared" si="25"/>
        <v>3.0297758086441418</v>
      </c>
    </row>
    <row r="31" spans="1:36" x14ac:dyDescent="0.15">
      <c r="A31" s="8">
        <f t="shared" si="13"/>
        <v>37621</v>
      </c>
      <c r="B31" s="5" cm="1">
        <f t="array" aca="1" ref="B31" ca="1">OFFSET('Input IBGE'!$A$5,ROW()-3,COLUMN()-1,,)</f>
        <v>12628.74</v>
      </c>
      <c r="C31" s="5" cm="1">
        <f t="array" aca="1" ref="C31" ca="1">OFFSET('Input IBGE'!$A$5,ROW()-3,COLUMN()-1,,)</f>
        <v>45921.06</v>
      </c>
      <c r="D31" s="5" cm="1">
        <f t="array" aca="1" ref="D31" ca="1">OFFSET('Input IBGE'!$A$5,ROW()-3,COLUMN()-1,,)</f>
        <v>122807.74</v>
      </c>
      <c r="E31" s="5" cm="1">
        <f t="array" aca="1" ref="E31" ca="1">OFFSET('Input IBGE'!$A$5,ROW()-3,COLUMN()-1,,)</f>
        <v>180931.45</v>
      </c>
      <c r="F31" s="24">
        <f t="shared" ca="1" si="3"/>
        <v>27318.319999999978</v>
      </c>
      <c r="G31" s="5" cm="1">
        <f t="array" aca="1" ref="G31" ca="1">OFFSET('Input IBGE'!$A$5,ROW()-3,COLUMN()-2,,)</f>
        <v>208249.77</v>
      </c>
      <c r="H31" s="24">
        <v>208757.06552808324</v>
      </c>
      <c r="I31" s="9">
        <f t="shared" ca="1" si="4"/>
        <v>-0.24300759679677375</v>
      </c>
      <c r="K31" s="4">
        <f t="shared" ca="1" si="5"/>
        <v>2.8424147169719083</v>
      </c>
      <c r="L31" s="4">
        <f t="shared" ca="1" si="6"/>
        <v>3.0224916778503585</v>
      </c>
      <c r="M31" s="4">
        <f t="shared" ca="1" si="7"/>
        <v>0.60399552913874555</v>
      </c>
      <c r="N31" s="4">
        <f t="shared" ca="1" si="8"/>
        <v>1.2117397740769364</v>
      </c>
      <c r="O31" s="4">
        <f t="shared" ca="1" si="9"/>
        <v>-0.31210942987948131</v>
      </c>
      <c r="P31" s="4">
        <f t="shared" ca="1" si="10"/>
        <v>1.0091908521901338</v>
      </c>
      <c r="Q31" s="6">
        <f t="shared" si="11"/>
        <v>0.79948989896179157</v>
      </c>
      <c r="S31" s="4">
        <f t="shared" ca="1" si="0"/>
        <v>6.0518451918683835</v>
      </c>
      <c r="T31" s="4">
        <f t="shared" ca="1" si="1"/>
        <v>22.005928237219198</v>
      </c>
      <c r="U31" s="4">
        <f t="shared" ca="1" si="2"/>
        <v>58.850956694272163</v>
      </c>
      <c r="V31" s="4">
        <f t="shared" ca="1" si="12"/>
        <v>13.091269876640249</v>
      </c>
      <c r="X31" s="25">
        <f t="shared" ca="1" si="15"/>
        <v>0.5295135351878677</v>
      </c>
      <c r="Y31" s="25">
        <f t="shared" ca="1" si="16"/>
        <v>0.94946722864733535</v>
      </c>
      <c r="Z31" s="25">
        <f t="shared" ca="1" si="17"/>
        <v>2.1415636688893058</v>
      </c>
      <c r="AA31" s="25">
        <f t="shared" ca="1" si="28"/>
        <v>3.5562521794246127</v>
      </c>
      <c r="AB31" s="25">
        <f t="shared" ca="1" si="18"/>
        <v>3.0200879495365207</v>
      </c>
      <c r="AC31" s="25">
        <f t="shared" si="19"/>
        <v>3.064254476917494</v>
      </c>
      <c r="AE31" s="25">
        <f t="shared" ca="1" si="20"/>
        <v>8.2819616599781209</v>
      </c>
      <c r="AF31" s="25">
        <f t="shared" ca="1" si="21"/>
        <v>3.7947352456953354</v>
      </c>
      <c r="AG31" s="25">
        <f t="shared" ca="1" si="22"/>
        <v>3.1231123757295753</v>
      </c>
      <c r="AH31" s="25">
        <f t="shared" ca="1" si="23"/>
        <v>3.5562521794246127</v>
      </c>
      <c r="AI31" s="25">
        <f t="shared" ca="1" si="24"/>
        <v>3.0200879495365207</v>
      </c>
      <c r="AJ31" s="25">
        <f t="shared" si="25"/>
        <v>3.064254476917494</v>
      </c>
    </row>
    <row r="32" spans="1:36" x14ac:dyDescent="0.15">
      <c r="A32" s="8">
        <f t="shared" si="13"/>
        <v>37711</v>
      </c>
      <c r="B32" s="5" cm="1">
        <f t="array" aca="1" ref="B32" ca="1">OFFSET('Input IBGE'!$A$5,ROW()-3,COLUMN()-1,,)</f>
        <v>12920.89</v>
      </c>
      <c r="C32" s="5" cm="1">
        <f t="array" aca="1" ref="C32" ca="1">OFFSET('Input IBGE'!$A$5,ROW()-3,COLUMN()-1,,)</f>
        <v>43535.8</v>
      </c>
      <c r="D32" s="5" cm="1">
        <f t="array" aca="1" ref="D32" ca="1">OFFSET('Input IBGE'!$A$5,ROW()-3,COLUMN()-1,,)</f>
        <v>122582.75</v>
      </c>
      <c r="E32" s="5" cm="1">
        <f t="array" aca="1" ref="E32" ca="1">OFFSET('Input IBGE'!$A$5,ROW()-3,COLUMN()-1,,)</f>
        <v>179747.66</v>
      </c>
      <c r="F32" s="24">
        <f t="shared" ca="1" si="3"/>
        <v>27625.790000000008</v>
      </c>
      <c r="G32" s="5" cm="1">
        <f t="array" aca="1" ref="G32" ca="1">OFFSET('Input IBGE'!$A$5,ROW()-3,COLUMN()-2,,)</f>
        <v>207373.45</v>
      </c>
      <c r="H32" s="24">
        <v>210412.81959384197</v>
      </c>
      <c r="I32" s="9">
        <f t="shared" ca="1" si="4"/>
        <v>-1.4444792858670952</v>
      </c>
      <c r="K32" s="4">
        <f t="shared" ca="1" si="5"/>
        <v>2.3133740974950801</v>
      </c>
      <c r="L32" s="4">
        <f t="shared" ca="1" si="6"/>
        <v>-5.1942616307201872</v>
      </c>
      <c r="M32" s="4">
        <f t="shared" ca="1" si="7"/>
        <v>-0.18320506508792134</v>
      </c>
      <c r="N32" s="4">
        <f t="shared" ca="1" si="8"/>
        <v>-0.65427541756837293</v>
      </c>
      <c r="O32" s="4">
        <f t="shared" ca="1" si="9"/>
        <v>1.1255084500072954</v>
      </c>
      <c r="P32" s="4">
        <f t="shared" ca="1" si="10"/>
        <v>-0.42080238552003602</v>
      </c>
      <c r="Q32" s="6">
        <f t="shared" si="11"/>
        <v>0.79314875478357916</v>
      </c>
      <c r="S32" s="4">
        <f t="shared" ca="1" si="0"/>
        <v>6.2520870104758304</v>
      </c>
      <c r="T32" s="4">
        <f t="shared" ca="1" si="1"/>
        <v>21.065856119096573</v>
      </c>
      <c r="U32" s="4">
        <f t="shared" ca="1" si="2"/>
        <v>59.314646203427635</v>
      </c>
      <c r="V32" s="4">
        <f t="shared" ca="1" si="12"/>
        <v>13.367410666999962</v>
      </c>
      <c r="W32" s="2">
        <f t="shared" ref="W32" si="30">YEAR(A32)</f>
        <v>2003</v>
      </c>
      <c r="X32" s="25">
        <f t="shared" ca="1" si="15"/>
        <v>0.70245864870018815</v>
      </c>
      <c r="Y32" s="25">
        <f t="shared" ca="1" si="16"/>
        <v>0.96497259851315886</v>
      </c>
      <c r="Z32" s="25">
        <f t="shared" ca="1" si="17"/>
        <v>1.9133275314097997</v>
      </c>
      <c r="AA32" s="25">
        <f t="shared" ca="1" si="28"/>
        <v>3.6676385228787467</v>
      </c>
      <c r="AB32" s="25">
        <f t="shared" ca="1" si="18"/>
        <v>3.3712289928651273</v>
      </c>
      <c r="AC32" s="25">
        <f t="shared" si="19"/>
        <v>3.0999747100977748</v>
      </c>
      <c r="AE32" s="25">
        <f t="shared" ca="1" si="20"/>
        <v>10.916198194019099</v>
      </c>
      <c r="AF32" s="25">
        <f t="shared" ca="1" si="21"/>
        <v>3.8856288189932586</v>
      </c>
      <c r="AG32" s="25">
        <f t="shared" ca="1" si="22"/>
        <v>2.7825518444552833</v>
      </c>
      <c r="AH32" s="25">
        <f t="shared" ca="1" si="23"/>
        <v>3.6676385228787467</v>
      </c>
      <c r="AI32" s="25">
        <f t="shared" ca="1" si="24"/>
        <v>3.3712289928651273</v>
      </c>
      <c r="AJ32" s="25">
        <f t="shared" si="25"/>
        <v>3.0999747100977748</v>
      </c>
    </row>
    <row r="33" spans="1:36" x14ac:dyDescent="0.15">
      <c r="A33" s="8">
        <f t="shared" si="13"/>
        <v>37802</v>
      </c>
      <c r="B33" s="5" cm="1">
        <f t="array" aca="1" ref="B33" ca="1">OFFSET('Input IBGE'!$A$5,ROW()-3,COLUMN()-1,,)</f>
        <v>12915.69</v>
      </c>
      <c r="C33" s="5" cm="1">
        <f t="array" aca="1" ref="C33" ca="1">OFFSET('Input IBGE'!$A$5,ROW()-3,COLUMN()-1,,)</f>
        <v>43866.95</v>
      </c>
      <c r="D33" s="5" cm="1">
        <f t="array" aca="1" ref="D33" ca="1">OFFSET('Input IBGE'!$A$5,ROW()-3,COLUMN()-1,,)</f>
        <v>121621.79</v>
      </c>
      <c r="E33" s="5" cm="1">
        <f t="array" aca="1" ref="E33" ca="1">OFFSET('Input IBGE'!$A$5,ROW()-3,COLUMN()-1,,)</f>
        <v>178422.43</v>
      </c>
      <c r="F33" s="24">
        <f t="shared" ca="1" si="3"/>
        <v>27147.97</v>
      </c>
      <c r="G33" s="5" cm="1">
        <f t="array" aca="1" ref="G33" ca="1">OFFSET('Input IBGE'!$A$5,ROW()-3,COLUMN()-2,,)</f>
        <v>205570.4</v>
      </c>
      <c r="H33" s="24">
        <v>212068.57365960063</v>
      </c>
      <c r="I33" s="9">
        <f t="shared" ca="1" si="4"/>
        <v>-3.0641851111947949</v>
      </c>
      <c r="K33" s="4">
        <f t="shared" ca="1" si="5"/>
        <v>-4.0244905730169034E-2</v>
      </c>
      <c r="L33" s="4">
        <f t="shared" ca="1" si="6"/>
        <v>0.76063837117956723</v>
      </c>
      <c r="M33" s="4">
        <f t="shared" ca="1" si="7"/>
        <v>-0.78392759176965088</v>
      </c>
      <c r="N33" s="4">
        <f t="shared" ca="1" si="8"/>
        <v>-0.73727246296280136</v>
      </c>
      <c r="O33" s="4">
        <f t="shared" ca="1" si="9"/>
        <v>-1.7296156960579512</v>
      </c>
      <c r="P33" s="4">
        <f t="shared" ca="1" si="10"/>
        <v>-0.86947003099964171</v>
      </c>
      <c r="Q33" s="6">
        <f t="shared" si="11"/>
        <v>0.78690740847195961</v>
      </c>
      <c r="S33" s="4">
        <f t="shared" ca="1" si="0"/>
        <v>6.2834051074081358</v>
      </c>
      <c r="T33" s="4">
        <f t="shared" ca="1" si="1"/>
        <v>21.341005991659546</v>
      </c>
      <c r="U33" s="4">
        <f t="shared" ca="1" si="2"/>
        <v>59.168265610131535</v>
      </c>
      <c r="V33" s="4">
        <f t="shared" ca="1" si="12"/>
        <v>13.20732329080079</v>
      </c>
      <c r="X33" s="25">
        <f t="shared" ca="1" si="15"/>
        <v>0.79793341218517833</v>
      </c>
      <c r="Y33" s="25">
        <f t="shared" ca="1" si="16"/>
        <v>0.81297698375254257</v>
      </c>
      <c r="Z33" s="25">
        <f t="shared" ca="1" si="17"/>
        <v>1.6305471390552395</v>
      </c>
      <c r="AA33" s="25">
        <f t="shared" ca="1" si="28"/>
        <v>3.2337337014313183</v>
      </c>
      <c r="AB33" s="25">
        <f t="shared" ca="1" si="18"/>
        <v>3.0818654252130928</v>
      </c>
      <c r="AC33" s="25">
        <f t="shared" si="19"/>
        <v>3.1368950799213202</v>
      </c>
      <c r="AE33" s="25">
        <f t="shared" ca="1" si="20"/>
        <v>12.276809963636449</v>
      </c>
      <c r="AF33" s="25">
        <f t="shared" ca="1" si="21"/>
        <v>3.282127976911875</v>
      </c>
      <c r="AG33" s="25">
        <f t="shared" ca="1" si="22"/>
        <v>2.3733411154613249</v>
      </c>
      <c r="AH33" s="25">
        <f t="shared" ca="1" si="23"/>
        <v>3.2337337014313183</v>
      </c>
      <c r="AI33" s="25">
        <f t="shared" ca="1" si="24"/>
        <v>3.0818654252130928</v>
      </c>
      <c r="AJ33" s="25">
        <f t="shared" si="25"/>
        <v>3.1368950799213202</v>
      </c>
    </row>
    <row r="34" spans="1:36" x14ac:dyDescent="0.15">
      <c r="A34" s="8">
        <f t="shared" si="13"/>
        <v>37894</v>
      </c>
      <c r="B34" s="5" cm="1">
        <f t="array" aca="1" ref="B34" ca="1">OFFSET('Input IBGE'!$A$5,ROW()-3,COLUMN()-1,,)</f>
        <v>12543.53</v>
      </c>
      <c r="C34" s="5" cm="1">
        <f t="array" aca="1" ref="C34" ca="1">OFFSET('Input IBGE'!$A$5,ROW()-3,COLUMN()-1,,)</f>
        <v>45380.33</v>
      </c>
      <c r="D34" s="5" cm="1">
        <f t="array" aca="1" ref="D34" ca="1">OFFSET('Input IBGE'!$A$5,ROW()-3,COLUMN()-1,,)</f>
        <v>122781.83</v>
      </c>
      <c r="E34" s="5" cm="1">
        <f t="array" aca="1" ref="E34" ca="1">OFFSET('Input IBGE'!$A$5,ROW()-3,COLUMN()-1,,)</f>
        <v>180508.69</v>
      </c>
      <c r="F34" s="24">
        <f t="shared" ca="1" si="3"/>
        <v>27013.48000000001</v>
      </c>
      <c r="G34" s="5" cm="1">
        <f t="array" aca="1" ref="G34" ca="1">OFFSET('Input IBGE'!$A$5,ROW()-3,COLUMN()-2,,)</f>
        <v>207522.17</v>
      </c>
      <c r="H34" s="24">
        <v>213843.51156263973</v>
      </c>
      <c r="I34" s="9">
        <f t="shared" ca="1" si="4"/>
        <v>-2.9560595579670168</v>
      </c>
      <c r="K34" s="4">
        <f t="shared" ca="1" si="5"/>
        <v>-2.8814565849753282</v>
      </c>
      <c r="L34" s="4">
        <f t="shared" ca="1" si="6"/>
        <v>3.4499321242986047</v>
      </c>
      <c r="M34" s="4">
        <f t="shared" ca="1" si="7"/>
        <v>0.95380934617061985</v>
      </c>
      <c r="N34" s="4">
        <f t="shared" ca="1" si="8"/>
        <v>1.1692812389115126</v>
      </c>
      <c r="O34" s="4">
        <f t="shared" ca="1" si="9"/>
        <v>-0.49539615669234038</v>
      </c>
      <c r="P34" s="4">
        <f t="shared" ca="1" si="10"/>
        <v>0.94944116468129724</v>
      </c>
      <c r="Q34" s="6">
        <f t="shared" si="11"/>
        <v>0.8369641349538659</v>
      </c>
      <c r="S34" s="4">
        <f t="shared" ca="1" si="0"/>
        <v>6.0386963803100109</v>
      </c>
      <c r="T34" s="4">
        <f t="shared" ca="1" si="1"/>
        <v>21.846962897069151</v>
      </c>
      <c r="U34" s="4">
        <f t="shared" ca="1" si="2"/>
        <v>59.109532355631877</v>
      </c>
      <c r="V34" s="4">
        <f t="shared" ca="1" si="12"/>
        <v>13.004808366988954</v>
      </c>
      <c r="X34" s="25">
        <f t="shared" ca="1" si="15"/>
        <v>0.64106948666023333</v>
      </c>
      <c r="Y34" s="25">
        <f t="shared" ca="1" si="16"/>
        <v>0.56834802578105592</v>
      </c>
      <c r="Z34" s="25">
        <f t="shared" ca="1" si="17"/>
        <v>1.1552290156024361</v>
      </c>
      <c r="AA34" s="25">
        <f t="shared" ca="1" si="28"/>
        <v>2.4152243560321418</v>
      </c>
      <c r="AB34" s="25">
        <f t="shared" ca="1" si="18"/>
        <v>2.2740227130146451</v>
      </c>
      <c r="AC34" s="25">
        <f t="shared" si="19"/>
        <v>3.1808465329657531</v>
      </c>
      <c r="AE34" s="25">
        <f t="shared" ca="1" si="20"/>
        <v>9.685978371097459</v>
      </c>
      <c r="AF34" s="25">
        <f t="shared" ca="1" si="21"/>
        <v>2.285744376274601</v>
      </c>
      <c r="AG34" s="25">
        <f t="shared" ca="1" si="22"/>
        <v>1.6851748851372417</v>
      </c>
      <c r="AH34" s="25">
        <f t="shared" ca="1" si="23"/>
        <v>2.4152243560321418</v>
      </c>
      <c r="AI34" s="25">
        <f t="shared" ca="1" si="24"/>
        <v>2.2740227130146451</v>
      </c>
      <c r="AJ34" s="25">
        <f t="shared" si="25"/>
        <v>3.1808465329657531</v>
      </c>
    </row>
    <row r="35" spans="1:36" x14ac:dyDescent="0.15">
      <c r="A35" s="8">
        <f t="shared" si="13"/>
        <v>37986</v>
      </c>
      <c r="B35" s="5" cm="1">
        <f t="array" aca="1" ref="B35" ca="1">OFFSET('Input IBGE'!$A$5,ROW()-3,COLUMN()-1,,)</f>
        <v>12759.96</v>
      </c>
      <c r="C35" s="5" cm="1">
        <f t="array" aca="1" ref="C35" ca="1">OFFSET('Input IBGE'!$A$5,ROW()-3,COLUMN()-1,,)</f>
        <v>45917.599999999999</v>
      </c>
      <c r="D35" s="5" cm="1">
        <f t="array" aca="1" ref="D35" ca="1">OFFSET('Input IBGE'!$A$5,ROW()-3,COLUMN()-1,,)</f>
        <v>124017.62</v>
      </c>
      <c r="E35" s="5" cm="1">
        <f t="array" aca="1" ref="E35" ca="1">OFFSET('Input IBGE'!$A$5,ROW()-3,COLUMN()-1,,)</f>
        <v>182070.03</v>
      </c>
      <c r="F35" s="24">
        <f t="shared" ca="1" si="3"/>
        <v>27599.040000000008</v>
      </c>
      <c r="G35" s="5" cm="1">
        <f t="array" aca="1" ref="G35" ca="1">OFFSET('Input IBGE'!$A$5,ROW()-3,COLUMN()-2,,)</f>
        <v>209669.07</v>
      </c>
      <c r="H35" s="24">
        <v>215737.63330295926</v>
      </c>
      <c r="I35" s="9">
        <f t="shared" ca="1" si="4"/>
        <v>-2.8129368112781772</v>
      </c>
      <c r="K35" s="4">
        <f t="shared" ca="1" si="5"/>
        <v>1.7254313578394465</v>
      </c>
      <c r="L35" s="4">
        <f t="shared" ca="1" si="6"/>
        <v>1.1839270450435091</v>
      </c>
      <c r="M35" s="4">
        <f t="shared" ca="1" si="7"/>
        <v>1.0064925730460139</v>
      </c>
      <c r="N35" s="4">
        <f t="shared" ca="1" si="8"/>
        <v>0.864966667255751</v>
      </c>
      <c r="O35" s="4">
        <f t="shared" ca="1" si="9"/>
        <v>2.1676585171551244</v>
      </c>
      <c r="P35" s="4">
        <f t="shared" ca="1" si="10"/>
        <v>1.0345400686586848</v>
      </c>
      <c r="Q35" s="6">
        <f t="shared" si="11"/>
        <v>0.88575132650901001</v>
      </c>
      <c r="S35" s="4">
        <f t="shared" ca="1" si="0"/>
        <v>6.0676703334975164</v>
      </c>
      <c r="T35" s="4">
        <f t="shared" ca="1" si="1"/>
        <v>21.834932029991126</v>
      </c>
      <c r="U35" s="4">
        <f t="shared" ca="1" si="2"/>
        <v>58.973385003163671</v>
      </c>
      <c r="V35" s="4">
        <f t="shared" ca="1" si="12"/>
        <v>13.124012633347704</v>
      </c>
      <c r="X35" s="25">
        <f t="shared" ca="1" si="15"/>
        <v>0.49856440064218172</v>
      </c>
      <c r="Y35" s="25">
        <f t="shared" ca="1" si="16"/>
        <v>2.4730641800403109E-2</v>
      </c>
      <c r="Z35" s="25">
        <f t="shared" ca="1" si="17"/>
        <v>0.68918911477534661</v>
      </c>
      <c r="AA35" s="25">
        <f t="shared" ca="1" si="28"/>
        <v>1.2472629831023152</v>
      </c>
      <c r="AB35" s="25">
        <f t="shared" ca="1" si="18"/>
        <v>1.1634782791597464</v>
      </c>
      <c r="AC35" s="25">
        <f t="shared" si="19"/>
        <v>3.2374790436747736</v>
      </c>
      <c r="AE35" s="25">
        <f t="shared" ca="1" si="20"/>
        <v>7.4575749081652987</v>
      </c>
      <c r="AF35" s="25">
        <f t="shared" ca="1" si="21"/>
        <v>9.8613843927308764E-2</v>
      </c>
      <c r="AG35" s="25">
        <f t="shared" ca="1" si="22"/>
        <v>1.0092885412003261</v>
      </c>
      <c r="AH35" s="25">
        <f t="shared" ca="1" si="23"/>
        <v>1.2472629831023152</v>
      </c>
      <c r="AI35" s="25">
        <f t="shared" ca="1" si="24"/>
        <v>1.1634782791597464</v>
      </c>
      <c r="AJ35" s="25">
        <f t="shared" si="25"/>
        <v>3.2374790436747736</v>
      </c>
    </row>
    <row r="36" spans="1:36" x14ac:dyDescent="0.15">
      <c r="A36" s="8">
        <f t="shared" si="13"/>
        <v>38077</v>
      </c>
      <c r="B36" s="5" cm="1">
        <f t="array" aca="1" ref="B36" ca="1">OFFSET('Input IBGE'!$A$5,ROW()-3,COLUMN()-1,,)</f>
        <v>12911.37</v>
      </c>
      <c r="C36" s="5" cm="1">
        <f t="array" aca="1" ref="C36" ca="1">OFFSET('Input IBGE'!$A$5,ROW()-3,COLUMN()-1,,)</f>
        <v>46669.93</v>
      </c>
      <c r="D36" s="5" cm="1">
        <f t="array" aca="1" ref="D36" ca="1">OFFSET('Input IBGE'!$A$5,ROW()-3,COLUMN()-1,,)</f>
        <v>125022.39</v>
      </c>
      <c r="E36" s="5" cm="1">
        <f t="array" aca="1" ref="E36" ca="1">OFFSET('Input IBGE'!$A$5,ROW()-3,COLUMN()-1,,)</f>
        <v>184703.47</v>
      </c>
      <c r="F36" s="24">
        <f t="shared" ca="1" si="3"/>
        <v>27923.170000000013</v>
      </c>
      <c r="G36" s="5" cm="1">
        <f t="array" aca="1" ref="G36" ca="1">OFFSET('Input IBGE'!$A$5,ROW()-3,COLUMN()-2,,)</f>
        <v>212626.64</v>
      </c>
      <c r="H36" s="24">
        <v>217631.7550432788</v>
      </c>
      <c r="I36" s="9">
        <f t="shared" ca="1" si="4"/>
        <v>-2.2998091626304507</v>
      </c>
      <c r="K36" s="4">
        <f t="shared" ca="1" si="5"/>
        <v>1.18660246583846</v>
      </c>
      <c r="L36" s="4">
        <f t="shared" ca="1" si="6"/>
        <v>1.6384349356238115</v>
      </c>
      <c r="M36" s="4">
        <f t="shared" ca="1" si="7"/>
        <v>0.81018326266864005</v>
      </c>
      <c r="N36" s="4">
        <f t="shared" ca="1" si="8"/>
        <v>1.446388513255048</v>
      </c>
      <c r="O36" s="4">
        <f t="shared" ca="1" si="9"/>
        <v>1.1744249075330337</v>
      </c>
      <c r="P36" s="4">
        <f t="shared" ca="1" si="10"/>
        <v>1.4105895542914304</v>
      </c>
      <c r="Q36" s="6">
        <f t="shared" si="11"/>
        <v>0.87797465436159072</v>
      </c>
      <c r="S36" s="4">
        <f t="shared" ref="S36:S67" ca="1" si="31">B36/$G36/(SUM($B36:$D36,$F36)/$G36)*100</f>
        <v>6.0751709219248804</v>
      </c>
      <c r="T36" s="4">
        <f t="shared" ref="T36:T67" ca="1" si="32">C36/$G36/(SUM($B36:$D36,$F36)/$G36)*100</f>
        <v>21.959544313598762</v>
      </c>
      <c r="U36" s="4">
        <f t="shared" ref="U36:U67" ca="1" si="33">D36/$G36/(SUM($B36:$D36,$F36)/$G36)*100</f>
        <v>58.826630196296122</v>
      </c>
      <c r="V36" s="4">
        <f t="shared" ca="1" si="12"/>
        <v>13.138654568180236</v>
      </c>
      <c r="W36" s="2">
        <f t="shared" ref="W36" si="34">YEAR(A36)</f>
        <v>2004</v>
      </c>
      <c r="X36" s="25">
        <f t="shared" ca="1" si="15"/>
        <v>0.25512707345557512</v>
      </c>
      <c r="Y36" s="25">
        <f t="shared" ca="1" si="16"/>
        <v>0.5055467425355199</v>
      </c>
      <c r="Z36" s="25">
        <f t="shared" ca="1" si="17"/>
        <v>0.73197275335914391</v>
      </c>
      <c r="AA36" s="25">
        <f t="shared" ca="1" si="28"/>
        <v>1.3404065144611454</v>
      </c>
      <c r="AB36" s="25">
        <f t="shared" ca="1" si="18"/>
        <v>1.2052461251863766</v>
      </c>
      <c r="AC36" s="25">
        <f t="shared" si="19"/>
        <v>3.3064785215689785</v>
      </c>
      <c r="AE36" s="25">
        <f t="shared" ca="1" si="20"/>
        <v>3.7055734503607107</v>
      </c>
      <c r="AF36" s="25">
        <f t="shared" ca="1" si="21"/>
        <v>2.031399679128354</v>
      </c>
      <c r="AG36" s="25">
        <f t="shared" ca="1" si="22"/>
        <v>1.073674575600303</v>
      </c>
      <c r="AH36" s="25">
        <f t="shared" ca="1" si="23"/>
        <v>1.3404065144611454</v>
      </c>
      <c r="AI36" s="25">
        <f t="shared" ca="1" si="24"/>
        <v>1.2052461251863766</v>
      </c>
      <c r="AJ36" s="25">
        <f t="shared" si="25"/>
        <v>3.3064785215689785</v>
      </c>
    </row>
    <row r="37" spans="1:36" x14ac:dyDescent="0.15">
      <c r="A37" s="8">
        <f t="shared" si="13"/>
        <v>38168</v>
      </c>
      <c r="B37" s="5" cm="1">
        <f t="array" aca="1" ref="B37" ca="1">OFFSET('Input IBGE'!$A$5,ROW()-3,COLUMN()-1,,)</f>
        <v>13134.44</v>
      </c>
      <c r="C37" s="5" cm="1">
        <f t="array" aca="1" ref="C37" ca="1">OFFSET('Input IBGE'!$A$5,ROW()-3,COLUMN()-1,,)</f>
        <v>47796.61</v>
      </c>
      <c r="D37" s="5" cm="1">
        <f t="array" aca="1" ref="D37" ca="1">OFFSET('Input IBGE'!$A$5,ROW()-3,COLUMN()-1,,)</f>
        <v>128201.8</v>
      </c>
      <c r="E37" s="5" cm="1">
        <f t="array" aca="1" ref="E37" ca="1">OFFSET('Input IBGE'!$A$5,ROW()-3,COLUMN()-1,,)</f>
        <v>189408.89</v>
      </c>
      <c r="F37" s="24">
        <f t="shared" ca="1" si="3"/>
        <v>29041.609999999986</v>
      </c>
      <c r="G37" s="5" cm="1">
        <f t="array" aca="1" ref="G37" ca="1">OFFSET('Input IBGE'!$A$5,ROW()-3,COLUMN()-2,,)</f>
        <v>218450.5</v>
      </c>
      <c r="H37" s="24">
        <v>219525.87678359833</v>
      </c>
      <c r="I37" s="9">
        <f t="shared" ca="1" si="4"/>
        <v>-0.48986333609244426</v>
      </c>
      <c r="K37" s="4">
        <f t="shared" ref="K37:K68" ca="1" si="35">100*(B37/B36-1)</f>
        <v>1.7277020176789781</v>
      </c>
      <c r="L37" s="4">
        <f t="shared" ref="L37:L68" ca="1" si="36">100*(C37/C36-1)</f>
        <v>2.4141454679704966</v>
      </c>
      <c r="M37" s="4">
        <f t="shared" ref="M37:M68" ca="1" si="37">100*(D37/D36-1)</f>
        <v>2.5430724848565234</v>
      </c>
      <c r="N37" s="4">
        <f t="shared" ref="N37:N68" ca="1" si="38">100*(E37/E36-1)</f>
        <v>2.5475536545144672</v>
      </c>
      <c r="O37" s="4">
        <f t="shared" ref="O37:O68" ca="1" si="39">100*(F37/F36-1)</f>
        <v>4.0054191554897756</v>
      </c>
      <c r="P37" s="4">
        <f t="shared" ref="P37:P68" ca="1" si="40">100*(G37/G36-1)</f>
        <v>2.7390076803170071</v>
      </c>
      <c r="Q37" s="6">
        <f t="shared" ref="Q37:Q68" si="41">100*(H37/H36-1)</f>
        <v>0.8703333481563158</v>
      </c>
      <c r="S37" s="4">
        <f t="shared" ca="1" si="31"/>
        <v>6.0201546963838029</v>
      </c>
      <c r="T37" s="4">
        <f t="shared" ca="1" si="32"/>
        <v>21.907518414391859</v>
      </c>
      <c r="U37" s="4">
        <f t="shared" ca="1" si="33"/>
        <v>58.761140052781613</v>
      </c>
      <c r="V37" s="4">
        <f t="shared" ca="1" si="12"/>
        <v>13.311186836442721</v>
      </c>
      <c r="X37" s="25">
        <f t="shared" ca="1" si="15"/>
        <v>8.4177173699154811E-2</v>
      </c>
      <c r="Y37" s="25">
        <f t="shared" ca="1" si="16"/>
        <v>1.0958634360618544</v>
      </c>
      <c r="Z37" s="25">
        <f t="shared" ca="1" si="17"/>
        <v>1.5240877130941981</v>
      </c>
      <c r="AA37" s="25">
        <f t="shared" ca="1" si="28"/>
        <v>2.6222496256338879</v>
      </c>
      <c r="AB37" s="25">
        <f t="shared" ca="1" si="18"/>
        <v>2.5267792150420076</v>
      </c>
      <c r="AC37" s="25">
        <f t="shared" si="19"/>
        <v>3.3875294309805959</v>
      </c>
      <c r="AE37" s="25">
        <f t="shared" ca="1" si="20"/>
        <v>1.1908163599107846</v>
      </c>
      <c r="AF37" s="25">
        <f t="shared" ca="1" si="21"/>
        <v>4.4221162474171072</v>
      </c>
      <c r="AG37" s="25">
        <f t="shared" ca="1" si="22"/>
        <v>2.2370285337417029</v>
      </c>
      <c r="AH37" s="25">
        <f t="shared" ca="1" si="23"/>
        <v>2.6222496256338879</v>
      </c>
      <c r="AI37" s="25">
        <f t="shared" ca="1" si="24"/>
        <v>2.5267792150420076</v>
      </c>
      <c r="AJ37" s="25">
        <f t="shared" si="25"/>
        <v>3.3875294309805959</v>
      </c>
    </row>
    <row r="38" spans="1:36" x14ac:dyDescent="0.15">
      <c r="A38" s="8">
        <f t="shared" si="13"/>
        <v>38260</v>
      </c>
      <c r="B38" s="5" cm="1">
        <f t="array" aca="1" ref="B38" ca="1">OFFSET('Input IBGE'!$A$5,ROW()-3,COLUMN()-1,,)</f>
        <v>13133.36</v>
      </c>
      <c r="C38" s="5" cm="1">
        <f t="array" aca="1" ref="C38" ca="1">OFFSET('Input IBGE'!$A$5,ROW()-3,COLUMN()-1,,)</f>
        <v>49532.03</v>
      </c>
      <c r="D38" s="5" cm="1">
        <f t="array" aca="1" ref="D38" ca="1">OFFSET('Input IBGE'!$A$5,ROW()-3,COLUMN()-1,,)</f>
        <v>129333.2</v>
      </c>
      <c r="E38" s="5" cm="1">
        <f t="array" aca="1" ref="E38" ca="1">OFFSET('Input IBGE'!$A$5,ROW()-3,COLUMN()-1,,)</f>
        <v>191803.61</v>
      </c>
      <c r="F38" s="24">
        <f t="shared" ca="1" si="3"/>
        <v>29386.680000000022</v>
      </c>
      <c r="G38" s="5" cm="1">
        <f t="array" aca="1" ref="G38" ca="1">OFFSET('Input IBGE'!$A$5,ROW()-3,COLUMN()-2,,)</f>
        <v>221190.29</v>
      </c>
      <c r="H38" s="24">
        <v>221495.73696953664</v>
      </c>
      <c r="I38" s="9">
        <f t="shared" ca="1" si="4"/>
        <v>-0.13790196313288039</v>
      </c>
      <c r="K38" s="4">
        <f t="shared" ca="1" si="35"/>
        <v>-8.2226573801413849E-3</v>
      </c>
      <c r="L38" s="4">
        <f t="shared" ca="1" si="36"/>
        <v>3.6308432752866659</v>
      </c>
      <c r="M38" s="4">
        <f t="shared" ca="1" si="37"/>
        <v>0.88251491008706218</v>
      </c>
      <c r="N38" s="4">
        <f t="shared" ca="1" si="38"/>
        <v>1.2643123561940417</v>
      </c>
      <c r="O38" s="4">
        <f t="shared" ca="1" si="39"/>
        <v>1.1881917014932686</v>
      </c>
      <c r="P38" s="4">
        <f t="shared" ca="1" si="40"/>
        <v>1.254192597407644</v>
      </c>
      <c r="Q38" s="6">
        <f t="shared" si="41"/>
        <v>0.89732482329640817</v>
      </c>
      <c r="S38" s="4">
        <f t="shared" ca="1" si="31"/>
        <v>5.9323549394230248</v>
      </c>
      <c r="T38" s="4">
        <f t="shared" ca="1" si="32"/>
        <v>22.373679152185691</v>
      </c>
      <c r="U38" s="4">
        <f t="shared" ca="1" si="33"/>
        <v>58.419966242559852</v>
      </c>
      <c r="V38" s="4">
        <f t="shared" ca="1" si="12"/>
        <v>13.273999665831434</v>
      </c>
      <c r="X38" s="25">
        <f t="shared" ca="1" si="15"/>
        <v>0.12927553850922993</v>
      </c>
      <c r="Y38" s="25">
        <f t="shared" ca="1" si="16"/>
        <v>1.5580698456718749</v>
      </c>
      <c r="Z38" s="25">
        <f t="shared" ca="1" si="17"/>
        <v>2.3319429463919739</v>
      </c>
      <c r="AA38" s="25">
        <f t="shared" ca="1" si="28"/>
        <v>3.9432138145117923</v>
      </c>
      <c r="AB38" s="25">
        <f t="shared" ca="1" si="18"/>
        <v>4.0086976018641973</v>
      </c>
      <c r="AC38" s="25">
        <f t="shared" si="19"/>
        <v>3.4681880318983893</v>
      </c>
      <c r="AE38" s="25">
        <f t="shared" ca="1" si="20"/>
        <v>1.8237619550333095</v>
      </c>
      <c r="AF38" s="25">
        <f t="shared" ca="1" si="21"/>
        <v>6.2740740085819979</v>
      </c>
      <c r="AG38" s="25">
        <f t="shared" ca="1" si="22"/>
        <v>3.426113066161629</v>
      </c>
      <c r="AH38" s="25">
        <f t="shared" ca="1" si="23"/>
        <v>3.9432138145117923</v>
      </c>
      <c r="AI38" s="25">
        <f t="shared" ca="1" si="24"/>
        <v>4.0086976018641973</v>
      </c>
      <c r="AJ38" s="25">
        <f t="shared" si="25"/>
        <v>3.4681880318983893</v>
      </c>
    </row>
    <row r="39" spans="1:36" x14ac:dyDescent="0.15">
      <c r="A39" s="8">
        <f t="shared" si="13"/>
        <v>38352</v>
      </c>
      <c r="B39" s="5" cm="1">
        <f t="array" aca="1" ref="B39" ca="1">OFFSET('Input IBGE'!$A$5,ROW()-3,COLUMN()-1,,)</f>
        <v>12978.88</v>
      </c>
      <c r="C39" s="5" cm="1">
        <f t="array" aca="1" ref="C39" ca="1">OFFSET('Input IBGE'!$A$5,ROW()-3,COLUMN()-1,,)</f>
        <v>49454.96</v>
      </c>
      <c r="D39" s="5" cm="1">
        <f t="array" aca="1" ref="D39" ca="1">OFFSET('Input IBGE'!$A$5,ROW()-3,COLUMN()-1,,)</f>
        <v>131497.70000000001</v>
      </c>
      <c r="E39" s="5" cm="1">
        <f t="array" aca="1" ref="E39" ca="1">OFFSET('Input IBGE'!$A$5,ROW()-3,COLUMN()-1,,)</f>
        <v>193254.31</v>
      </c>
      <c r="F39" s="24">
        <f t="shared" ca="1" si="3"/>
        <v>29633.25</v>
      </c>
      <c r="G39" s="5" cm="1">
        <f t="array" aca="1" ref="G39" ca="1">OFFSET('Input IBGE'!$A$5,ROW()-3,COLUMN()-2,,)</f>
        <v>222887.56</v>
      </c>
      <c r="H39" s="24">
        <v>223541.33560109371</v>
      </c>
      <c r="I39" s="9">
        <f t="shared" ca="1" si="4"/>
        <v>-0.29246295739252526</v>
      </c>
      <c r="K39" s="4">
        <f t="shared" ca="1" si="35"/>
        <v>-1.17624126651521</v>
      </c>
      <c r="L39" s="4">
        <f t="shared" ca="1" si="36"/>
        <v>-0.15559628789694191</v>
      </c>
      <c r="M39" s="4">
        <f t="shared" ca="1" si="37"/>
        <v>1.6735841995713541</v>
      </c>
      <c r="N39" s="4">
        <f t="shared" ca="1" si="38"/>
        <v>0.75634655677232487</v>
      </c>
      <c r="O39" s="4">
        <f t="shared" ca="1" si="39"/>
        <v>0.8390536120445713</v>
      </c>
      <c r="P39" s="4">
        <f t="shared" ca="1" si="40"/>
        <v>0.76733476862840266</v>
      </c>
      <c r="Q39" s="6">
        <f t="shared" si="41"/>
        <v>0.92353860148488565</v>
      </c>
      <c r="S39" s="4">
        <f t="shared" ca="1" si="31"/>
        <v>5.8054222223454772</v>
      </c>
      <c r="T39" s="4">
        <f t="shared" ca="1" si="32"/>
        <v>22.121086240816361</v>
      </c>
      <c r="U39" s="4">
        <f t="shared" ca="1" si="33"/>
        <v>58.818609137870062</v>
      </c>
      <c r="V39" s="4">
        <f t="shared" ca="1" si="12"/>
        <v>13.254882398968101</v>
      </c>
      <c r="X39" s="25">
        <f t="shared" ca="1" si="15"/>
        <v>0.14123922036027983</v>
      </c>
      <c r="Y39" s="25">
        <f t="shared" ca="1" si="16"/>
        <v>2.0468781627263399</v>
      </c>
      <c r="Z39" s="25">
        <f t="shared" ca="1" si="17"/>
        <v>3.1982154781497321</v>
      </c>
      <c r="AA39" s="25">
        <f t="shared" ca="1" si="28"/>
        <v>5.3307712016895215</v>
      </c>
      <c r="AB39" s="25">
        <f t="shared" ca="1" si="18"/>
        <v>5.4232016622740131</v>
      </c>
      <c r="AC39" s="25">
        <f t="shared" si="19"/>
        <v>3.5363796588198548</v>
      </c>
      <c r="AE39" s="25">
        <f t="shared" ca="1" si="20"/>
        <v>1.9905721677737187</v>
      </c>
      <c r="AF39" s="25">
        <f t="shared" ca="1" si="21"/>
        <v>8.2556205158256688</v>
      </c>
      <c r="AG39" s="25">
        <f t="shared" ca="1" si="22"/>
        <v>4.6946869006095016</v>
      </c>
      <c r="AH39" s="25">
        <f t="shared" ca="1" si="23"/>
        <v>5.3307712016895215</v>
      </c>
      <c r="AI39" s="25">
        <f t="shared" ca="1" si="24"/>
        <v>5.4232016622740131</v>
      </c>
      <c r="AJ39" s="25">
        <f t="shared" si="25"/>
        <v>3.5363796588198548</v>
      </c>
    </row>
    <row r="40" spans="1:36" x14ac:dyDescent="0.15">
      <c r="A40" s="8">
        <f t="shared" si="13"/>
        <v>38442</v>
      </c>
      <c r="B40" s="5" cm="1">
        <f t="array" aca="1" ref="B40" ca="1">OFFSET('Input IBGE'!$A$5,ROW()-3,COLUMN()-1,,)</f>
        <v>13306.82</v>
      </c>
      <c r="C40" s="5" cm="1">
        <f t="array" aca="1" ref="C40" ca="1">OFFSET('Input IBGE'!$A$5,ROW()-3,COLUMN()-1,,)</f>
        <v>48995.89</v>
      </c>
      <c r="D40" s="5" cm="1">
        <f t="array" aca="1" ref="D40" ca="1">OFFSET('Input IBGE'!$A$5,ROW()-3,COLUMN()-1,,)</f>
        <v>132045.60999999999</v>
      </c>
      <c r="E40" s="5" cm="1">
        <f t="array" aca="1" ref="E40" ca="1">OFFSET('Input IBGE'!$A$5,ROW()-3,COLUMN()-1,,)</f>
        <v>194687.99</v>
      </c>
      <c r="F40" s="24">
        <f t="shared" ca="1" si="3"/>
        <v>29866.809999999998</v>
      </c>
      <c r="G40" s="5" cm="1">
        <f t="array" aca="1" ref="G40" ca="1">OFFSET('Input IBGE'!$A$5,ROW()-3,COLUMN()-2,,)</f>
        <v>224554.8</v>
      </c>
      <c r="H40" s="24">
        <v>225586.93423265079</v>
      </c>
      <c r="I40" s="9">
        <f t="shared" ca="1" si="4"/>
        <v>-0.45753280710235655</v>
      </c>
      <c r="K40" s="4">
        <f t="shared" ca="1" si="35"/>
        <v>2.5267203333415589</v>
      </c>
      <c r="L40" s="4">
        <f t="shared" ca="1" si="36"/>
        <v>-0.92825876312507827</v>
      </c>
      <c r="M40" s="4">
        <f t="shared" ca="1" si="37"/>
        <v>0.41666888470290875</v>
      </c>
      <c r="N40" s="4">
        <f t="shared" ca="1" si="38"/>
        <v>0.74186185032560914</v>
      </c>
      <c r="O40" s="4">
        <f t="shared" ca="1" si="39"/>
        <v>0.78816869563749226</v>
      </c>
      <c r="P40" s="4">
        <f t="shared" ca="1" si="40"/>
        <v>0.74801841789644552</v>
      </c>
      <c r="Q40" s="6">
        <f t="shared" si="41"/>
        <v>0.91508741596113552</v>
      </c>
      <c r="S40" s="4">
        <f t="shared" ca="1" si="31"/>
        <v>5.934844807306269</v>
      </c>
      <c r="T40" s="4">
        <f t="shared" ca="1" si="32"/>
        <v>21.852178307503156</v>
      </c>
      <c r="U40" s="4">
        <f t="shared" ca="1" si="33"/>
        <v>58.892372695812277</v>
      </c>
      <c r="V40" s="4">
        <f t="shared" ca="1" si="12"/>
        <v>13.320604189378299</v>
      </c>
      <c r="W40" s="2">
        <f t="shared" ref="W40" si="42">YEAR(A40)</f>
        <v>2005</v>
      </c>
      <c r="X40" s="25">
        <f t="shared" ca="1" si="15"/>
        <v>0.19607839894969872</v>
      </c>
      <c r="Y40" s="25">
        <f t="shared" ca="1" si="16"/>
        <v>1.9215366163715444</v>
      </c>
      <c r="Z40" s="25">
        <f t="shared" ca="1" si="17"/>
        <v>3.8079790645400542</v>
      </c>
      <c r="AA40" s="25">
        <f t="shared" ca="1" si="28"/>
        <v>5.9873092719183729</v>
      </c>
      <c r="AB40" s="25">
        <f t="shared" ca="1" si="18"/>
        <v>6.1881248800857103</v>
      </c>
      <c r="AC40" s="25">
        <f t="shared" si="19"/>
        <v>3.5923513968256104</v>
      </c>
      <c r="AE40" s="25">
        <f t="shared" ca="1" si="20"/>
        <v>2.7829741710190925</v>
      </c>
      <c r="AF40" s="25">
        <f t="shared" ca="1" si="21"/>
        <v>7.6688726432524001</v>
      </c>
      <c r="AG40" s="25">
        <f t="shared" ca="1" si="22"/>
        <v>5.6003722248881838</v>
      </c>
      <c r="AH40" s="25">
        <f t="shared" ca="1" si="23"/>
        <v>5.9873092719183729</v>
      </c>
      <c r="AI40" s="25">
        <f t="shared" ca="1" si="24"/>
        <v>6.1881248800857103</v>
      </c>
      <c r="AJ40" s="25">
        <f t="shared" si="25"/>
        <v>3.5923513968256104</v>
      </c>
    </row>
    <row r="41" spans="1:36" x14ac:dyDescent="0.15">
      <c r="A41" s="8">
        <f t="shared" si="13"/>
        <v>38533</v>
      </c>
      <c r="B41" s="5" cm="1">
        <f t="array" aca="1" ref="B41" ca="1">OFFSET('Input IBGE'!$A$5,ROW()-3,COLUMN()-1,,)</f>
        <v>13481.53</v>
      </c>
      <c r="C41" s="5" cm="1">
        <f t="array" aca="1" ref="C41" ca="1">OFFSET('Input IBGE'!$A$5,ROW()-3,COLUMN()-1,,)</f>
        <v>49895.22</v>
      </c>
      <c r="D41" s="5" cm="1">
        <f t="array" aca="1" ref="D41" ca="1">OFFSET('Input IBGE'!$A$5,ROW()-3,COLUMN()-1,,)</f>
        <v>133392.82999999999</v>
      </c>
      <c r="E41" s="5" cm="1">
        <f t="array" aca="1" ref="E41" ca="1">OFFSET('Input IBGE'!$A$5,ROW()-3,COLUMN()-1,,)</f>
        <v>197469.68</v>
      </c>
      <c r="F41" s="24">
        <f t="shared" ca="1" si="3"/>
        <v>30172.460000000021</v>
      </c>
      <c r="G41" s="5" cm="1">
        <f t="array" aca="1" ref="G41" ca="1">OFFSET('Input IBGE'!$A$5,ROW()-3,COLUMN()-2,,)</f>
        <v>227642.14</v>
      </c>
      <c r="H41" s="24">
        <v>227632.53286420787</v>
      </c>
      <c r="I41" s="9">
        <f t="shared" ca="1" si="4"/>
        <v>4.2204581530036478E-3</v>
      </c>
      <c r="K41" s="4">
        <f t="shared" ca="1" si="35"/>
        <v>1.3129357727841962</v>
      </c>
      <c r="L41" s="4">
        <f t="shared" ca="1" si="36"/>
        <v>1.8355213059707776</v>
      </c>
      <c r="M41" s="4">
        <f t="shared" ca="1" si="37"/>
        <v>1.020268678375591</v>
      </c>
      <c r="N41" s="4">
        <f t="shared" ca="1" si="38"/>
        <v>1.4287938357163243</v>
      </c>
      <c r="O41" s="4">
        <f t="shared" ca="1" si="39"/>
        <v>1.0233767851338005</v>
      </c>
      <c r="P41" s="4">
        <f t="shared" ca="1" si="40"/>
        <v>1.374871523565746</v>
      </c>
      <c r="Q41" s="6">
        <f t="shared" si="41"/>
        <v>0.90678949936320308</v>
      </c>
      <c r="S41" s="4">
        <f t="shared" ca="1" si="31"/>
        <v>5.9405167945084125</v>
      </c>
      <c r="T41" s="4">
        <f t="shared" ca="1" si="32"/>
        <v>21.985886792945017</v>
      </c>
      <c r="U41" s="4">
        <f t="shared" ca="1" si="33"/>
        <v>58.778369137776309</v>
      </c>
      <c r="V41" s="4">
        <f t="shared" ca="1" si="12"/>
        <v>13.295227274770252</v>
      </c>
      <c r="X41" s="25">
        <f t="shared" ca="1" si="15"/>
        <v>0.21057537441609808</v>
      </c>
      <c r="Y41" s="25">
        <f t="shared" ca="1" si="16"/>
        <v>1.6443296693642684</v>
      </c>
      <c r="Z41" s="25">
        <f t="shared" ca="1" si="17"/>
        <v>3.5626466388055089</v>
      </c>
      <c r="AA41" s="25">
        <f t="shared" ca="1" si="28"/>
        <v>5.5008824051459904</v>
      </c>
      <c r="AB41" s="25">
        <f t="shared" ca="1" si="18"/>
        <v>5.6593421530105825</v>
      </c>
      <c r="AC41" s="25">
        <f t="shared" si="19"/>
        <v>3.6363623992094141</v>
      </c>
      <c r="AE41" s="25">
        <f t="shared" ca="1" si="20"/>
        <v>3.0210538410455401</v>
      </c>
      <c r="AF41" s="25">
        <f t="shared" ca="1" si="21"/>
        <v>6.5209617318102042</v>
      </c>
      <c r="AG41" s="25">
        <f t="shared" ca="1" si="22"/>
        <v>5.2488918323941647</v>
      </c>
      <c r="AH41" s="25">
        <f t="shared" ca="1" si="23"/>
        <v>5.5008824051459904</v>
      </c>
      <c r="AI41" s="25">
        <f t="shared" ca="1" si="24"/>
        <v>5.6593421530105825</v>
      </c>
      <c r="AJ41" s="25">
        <f t="shared" si="25"/>
        <v>3.6363623992094141</v>
      </c>
    </row>
    <row r="42" spans="1:36" x14ac:dyDescent="0.15">
      <c r="A42" s="8">
        <f t="shared" si="13"/>
        <v>38625</v>
      </c>
      <c r="B42" s="5" cm="1">
        <f t="array" aca="1" ref="B42" ca="1">OFFSET('Input IBGE'!$A$5,ROW()-3,COLUMN()-1,,)</f>
        <v>12846.1</v>
      </c>
      <c r="C42" s="5" cm="1">
        <f t="array" aca="1" ref="C42" ca="1">OFFSET('Input IBGE'!$A$5,ROW()-3,COLUMN()-1,,)</f>
        <v>48922.29</v>
      </c>
      <c r="D42" s="5" cm="1">
        <f t="array" aca="1" ref="D42" ca="1">OFFSET('Input IBGE'!$A$5,ROW()-3,COLUMN()-1,,)</f>
        <v>134075.19</v>
      </c>
      <c r="E42" s="5" cm="1">
        <f t="array" aca="1" ref="E42" ca="1">OFFSET('Input IBGE'!$A$5,ROW()-3,COLUMN()-1,,)</f>
        <v>195420.63</v>
      </c>
      <c r="F42" s="24">
        <f t="shared" ca="1" si="3"/>
        <v>30486.190000000002</v>
      </c>
      <c r="G42" s="5" cm="1">
        <f t="array" aca="1" ref="G42" ca="1">OFFSET('Input IBGE'!$A$5,ROW()-3,COLUMN()-2,,)</f>
        <v>225906.82</v>
      </c>
      <c r="H42" s="24">
        <v>229752.4363118569</v>
      </c>
      <c r="I42" s="9">
        <f t="shared" ca="1" si="4"/>
        <v>-1.6738087193282292</v>
      </c>
      <c r="K42" s="4">
        <f t="shared" ca="1" si="35"/>
        <v>-4.7133374327691264</v>
      </c>
      <c r="L42" s="4">
        <f t="shared" ca="1" si="36"/>
        <v>-1.9499463074819645</v>
      </c>
      <c r="M42" s="4">
        <f t="shared" ca="1" si="37"/>
        <v>0.51154173728829022</v>
      </c>
      <c r="N42" s="4">
        <f t="shared" ca="1" si="38"/>
        <v>-1.0376529703192805</v>
      </c>
      <c r="O42" s="4">
        <f t="shared" ca="1" si="39"/>
        <v>1.0397892647798113</v>
      </c>
      <c r="P42" s="4">
        <f t="shared" ca="1" si="40"/>
        <v>-0.7623017425508305</v>
      </c>
      <c r="Q42" s="6">
        <f t="shared" si="41"/>
        <v>0.93128316105572928</v>
      </c>
      <c r="S42" s="4">
        <f t="shared" ca="1" si="31"/>
        <v>5.6758330996404043</v>
      </c>
      <c r="T42" s="4">
        <f t="shared" ca="1" si="32"/>
        <v>21.615490529593163</v>
      </c>
      <c r="U42" s="4">
        <f t="shared" ca="1" si="33"/>
        <v>59.238866367424833</v>
      </c>
      <c r="V42" s="4">
        <f t="shared" ca="1" si="12"/>
        <v>13.469810003341584</v>
      </c>
      <c r="X42" s="25">
        <f t="shared" ca="1" si="15"/>
        <v>9.0135376865341066E-2</v>
      </c>
      <c r="Y42" s="25">
        <f t="shared" ca="1" si="16"/>
        <v>0.98293149871789098</v>
      </c>
      <c r="Z42" s="25">
        <f t="shared" ca="1" si="17"/>
        <v>3.2669488466361769</v>
      </c>
      <c r="AA42" s="25">
        <f t="shared" ca="1" si="28"/>
        <v>4.3913402122499612</v>
      </c>
      <c r="AB42" s="25">
        <f t="shared" ca="1" si="18"/>
        <v>4.531055361966918</v>
      </c>
      <c r="AC42" s="25">
        <f t="shared" si="19"/>
        <v>3.6736696550298653</v>
      </c>
      <c r="AE42" s="25">
        <f t="shared" ca="1" si="20"/>
        <v>1.2980579382057211</v>
      </c>
      <c r="AF42" s="25">
        <f t="shared" ca="1" si="21"/>
        <v>3.8712817344620953</v>
      </c>
      <c r="AG42" s="25">
        <f t="shared" ca="1" si="22"/>
        <v>4.8238305320272401</v>
      </c>
      <c r="AH42" s="25">
        <f t="shared" ca="1" si="23"/>
        <v>4.3913402122499612</v>
      </c>
      <c r="AI42" s="25">
        <f t="shared" ca="1" si="24"/>
        <v>4.531055361966918</v>
      </c>
      <c r="AJ42" s="25">
        <f t="shared" si="25"/>
        <v>3.6736696550298653</v>
      </c>
    </row>
    <row r="43" spans="1:36" x14ac:dyDescent="0.15">
      <c r="A43" s="8">
        <f t="shared" si="13"/>
        <v>38717</v>
      </c>
      <c r="B43" s="5" cm="1">
        <f t="array" aca="1" ref="B43" ca="1">OFFSET('Input IBGE'!$A$5,ROW()-3,COLUMN()-1,,)</f>
        <v>12959.69</v>
      </c>
      <c r="C43" s="5" cm="1">
        <f t="array" aca="1" ref="C43" ca="1">OFFSET('Input IBGE'!$A$5,ROW()-3,COLUMN()-1,,)</f>
        <v>49553.15</v>
      </c>
      <c r="D43" s="5" cm="1">
        <f t="array" aca="1" ref="D43" ca="1">OFFSET('Input IBGE'!$A$5,ROW()-3,COLUMN()-1,,)</f>
        <v>135157.99</v>
      </c>
      <c r="E43" s="5" cm="1">
        <f t="array" aca="1" ref="E43" ca="1">OFFSET('Input IBGE'!$A$5,ROW()-3,COLUMN()-1,,)</f>
        <v>197489.22</v>
      </c>
      <c r="F43" s="24">
        <f t="shared" ca="1" si="3"/>
        <v>31260.130000000005</v>
      </c>
      <c r="G43" s="5" cm="1">
        <f t="array" aca="1" ref="G43" ca="1">OFFSET('Input IBGE'!$A$5,ROW()-3,COLUMN()-2,,)</f>
        <v>228749.35</v>
      </c>
      <c r="H43" s="24">
        <v>231946.64457559798</v>
      </c>
      <c r="I43" s="9">
        <f t="shared" ca="1" si="4"/>
        <v>-1.3784612325167256</v>
      </c>
      <c r="K43" s="4">
        <f t="shared" ca="1" si="35"/>
        <v>0.88423723931776443</v>
      </c>
      <c r="L43" s="4">
        <f t="shared" ca="1" si="36"/>
        <v>1.2895144524101454</v>
      </c>
      <c r="M43" s="4">
        <f t="shared" ca="1" si="37"/>
        <v>0.80760653779419211</v>
      </c>
      <c r="N43" s="4">
        <f t="shared" ca="1" si="38"/>
        <v>1.0585320495589468</v>
      </c>
      <c r="O43" s="4">
        <f t="shared" ca="1" si="39"/>
        <v>2.5386576676193373</v>
      </c>
      <c r="P43" s="4">
        <f t="shared" ca="1" si="40"/>
        <v>1.2582754252394857</v>
      </c>
      <c r="Q43" s="6">
        <f t="shared" si="41"/>
        <v>0.95503155438263487</v>
      </c>
      <c r="S43" s="4">
        <f t="shared" ca="1" si="31"/>
        <v>5.6609599680183056</v>
      </c>
      <c r="T43" s="4">
        <f t="shared" ca="1" si="32"/>
        <v>21.645455905134021</v>
      </c>
      <c r="U43" s="4">
        <f t="shared" ca="1" si="33"/>
        <v>59.03875561435639</v>
      </c>
      <c r="V43" s="4">
        <f t="shared" ca="1" si="12"/>
        <v>13.65482851249128</v>
      </c>
      <c r="X43" s="25">
        <f t="shared" ca="1" si="15"/>
        <v>5.7442975770864366E-2</v>
      </c>
      <c r="Y43" s="25">
        <f t="shared" ca="1" si="16"/>
        <v>0.51543377066868112</v>
      </c>
      <c r="Z43" s="25">
        <f t="shared" ca="1" si="17"/>
        <v>2.7156661085309906</v>
      </c>
      <c r="AA43" s="25">
        <f t="shared" ref="AA43:AA58" ca="1" si="43">100*(SUM(E40:E43)/SUM(E36:E39)-1)</f>
        <v>3.411255772552102</v>
      </c>
      <c r="AB43" s="25">
        <f t="shared" ca="1" si="18"/>
        <v>3.622000715553253</v>
      </c>
      <c r="AC43" s="25">
        <f t="shared" si="19"/>
        <v>3.7093674926505837</v>
      </c>
      <c r="AE43" s="25">
        <f t="shared" ca="1" si="20"/>
        <v>0.83609337388956817</v>
      </c>
      <c r="AF43" s="25">
        <f t="shared" ca="1" si="21"/>
        <v>2.0227183241370517</v>
      </c>
      <c r="AG43" s="25">
        <f t="shared" ca="1" si="22"/>
        <v>4.010568205831766</v>
      </c>
      <c r="AH43" s="25">
        <f t="shared" ca="1" si="23"/>
        <v>3.411255772552102</v>
      </c>
      <c r="AI43" s="25">
        <f t="shared" ca="1" si="24"/>
        <v>3.622000715553253</v>
      </c>
      <c r="AJ43" s="25">
        <f t="shared" si="25"/>
        <v>3.7093674926505837</v>
      </c>
    </row>
    <row r="44" spans="1:36" x14ac:dyDescent="0.15">
      <c r="A44" s="8">
        <f t="shared" si="13"/>
        <v>38807</v>
      </c>
      <c r="B44" s="5" cm="1">
        <f t="array" aca="1" ref="B44" ca="1">OFFSET('Input IBGE'!$A$5,ROW()-3,COLUMN()-1,,)</f>
        <v>13399.33</v>
      </c>
      <c r="C44" s="5" cm="1">
        <f t="array" aca="1" ref="C44" ca="1">OFFSET('Input IBGE'!$A$5,ROW()-3,COLUMN()-1,,)</f>
        <v>50043.199999999997</v>
      </c>
      <c r="D44" s="5" cm="1">
        <f t="array" aca="1" ref="D44" ca="1">OFFSET('Input IBGE'!$A$5,ROW()-3,COLUMN()-1,,)</f>
        <v>137727.43</v>
      </c>
      <c r="E44" s="5" cm="1">
        <f t="array" aca="1" ref="E44" ca="1">OFFSET('Input IBGE'!$A$5,ROW()-3,COLUMN()-1,,)</f>
        <v>201264.12</v>
      </c>
      <c r="F44" s="24">
        <f t="shared" ca="1" si="3"/>
        <v>31386.25</v>
      </c>
      <c r="G44" s="5" cm="1">
        <f t="array" aca="1" ref="G44" ca="1">OFFSET('Input IBGE'!$A$5,ROW()-3,COLUMN()-2,,)</f>
        <v>232650.37</v>
      </c>
      <c r="H44" s="24">
        <v>234140.85283933903</v>
      </c>
      <c r="I44" s="9">
        <f t="shared" ca="1" si="4"/>
        <v>-0.63657530126183248</v>
      </c>
      <c r="K44" s="4">
        <f t="shared" ca="1" si="35"/>
        <v>3.3923650951527273</v>
      </c>
      <c r="L44" s="4">
        <f t="shared" ca="1" si="36"/>
        <v>0.98893814015859061</v>
      </c>
      <c r="M44" s="4">
        <f t="shared" ca="1" si="37"/>
        <v>1.9010640806363055</v>
      </c>
      <c r="N44" s="4">
        <f t="shared" ca="1" si="38"/>
        <v>1.9114461032354146</v>
      </c>
      <c r="O44" s="4">
        <f t="shared" ca="1" si="39"/>
        <v>0.40345321660528732</v>
      </c>
      <c r="P44" s="4">
        <f t="shared" ca="1" si="40"/>
        <v>1.7053687802828676</v>
      </c>
      <c r="Q44" s="6">
        <f t="shared" si="41"/>
        <v>0.94599698467545679</v>
      </c>
      <c r="S44" s="4">
        <f t="shared" ca="1" si="31"/>
        <v>5.7617597053202756</v>
      </c>
      <c r="T44" s="4">
        <f t="shared" ca="1" si="32"/>
        <v>21.518754541106428</v>
      </c>
      <c r="U44" s="4">
        <f t="shared" ca="1" si="33"/>
        <v>59.223286275606235</v>
      </c>
      <c r="V44" s="4">
        <f t="shared" ca="1" si="12"/>
        <v>13.496199477967069</v>
      </c>
      <c r="W44" s="2">
        <f t="shared" ref="W44" si="44">YEAR(A44)</f>
        <v>2006</v>
      </c>
      <c r="X44" s="25">
        <f t="shared" ca="1" si="15"/>
        <v>1.7311209655065683E-2</v>
      </c>
      <c r="Y44" s="25">
        <f t="shared" ca="1" si="16"/>
        <v>0.34250192549016001</v>
      </c>
      <c r="Z44" s="25">
        <f t="shared" ca="1" si="17"/>
        <v>2.5060143939815367</v>
      </c>
      <c r="AA44" s="25">
        <f t="shared" ca="1" si="43"/>
        <v>2.9238392583651462</v>
      </c>
      <c r="AB44" s="25">
        <f t="shared" ca="1" si="18"/>
        <v>3.1412534439415163</v>
      </c>
      <c r="AC44" s="25">
        <f t="shared" si="19"/>
        <v>3.7434800159551029</v>
      </c>
      <c r="AE44" s="25">
        <f t="shared" ca="1" si="20"/>
        <v>0.25336086083704856</v>
      </c>
      <c r="AF44" s="25">
        <f t="shared" ca="1" si="21"/>
        <v>1.3455801728771366</v>
      </c>
      <c r="AG44" s="25">
        <f t="shared" ca="1" si="22"/>
        <v>3.6990850760991956</v>
      </c>
      <c r="AH44" s="25">
        <f t="shared" ca="1" si="23"/>
        <v>2.9238392583651462</v>
      </c>
      <c r="AI44" s="25">
        <f t="shared" ca="1" si="24"/>
        <v>3.1412534439415163</v>
      </c>
      <c r="AJ44" s="25">
        <f t="shared" si="25"/>
        <v>3.7434800159551029</v>
      </c>
    </row>
    <row r="45" spans="1:36" x14ac:dyDescent="0.15">
      <c r="A45" s="8">
        <f t="shared" si="13"/>
        <v>38898</v>
      </c>
      <c r="B45" s="5" cm="1">
        <f t="array" aca="1" ref="B45" ca="1">OFFSET('Input IBGE'!$A$5,ROW()-3,COLUMN()-1,,)</f>
        <v>13554.34</v>
      </c>
      <c r="C45" s="5" cm="1">
        <f t="array" aca="1" ref="C45" ca="1">OFFSET('Input IBGE'!$A$5,ROW()-3,COLUMN()-1,,)</f>
        <v>49429.27</v>
      </c>
      <c r="D45" s="5" cm="1">
        <f t="array" aca="1" ref="D45" ca="1">OFFSET('Input IBGE'!$A$5,ROW()-3,COLUMN()-1,,)</f>
        <v>138405.76000000001</v>
      </c>
      <c r="E45" s="5" cm="1">
        <f t="array" aca="1" ref="E45" ca="1">OFFSET('Input IBGE'!$A$5,ROW()-3,COLUMN()-1,,)</f>
        <v>200960.3</v>
      </c>
      <c r="F45" s="24">
        <f t="shared" ca="1" si="3"/>
        <v>32273.49000000002</v>
      </c>
      <c r="G45" s="5" cm="1">
        <f t="array" aca="1" ref="G45" ca="1">OFFSET('Input IBGE'!$A$5,ROW()-3,COLUMN()-2,,)</f>
        <v>233233.79</v>
      </c>
      <c r="H45" s="24">
        <v>236335.06110308011</v>
      </c>
      <c r="I45" s="9">
        <f t="shared" ca="1" si="4"/>
        <v>-1.3122348789913363</v>
      </c>
      <c r="K45" s="4">
        <f t="shared" ca="1" si="35"/>
        <v>1.1568488872204741</v>
      </c>
      <c r="L45" s="4">
        <f t="shared" ca="1" si="36"/>
        <v>-1.2268000447613225</v>
      </c>
      <c r="M45" s="4">
        <f t="shared" ca="1" si="37"/>
        <v>0.49251626927186987</v>
      </c>
      <c r="N45" s="4">
        <f t="shared" ca="1" si="38"/>
        <v>-0.15095586833858698</v>
      </c>
      <c r="O45" s="4">
        <f t="shared" ca="1" si="39"/>
        <v>2.8268429646740811</v>
      </c>
      <c r="P45" s="4">
        <f t="shared" ca="1" si="40"/>
        <v>0.25077114642026999</v>
      </c>
      <c r="Q45" s="6">
        <f t="shared" si="41"/>
        <v>0.93713174661009813</v>
      </c>
      <c r="S45" s="4">
        <f t="shared" ca="1" si="31"/>
        <v>5.8008106209091164</v>
      </c>
      <c r="T45" s="4">
        <f t="shared" ca="1" si="32"/>
        <v>21.154097831379794</v>
      </c>
      <c r="U45" s="4">
        <f t="shared" ca="1" si="33"/>
        <v>59.233101914442031</v>
      </c>
      <c r="V45" s="4">
        <f t="shared" ca="1" si="12"/>
        <v>13.811989633269068</v>
      </c>
      <c r="X45" s="25">
        <f t="shared" ca="1" si="15"/>
        <v>-1.8158410847109997E-2</v>
      </c>
      <c r="Y45" s="25">
        <f t="shared" ca="1" si="16"/>
        <v>8.9820637797548043E-3</v>
      </c>
      <c r="Z45" s="25">
        <f t="shared" ca="1" si="17"/>
        <v>2.4571084581563793</v>
      </c>
      <c r="AA45" s="25">
        <f t="shared" ca="1" si="43"/>
        <v>2.3054967283916872</v>
      </c>
      <c r="AB45" s="25">
        <f t="shared" ca="1" si="18"/>
        <v>2.7073772765604742</v>
      </c>
      <c r="AC45" s="25">
        <f t="shared" si="19"/>
        <v>3.7760320871073949</v>
      </c>
      <c r="AE45" s="25">
        <f t="shared" ca="1" si="20"/>
        <v>-0.26678341394678062</v>
      </c>
      <c r="AF45" s="25">
        <f t="shared" ca="1" si="21"/>
        <v>3.5279295687606904E-2</v>
      </c>
      <c r="AG45" s="25">
        <f t="shared" ca="1" si="22"/>
        <v>3.6287559522278023</v>
      </c>
      <c r="AH45" s="25">
        <f t="shared" ca="1" si="23"/>
        <v>2.3054967283916872</v>
      </c>
      <c r="AI45" s="25">
        <f t="shared" ca="1" si="24"/>
        <v>2.7073772765604742</v>
      </c>
      <c r="AJ45" s="25">
        <f t="shared" si="25"/>
        <v>3.7760320871073949</v>
      </c>
    </row>
    <row r="46" spans="1:36" x14ac:dyDescent="0.15">
      <c r="A46" s="8">
        <f t="shared" si="13"/>
        <v>38990</v>
      </c>
      <c r="B46" s="5" cm="1">
        <f t="array" aca="1" ref="B46" ca="1">OFFSET('Input IBGE'!$A$5,ROW()-3,COLUMN()-1,,)</f>
        <v>14139.41</v>
      </c>
      <c r="C46" s="5" cm="1">
        <f t="array" aca="1" ref="C46" ca="1">OFFSET('Input IBGE'!$A$5,ROW()-3,COLUMN()-1,,)</f>
        <v>50239.37</v>
      </c>
      <c r="D46" s="5" cm="1">
        <f t="array" aca="1" ref="D46" ca="1">OFFSET('Input IBGE'!$A$5,ROW()-3,COLUMN()-1,,)</f>
        <v>140296.07999999999</v>
      </c>
      <c r="E46" s="5" cm="1">
        <f t="array" aca="1" ref="E46" ca="1">OFFSET('Input IBGE'!$A$5,ROW()-3,COLUMN()-1,,)</f>
        <v>204403.16</v>
      </c>
      <c r="F46" s="24">
        <f t="shared" ca="1" si="3"/>
        <v>32631.98000000001</v>
      </c>
      <c r="G46" s="5" cm="1">
        <f t="array" aca="1" ref="G46" ca="1">OFFSET('Input IBGE'!$A$5,ROW()-3,COLUMN()-2,,)</f>
        <v>237035.14</v>
      </c>
      <c r="H46" s="24">
        <v>238601.33980703668</v>
      </c>
      <c r="I46" s="9">
        <f t="shared" ca="1" si="4"/>
        <v>-0.65640863890508161</v>
      </c>
      <c r="K46" s="4">
        <f t="shared" ca="1" si="35"/>
        <v>4.3164772316468314</v>
      </c>
      <c r="L46" s="4">
        <f t="shared" ca="1" si="36"/>
        <v>1.6389074732441111</v>
      </c>
      <c r="M46" s="4">
        <f t="shared" ca="1" si="37"/>
        <v>1.3657813085235615</v>
      </c>
      <c r="N46" s="4">
        <f t="shared" ca="1" si="38"/>
        <v>1.7132040507503277</v>
      </c>
      <c r="O46" s="4">
        <f t="shared" ca="1" si="39"/>
        <v>1.1107878323664222</v>
      </c>
      <c r="P46" s="4">
        <f t="shared" ca="1" si="40"/>
        <v>1.6298453152950199</v>
      </c>
      <c r="Q46" s="6">
        <f t="shared" si="41"/>
        <v>0.95892615060111375</v>
      </c>
      <c r="S46" s="4">
        <f t="shared" ca="1" si="31"/>
        <v>5.9582816913326226</v>
      </c>
      <c r="T46" s="4">
        <f t="shared" ca="1" si="32"/>
        <v>21.170637137977145</v>
      </c>
      <c r="U46" s="4">
        <f t="shared" ca="1" si="33"/>
        <v>59.120116386025792</v>
      </c>
      <c r="V46" s="4">
        <f t="shared" ca="1" si="12"/>
        <v>13.750964784664449</v>
      </c>
      <c r="X46" s="25">
        <f t="shared" ca="1" si="15"/>
        <v>0.18434680897868921</v>
      </c>
      <c r="Y46" s="25">
        <f t="shared" ca="1" si="16"/>
        <v>0.25570525288383905</v>
      </c>
      <c r="Z46" s="25">
        <f t="shared" ca="1" si="17"/>
        <v>2.6351268807792216</v>
      </c>
      <c r="AA46" s="25">
        <f t="shared" ca="1" si="43"/>
        <v>2.981969464620593</v>
      </c>
      <c r="AB46" s="25">
        <f t="shared" ca="1" si="18"/>
        <v>3.4048419023614995</v>
      </c>
      <c r="AC46" s="25">
        <f t="shared" si="19"/>
        <v>3.8069669399358075</v>
      </c>
      <c r="AE46" s="25">
        <f t="shared" ca="1" si="20"/>
        <v>2.7358846132719883</v>
      </c>
      <c r="AF46" s="25">
        <f t="shared" ca="1" si="21"/>
        <v>1.012138996846712</v>
      </c>
      <c r="AG46" s="25">
        <f t="shared" ca="1" si="22"/>
        <v>3.8748570581347064</v>
      </c>
      <c r="AH46" s="25">
        <f t="shared" ca="1" si="23"/>
        <v>2.981969464620593</v>
      </c>
      <c r="AI46" s="25">
        <f t="shared" ca="1" si="24"/>
        <v>3.4048419023614995</v>
      </c>
      <c r="AJ46" s="25">
        <f t="shared" si="25"/>
        <v>3.8069669399358075</v>
      </c>
    </row>
    <row r="47" spans="1:36" x14ac:dyDescent="0.15">
      <c r="A47" s="8">
        <f t="shared" si="13"/>
        <v>39082</v>
      </c>
      <c r="B47" s="5" cm="1">
        <f t="array" aca="1" ref="B47" ca="1">OFFSET('Input IBGE'!$A$5,ROW()-3,COLUMN()-1,,)</f>
        <v>14211.68</v>
      </c>
      <c r="C47" s="5" cm="1">
        <f t="array" aca="1" ref="C47" ca="1">OFFSET('Input IBGE'!$A$5,ROW()-3,COLUMN()-1,,)</f>
        <v>51676.45</v>
      </c>
      <c r="D47" s="5" cm="1">
        <f t="array" aca="1" ref="D47" ca="1">OFFSET('Input IBGE'!$A$5,ROW()-3,COLUMN()-1,,)</f>
        <v>141392.49</v>
      </c>
      <c r="E47" s="5" cm="1">
        <f t="array" aca="1" ref="E47" ca="1">OFFSET('Input IBGE'!$A$5,ROW()-3,COLUMN()-1,,)</f>
        <v>207360.53</v>
      </c>
      <c r="F47" s="24">
        <f t="shared" ca="1" si="3"/>
        <v>32487.839999999997</v>
      </c>
      <c r="G47" s="5" cm="1">
        <f t="array" aca="1" ref="G47" ca="1">OFFSET('Input IBGE'!$A$5,ROW()-3,COLUMN()-2,,)</f>
        <v>239848.37</v>
      </c>
      <c r="H47" s="24">
        <v>240939.68895120866</v>
      </c>
      <c r="I47" s="9">
        <f t="shared" ca="1" si="4"/>
        <v>-0.45294279077020549</v>
      </c>
      <c r="K47" s="4">
        <f t="shared" ca="1" si="35"/>
        <v>0.51112458016282503</v>
      </c>
      <c r="L47" s="4">
        <f t="shared" ca="1" si="36"/>
        <v>2.8604658060003452</v>
      </c>
      <c r="M47" s="4">
        <f t="shared" ca="1" si="37"/>
        <v>0.78149724496936468</v>
      </c>
      <c r="N47" s="4">
        <f t="shared" ca="1" si="38"/>
        <v>1.4468318395860491</v>
      </c>
      <c r="O47" s="4">
        <f t="shared" ca="1" si="39"/>
        <v>-0.44171392603211679</v>
      </c>
      <c r="P47" s="4">
        <f t="shared" ca="1" si="40"/>
        <v>1.1868409046861039</v>
      </c>
      <c r="Q47" s="6">
        <f t="shared" si="41"/>
        <v>0.98002347600523176</v>
      </c>
      <c r="S47" s="4">
        <f t="shared" ca="1" si="31"/>
        <v>5.9272516493620548</v>
      </c>
      <c r="T47" s="4">
        <f t="shared" ca="1" si="32"/>
        <v>21.552647082939931</v>
      </c>
      <c r="U47" s="4">
        <f t="shared" ca="1" si="33"/>
        <v>58.970429221591523</v>
      </c>
      <c r="V47" s="4">
        <f t="shared" ca="1" si="12"/>
        <v>13.549672046106478</v>
      </c>
      <c r="X47" s="25">
        <f t="shared" ca="1" si="15"/>
        <v>0.34527221301933309</v>
      </c>
      <c r="Y47" s="25">
        <f t="shared" ca="1" si="16"/>
        <v>0.51227950431575375</v>
      </c>
      <c r="Z47" s="25">
        <f t="shared" ca="1" si="17"/>
        <v>2.9488087852621985</v>
      </c>
      <c r="AA47" s="25">
        <f t="shared" ca="1" si="43"/>
        <v>3.6838347356415779</v>
      </c>
      <c r="AB47" s="25">
        <f t="shared" ca="1" si="18"/>
        <v>3.9603503151684594</v>
      </c>
      <c r="AC47" s="25">
        <f t="shared" si="19"/>
        <v>3.8362316288895304</v>
      </c>
      <c r="AE47" s="25">
        <f t="shared" ca="1" si="20"/>
        <v>5.1538441354873399</v>
      </c>
      <c r="AF47" s="25">
        <f t="shared" ca="1" si="21"/>
        <v>2.0377009174046945</v>
      </c>
      <c r="AG47" s="25">
        <f t="shared" ca="1" si="22"/>
        <v>4.3297865706805494</v>
      </c>
      <c r="AH47" s="25">
        <f t="shared" ca="1" si="23"/>
        <v>3.6838347356415779</v>
      </c>
      <c r="AI47" s="25">
        <f t="shared" ca="1" si="24"/>
        <v>3.9603503151684594</v>
      </c>
      <c r="AJ47" s="25">
        <f t="shared" si="25"/>
        <v>3.8362316288895304</v>
      </c>
    </row>
    <row r="48" spans="1:36" x14ac:dyDescent="0.15">
      <c r="A48" s="8">
        <f t="shared" si="13"/>
        <v>39172</v>
      </c>
      <c r="B48" s="5" cm="1">
        <f t="array" aca="1" ref="B48" ca="1">OFFSET('Input IBGE'!$A$5,ROW()-3,COLUMN()-1,,)</f>
        <v>13983.98</v>
      </c>
      <c r="C48" s="5" cm="1">
        <f t="array" aca="1" ref="C48" ca="1">OFFSET('Input IBGE'!$A$5,ROW()-3,COLUMN()-1,,)</f>
        <v>51934</v>
      </c>
      <c r="D48" s="5" cm="1">
        <f t="array" aca="1" ref="D48" ca="1">OFFSET('Input IBGE'!$A$5,ROW()-3,COLUMN()-1,,)</f>
        <v>145363.65</v>
      </c>
      <c r="E48" s="5" cm="1">
        <f t="array" aca="1" ref="E48" ca="1">OFFSET('Input IBGE'!$A$5,ROW()-3,COLUMN()-1,,)</f>
        <v>211377.43</v>
      </c>
      <c r="F48" s="24">
        <f t="shared" ca="1" si="3"/>
        <v>33240.559999999998</v>
      </c>
      <c r="G48" s="5" cm="1">
        <f t="array" aca="1" ref="G48" ca="1">OFFSET('Input IBGE'!$A$5,ROW()-3,COLUMN()-2,,)</f>
        <v>244617.99</v>
      </c>
      <c r="H48" s="24">
        <v>243278.03809538065</v>
      </c>
      <c r="I48" s="9">
        <f t="shared" ca="1" si="4"/>
        <v>0.55079032826381713</v>
      </c>
      <c r="K48" s="4">
        <f t="shared" ca="1" si="35"/>
        <v>-1.6022032581651247</v>
      </c>
      <c r="L48" s="4">
        <f t="shared" ca="1" si="36"/>
        <v>0.49838949850464775</v>
      </c>
      <c r="M48" s="4">
        <f t="shared" ca="1" si="37"/>
        <v>2.808607444426503</v>
      </c>
      <c r="N48" s="4">
        <f t="shared" ca="1" si="38"/>
        <v>1.93715747157861</v>
      </c>
      <c r="O48" s="4">
        <f t="shared" ca="1" si="39"/>
        <v>2.3169284261434386</v>
      </c>
      <c r="P48" s="4">
        <f t="shared" ca="1" si="40"/>
        <v>1.9885980463406838</v>
      </c>
      <c r="Q48" s="6">
        <f t="shared" si="41"/>
        <v>0.97051222833008932</v>
      </c>
      <c r="S48" s="4">
        <f t="shared" ca="1" si="31"/>
        <v>5.718900194702166</v>
      </c>
      <c r="T48" s="4">
        <f t="shared" ca="1" si="32"/>
        <v>21.238972217613462</v>
      </c>
      <c r="U48" s="4">
        <f t="shared" ca="1" si="33"/>
        <v>59.448040278062287</v>
      </c>
      <c r="V48" s="4">
        <f t="shared" ca="1" si="12"/>
        <v>13.594087309622083</v>
      </c>
      <c r="W48" s="2">
        <f t="shared" ref="W48" si="45">YEAR(A48)</f>
        <v>2007</v>
      </c>
      <c r="X48" s="25">
        <f t="shared" ca="1" si="15"/>
        <v>0.40457092026191327</v>
      </c>
      <c r="Y48" s="25">
        <f t="shared" ca="1" si="16"/>
        <v>0.61457323632925076</v>
      </c>
      <c r="Z48" s="25">
        <f t="shared" ca="1" si="17"/>
        <v>3.1711919877081081</v>
      </c>
      <c r="AA48" s="25">
        <f t="shared" ca="1" si="43"/>
        <v>4.100048045607374</v>
      </c>
      <c r="AB48" s="25">
        <f t="shared" ca="1" si="18"/>
        <v>4.3485072845834249</v>
      </c>
      <c r="AC48" s="25">
        <f t="shared" si="19"/>
        <v>3.8638576304741434</v>
      </c>
      <c r="AE48" s="25">
        <f t="shared" ca="1" si="20"/>
        <v>6.0788833603958592</v>
      </c>
      <c r="AF48" s="25">
        <f t="shared" ca="1" si="21"/>
        <v>2.4520615646507871</v>
      </c>
      <c r="AG48" s="25">
        <f t="shared" ca="1" si="22"/>
        <v>4.645948029867264</v>
      </c>
      <c r="AH48" s="25">
        <f t="shared" ca="1" si="23"/>
        <v>4.100048045607374</v>
      </c>
      <c r="AI48" s="25">
        <f t="shared" ca="1" si="24"/>
        <v>4.3485072845834249</v>
      </c>
      <c r="AJ48" s="25">
        <f t="shared" si="25"/>
        <v>3.8638576304741434</v>
      </c>
    </row>
    <row r="49" spans="1:36" x14ac:dyDescent="0.15">
      <c r="A49" s="8">
        <f t="shared" si="13"/>
        <v>39263</v>
      </c>
      <c r="B49" s="5" cm="1">
        <f t="array" aca="1" ref="B49" ca="1">OFFSET('Input IBGE'!$A$5,ROW()-3,COLUMN()-1,,)</f>
        <v>13696.45</v>
      </c>
      <c r="C49" s="5" cm="1">
        <f t="array" aca="1" ref="C49" ca="1">OFFSET('Input IBGE'!$A$5,ROW()-3,COLUMN()-1,,)</f>
        <v>53708.99</v>
      </c>
      <c r="D49" s="5" cm="1">
        <f t="array" aca="1" ref="D49" ca="1">OFFSET('Input IBGE'!$A$5,ROW()-3,COLUMN()-1,,)</f>
        <v>146624.56</v>
      </c>
      <c r="E49" s="5" cm="1">
        <f t="array" aca="1" ref="E49" ca="1">OFFSET('Input IBGE'!$A$5,ROW()-3,COLUMN()-1,,)</f>
        <v>213768.87</v>
      </c>
      <c r="F49" s="24">
        <f t="shared" ca="1" si="3"/>
        <v>34669.119999999995</v>
      </c>
      <c r="G49" s="5" cm="1">
        <f t="array" aca="1" ref="G49" ca="1">OFFSET('Input IBGE'!$A$5,ROW()-3,COLUMN()-2,,)</f>
        <v>248437.99</v>
      </c>
      <c r="H49" s="24">
        <v>245616.38723955263</v>
      </c>
      <c r="I49" s="9">
        <f t="shared" ca="1" si="4"/>
        <v>1.148784408141057</v>
      </c>
      <c r="K49" s="4">
        <f t="shared" ca="1" si="35"/>
        <v>-2.0561385242255703</v>
      </c>
      <c r="L49" s="4">
        <f t="shared" ca="1" si="36"/>
        <v>3.4177802595602103</v>
      </c>
      <c r="M49" s="4">
        <f t="shared" ca="1" si="37"/>
        <v>0.86741767972942085</v>
      </c>
      <c r="N49" s="4">
        <f t="shared" ca="1" si="38"/>
        <v>1.1313601456882205</v>
      </c>
      <c r="O49" s="4">
        <f t="shared" ca="1" si="39"/>
        <v>4.2976411949738447</v>
      </c>
      <c r="P49" s="4">
        <f t="shared" ca="1" si="40"/>
        <v>1.5616185874146149</v>
      </c>
      <c r="Q49" s="6">
        <f t="shared" si="41"/>
        <v>0.96118382180276907</v>
      </c>
      <c r="S49" s="4">
        <f t="shared" ca="1" si="31"/>
        <v>5.5072370179677357</v>
      </c>
      <c r="T49" s="4">
        <f t="shared" ca="1" si="32"/>
        <v>21.59597106736847</v>
      </c>
      <c r="U49" s="4">
        <f t="shared" ca="1" si="33"/>
        <v>58.956605877817339</v>
      </c>
      <c r="V49" s="4">
        <f t="shared" ca="1" si="12"/>
        <v>13.940186036846447</v>
      </c>
      <c r="X49" s="25">
        <f t="shared" ca="1" si="15"/>
        <v>0.41151037295877135</v>
      </c>
      <c r="Y49" s="25">
        <f t="shared" ca="1" si="16"/>
        <v>1.2087140955451476</v>
      </c>
      <c r="Z49" s="25">
        <f t="shared" ca="1" si="17"/>
        <v>3.5604565251602209</v>
      </c>
      <c r="AA49" s="25">
        <f t="shared" ca="1" si="43"/>
        <v>5.2539201963965221</v>
      </c>
      <c r="AB49" s="25">
        <f t="shared" ca="1" si="18"/>
        <v>5.3663221903596403</v>
      </c>
      <c r="AC49" s="25">
        <f t="shared" si="19"/>
        <v>3.8898768433412112</v>
      </c>
      <c r="AE49" s="25">
        <f t="shared" ca="1" si="20"/>
        <v>6.2018451288166965</v>
      </c>
      <c r="AF49" s="25">
        <f t="shared" ca="1" si="21"/>
        <v>4.8552672266153118</v>
      </c>
      <c r="AG49" s="25">
        <f t="shared" ca="1" si="22"/>
        <v>5.1910809975320049</v>
      </c>
      <c r="AH49" s="25">
        <f t="shared" ca="1" si="23"/>
        <v>5.2539201963965221</v>
      </c>
      <c r="AI49" s="25">
        <f t="shared" ca="1" si="24"/>
        <v>5.3663221903596403</v>
      </c>
      <c r="AJ49" s="25">
        <f t="shared" si="25"/>
        <v>3.8898768433412112</v>
      </c>
    </row>
    <row r="50" spans="1:36" x14ac:dyDescent="0.15">
      <c r="A50" s="8">
        <f t="shared" si="13"/>
        <v>39355</v>
      </c>
      <c r="B50" s="5" cm="1">
        <f t="array" aca="1" ref="B50" ca="1">OFFSET('Input IBGE'!$A$5,ROW()-3,COLUMN()-1,,)</f>
        <v>14729.12</v>
      </c>
      <c r="C50" s="5" cm="1">
        <f t="array" aca="1" ref="C50" ca="1">OFFSET('Input IBGE'!$A$5,ROW()-3,COLUMN()-1,,)</f>
        <v>53882.93</v>
      </c>
      <c r="D50" s="5" cm="1">
        <f t="array" aca="1" ref="D50" ca="1">OFFSET('Input IBGE'!$A$5,ROW()-3,COLUMN()-1,,)</f>
        <v>147880.13</v>
      </c>
      <c r="E50" s="5" cm="1">
        <f t="array" aca="1" ref="E50" ca="1">OFFSET('Input IBGE'!$A$5,ROW()-3,COLUMN()-1,,)</f>
        <v>216268.72</v>
      </c>
      <c r="F50" s="24">
        <f t="shared" ca="1" si="3"/>
        <v>34728.420000000013</v>
      </c>
      <c r="G50" s="5" cm="1">
        <f t="array" aca="1" ref="G50" ca="1">OFFSET('Input IBGE'!$A$5,ROW()-3,COLUMN()-2,,)</f>
        <v>250997.14</v>
      </c>
      <c r="H50" s="24">
        <v>247995.8766857337</v>
      </c>
      <c r="I50" s="9">
        <f t="shared" ca="1" si="4"/>
        <v>1.2102069414926531</v>
      </c>
      <c r="K50" s="4">
        <f t="shared" ca="1" si="35"/>
        <v>7.5396909418133928</v>
      </c>
      <c r="L50" s="4">
        <f t="shared" ca="1" si="36"/>
        <v>0.32385639722511961</v>
      </c>
      <c r="M50" s="4">
        <f t="shared" ca="1" si="37"/>
        <v>0.85631629516911278</v>
      </c>
      <c r="N50" s="4">
        <f t="shared" ca="1" si="38"/>
        <v>1.1694172308624795</v>
      </c>
      <c r="O50" s="4">
        <f t="shared" ca="1" si="39"/>
        <v>0.17104558754308385</v>
      </c>
      <c r="P50" s="4">
        <f t="shared" ca="1" si="40"/>
        <v>1.0300960815212035</v>
      </c>
      <c r="Q50" s="6">
        <f t="shared" si="41"/>
        <v>0.9687828539959531</v>
      </c>
      <c r="S50" s="4">
        <f t="shared" ca="1" si="31"/>
        <v>5.8630223795341614</v>
      </c>
      <c r="T50" s="4">
        <f t="shared" ca="1" si="32"/>
        <v>21.448452077576437</v>
      </c>
      <c r="U50" s="4">
        <f t="shared" ca="1" si="33"/>
        <v>58.864651226850029</v>
      </c>
      <c r="V50" s="4">
        <f t="shared" ca="1" si="12"/>
        <v>13.823874316039372</v>
      </c>
      <c r="X50" s="25">
        <f t="shared" ca="1" si="15"/>
        <v>0.31941379660268221</v>
      </c>
      <c r="Y50" s="25">
        <f t="shared" ca="1" si="16"/>
        <v>1.4845330927049394</v>
      </c>
      <c r="Z50" s="25">
        <f t="shared" ca="1" si="17"/>
        <v>3.6902064476205494</v>
      </c>
      <c r="AA50" s="25">
        <f t="shared" ca="1" si="43"/>
        <v>5.5537640800440879</v>
      </c>
      <c r="AB50" s="25">
        <f t="shared" ca="1" si="18"/>
        <v>5.6063751849973587</v>
      </c>
      <c r="AC50" s="25">
        <f t="shared" si="19"/>
        <v>3.9112813938448898</v>
      </c>
      <c r="AE50" s="25">
        <f t="shared" ca="1" si="20"/>
        <v>4.7517638781509275</v>
      </c>
      <c r="AF50" s="25">
        <f t="shared" ca="1" si="21"/>
        <v>5.9907061446167864</v>
      </c>
      <c r="AG50" s="25">
        <f t="shared" ca="1" si="22"/>
        <v>5.3796692113592393</v>
      </c>
      <c r="AH50" s="25">
        <f t="shared" ca="1" si="23"/>
        <v>5.5537640800440879</v>
      </c>
      <c r="AI50" s="25">
        <f t="shared" ca="1" si="24"/>
        <v>5.6063751849973587</v>
      </c>
      <c r="AJ50" s="25">
        <f t="shared" si="25"/>
        <v>3.9112813938448898</v>
      </c>
    </row>
    <row r="51" spans="1:36" x14ac:dyDescent="0.15">
      <c r="A51" s="8">
        <f t="shared" si="13"/>
        <v>39447</v>
      </c>
      <c r="B51" s="5" cm="1">
        <f t="array" aca="1" ref="B51" ca="1">OFFSET('Input IBGE'!$A$5,ROW()-3,COLUMN()-1,,)</f>
        <v>14733.28</v>
      </c>
      <c r="C51" s="5" cm="1">
        <f t="array" aca="1" ref="C51" ca="1">OFFSET('Input IBGE'!$A$5,ROW()-3,COLUMN()-1,,)</f>
        <v>54347.62</v>
      </c>
      <c r="D51" s="5" cm="1">
        <f t="array" aca="1" ref="D51" ca="1">OFFSET('Input IBGE'!$A$5,ROW()-3,COLUMN()-1,,)</f>
        <v>150118.31</v>
      </c>
      <c r="E51" s="5" cm="1">
        <f t="array" aca="1" ref="E51" ca="1">OFFSET('Input IBGE'!$A$5,ROW()-3,COLUMN()-1,,)</f>
        <v>219050.67</v>
      </c>
      <c r="F51" s="24">
        <f t="shared" ca="1" si="3"/>
        <v>35834.559999999998</v>
      </c>
      <c r="G51" s="5" cm="1">
        <f t="array" aca="1" ref="G51" ca="1">OFFSET('Input IBGE'!$A$5,ROW()-3,COLUMN()-2,,)</f>
        <v>254885.23</v>
      </c>
      <c r="H51" s="24">
        <v>250416.5064339239</v>
      </c>
      <c r="I51" s="9">
        <f t="shared" ca="1" si="4"/>
        <v>1.7845163762218785</v>
      </c>
      <c r="K51" s="4">
        <f t="shared" ca="1" si="35"/>
        <v>2.8243370954950109E-2</v>
      </c>
      <c r="L51" s="4">
        <f t="shared" ca="1" si="36"/>
        <v>0.8624067028277782</v>
      </c>
      <c r="M51" s="4">
        <f t="shared" ca="1" si="37"/>
        <v>1.5135096243153123</v>
      </c>
      <c r="N51" s="4">
        <f t="shared" ca="1" si="38"/>
        <v>1.2863395131760269</v>
      </c>
      <c r="O51" s="4">
        <f t="shared" ca="1" si="39"/>
        <v>3.1851146697718491</v>
      </c>
      <c r="P51" s="4">
        <f t="shared" ca="1" si="40"/>
        <v>1.5490574912526922</v>
      </c>
      <c r="Q51" s="6">
        <f t="shared" si="41"/>
        <v>0.97607661084531117</v>
      </c>
      <c r="S51" s="4">
        <f t="shared" ca="1" si="31"/>
        <v>5.7769918077907887</v>
      </c>
      <c r="T51" s="4">
        <f t="shared" ca="1" si="32"/>
        <v>21.309970048280274</v>
      </c>
      <c r="U51" s="4">
        <f t="shared" ca="1" si="33"/>
        <v>58.862130297489621</v>
      </c>
      <c r="V51" s="4">
        <f t="shared" ca="1" si="12"/>
        <v>14.050907846439317</v>
      </c>
      <c r="X51" s="25">
        <f t="shared" ca="1" si="15"/>
        <v>0.2258104236927983</v>
      </c>
      <c r="Y51" s="25">
        <f t="shared" ca="1" si="16"/>
        <v>1.5338369008854453</v>
      </c>
      <c r="Z51" s="25">
        <f t="shared" ca="1" si="17"/>
        <v>3.9515184073143188</v>
      </c>
      <c r="AA51" s="25">
        <f t="shared" ca="1" si="43"/>
        <v>5.7098598160113312</v>
      </c>
      <c r="AB51" s="25">
        <f t="shared" ca="1" si="18"/>
        <v>5.9580617566149519</v>
      </c>
      <c r="AC51" s="25">
        <f t="shared" si="19"/>
        <v>3.9251790234309247</v>
      </c>
      <c r="AE51" s="25">
        <f t="shared" ca="1" si="20"/>
        <v>3.3235294755822098</v>
      </c>
      <c r="AF51" s="25">
        <f t="shared" ca="1" si="21"/>
        <v>6.1995908500936281</v>
      </c>
      <c r="AG51" s="25">
        <f t="shared" ca="1" si="22"/>
        <v>5.7661590684450648</v>
      </c>
      <c r="AH51" s="25">
        <f t="shared" ca="1" si="23"/>
        <v>5.7098598160113312</v>
      </c>
      <c r="AI51" s="25">
        <f t="shared" ca="1" si="24"/>
        <v>5.9580617566149519</v>
      </c>
      <c r="AJ51" s="25">
        <f t="shared" si="25"/>
        <v>3.9251790234309247</v>
      </c>
    </row>
    <row r="52" spans="1:36" x14ac:dyDescent="0.15">
      <c r="A52" s="8">
        <f t="shared" si="13"/>
        <v>39538</v>
      </c>
      <c r="B52" s="5" cm="1">
        <f t="array" aca="1" ref="B52" ca="1">OFFSET('Input IBGE'!$A$5,ROW()-3,COLUMN()-1,,)</f>
        <v>14713.57</v>
      </c>
      <c r="C52" s="5" cm="1">
        <f t="array" aca="1" ref="C52" ca="1">OFFSET('Input IBGE'!$A$5,ROW()-3,COLUMN()-1,,)</f>
        <v>55766.17</v>
      </c>
      <c r="D52" s="5" cm="1">
        <f t="array" aca="1" ref="D52" ca="1">OFFSET('Input IBGE'!$A$5,ROW()-3,COLUMN()-1,,)</f>
        <v>151391.98000000001</v>
      </c>
      <c r="E52" s="5" cm="1">
        <f t="array" aca="1" ref="E52" ca="1">OFFSET('Input IBGE'!$A$5,ROW()-3,COLUMN()-1,,)</f>
        <v>221452.88</v>
      </c>
      <c r="F52" s="24">
        <f t="shared" ca="1" si="3"/>
        <v>36322.600000000006</v>
      </c>
      <c r="G52" s="5" cm="1">
        <f t="array" aca="1" ref="G52" ca="1">OFFSET('Input IBGE'!$A$5,ROW()-3,COLUMN()-2,,)</f>
        <v>257775.48</v>
      </c>
      <c r="H52" s="24">
        <v>252837.13618211407</v>
      </c>
      <c r="I52" s="9">
        <f t="shared" ca="1" si="4"/>
        <v>1.9531718688384991</v>
      </c>
      <c r="K52" s="4">
        <f t="shared" ca="1" si="35"/>
        <v>-0.13377876481001083</v>
      </c>
      <c r="L52" s="4">
        <f t="shared" ca="1" si="36"/>
        <v>2.6101418976580693</v>
      </c>
      <c r="M52" s="4">
        <f t="shared" ca="1" si="37"/>
        <v>0.8484441371608975</v>
      </c>
      <c r="N52" s="4">
        <f t="shared" ca="1" si="38"/>
        <v>1.0966458125875489</v>
      </c>
      <c r="O52" s="4">
        <f t="shared" ca="1" si="39"/>
        <v>1.3619254708304274</v>
      </c>
      <c r="P52" s="4">
        <f t="shared" ca="1" si="40"/>
        <v>1.133941735266486</v>
      </c>
      <c r="Q52" s="6">
        <f t="shared" si="41"/>
        <v>0.96664144974361044</v>
      </c>
      <c r="S52" s="4">
        <f t="shared" ca="1" si="31"/>
        <v>5.6986420150528492</v>
      </c>
      <c r="T52" s="4">
        <f t="shared" ca="1" si="32"/>
        <v>21.598527031888231</v>
      </c>
      <c r="U52" s="4">
        <f t="shared" ca="1" si="33"/>
        <v>58.634899481909606</v>
      </c>
      <c r="V52" s="4">
        <f t="shared" ca="1" si="12"/>
        <v>14.067931471149327</v>
      </c>
      <c r="W52" s="2">
        <f t="shared" ref="W52" si="46">YEAR(A52)</f>
        <v>2008</v>
      </c>
      <c r="X52" s="25">
        <f t="shared" ca="1" si="15"/>
        <v>0.24062693642731436</v>
      </c>
      <c r="Y52" s="25">
        <f t="shared" ca="1" si="16"/>
        <v>1.7505879312767141</v>
      </c>
      <c r="Z52" s="25">
        <f t="shared" ca="1" si="17"/>
        <v>3.7079174065735745</v>
      </c>
      <c r="AA52" s="25">
        <f t="shared" ca="1" si="43"/>
        <v>5.6351947555193016</v>
      </c>
      <c r="AB52" s="25">
        <f t="shared" ca="1" si="18"/>
        <v>6.0080056326397902</v>
      </c>
      <c r="AC52" s="25">
        <f t="shared" si="19"/>
        <v>3.9317746215570049</v>
      </c>
      <c r="AE52" s="25">
        <f t="shared" ca="1" si="20"/>
        <v>3.5480961420061519</v>
      </c>
      <c r="AF52" s="25">
        <f t="shared" ca="1" si="21"/>
        <v>7.0969522738418611</v>
      </c>
      <c r="AG52" s="25">
        <f t="shared" ca="1" si="22"/>
        <v>5.4039382378156642</v>
      </c>
      <c r="AH52" s="25">
        <f t="shared" ca="1" si="23"/>
        <v>5.6351947555193016</v>
      </c>
      <c r="AI52" s="25">
        <f t="shared" ca="1" si="24"/>
        <v>6.0080056326397902</v>
      </c>
      <c r="AJ52" s="25">
        <f t="shared" si="25"/>
        <v>3.9317746215570049</v>
      </c>
    </row>
    <row r="53" spans="1:36" x14ac:dyDescent="0.15">
      <c r="A53" s="8">
        <f t="shared" si="13"/>
        <v>39629</v>
      </c>
      <c r="B53" s="5" cm="1">
        <f t="array" aca="1" ref="B53" ca="1">OFFSET('Input IBGE'!$A$5,ROW()-3,COLUMN()-1,,)</f>
        <v>15192.19</v>
      </c>
      <c r="C53" s="5" cm="1">
        <f t="array" aca="1" ref="C53" ca="1">OFFSET('Input IBGE'!$A$5,ROW()-3,COLUMN()-1,,)</f>
        <v>56092.17</v>
      </c>
      <c r="D53" s="5" cm="1">
        <f t="array" aca="1" ref="D53" ca="1">OFFSET('Input IBGE'!$A$5,ROW()-3,COLUMN()-1,,)</f>
        <v>155119.25</v>
      </c>
      <c r="E53" s="5" cm="1">
        <f t="array" aca="1" ref="E53" ca="1">OFFSET('Input IBGE'!$A$5,ROW()-3,COLUMN()-1,,)</f>
        <v>226458.22</v>
      </c>
      <c r="F53" s="24">
        <f t="shared" ca="1" si="3"/>
        <v>37303.129999999976</v>
      </c>
      <c r="G53" s="5" cm="1">
        <f t="array" aca="1" ref="G53" ca="1">OFFSET('Input IBGE'!$A$5,ROW()-3,COLUMN()-2,,)</f>
        <v>263761.34999999998</v>
      </c>
      <c r="H53" s="24">
        <v>255257.76593030425</v>
      </c>
      <c r="I53" s="9">
        <f t="shared" ca="1" si="4"/>
        <v>3.3313713448458016</v>
      </c>
      <c r="K53" s="4">
        <f t="shared" ca="1" si="35"/>
        <v>3.2529155058901527</v>
      </c>
      <c r="L53" s="4">
        <f t="shared" ca="1" si="36"/>
        <v>0.58458380770993745</v>
      </c>
      <c r="M53" s="4">
        <f t="shared" ca="1" si="37"/>
        <v>2.4619996382899467</v>
      </c>
      <c r="N53" s="4">
        <f t="shared" ca="1" si="38"/>
        <v>2.2602279997442354</v>
      </c>
      <c r="O53" s="4">
        <f t="shared" ca="1" si="39"/>
        <v>2.6995038901399315</v>
      </c>
      <c r="P53" s="4">
        <f t="shared" ca="1" si="40"/>
        <v>2.3221254403250402</v>
      </c>
      <c r="Q53" s="6">
        <f t="shared" si="41"/>
        <v>0.95738695064424562</v>
      </c>
      <c r="S53" s="4">
        <f t="shared" ca="1" si="31"/>
        <v>5.761016953908725</v>
      </c>
      <c r="T53" s="4">
        <f t="shared" ca="1" si="32"/>
        <v>21.2706622515602</v>
      </c>
      <c r="U53" s="4">
        <f t="shared" ca="1" si="33"/>
        <v>58.822633809056221</v>
      </c>
      <c r="V53" s="4">
        <f t="shared" ca="1" si="12"/>
        <v>14.145686985474843</v>
      </c>
      <c r="X53" s="25">
        <f t="shared" ca="1" si="15"/>
        <v>0.39868564599163159</v>
      </c>
      <c r="Y53" s="25">
        <f t="shared" ca="1" si="16"/>
        <v>1.497183705502191</v>
      </c>
      <c r="Z53" s="25">
        <f t="shared" ca="1" si="17"/>
        <v>3.6841345387692184</v>
      </c>
      <c r="AA53" s="25">
        <f t="shared" ca="1" si="43"/>
        <v>5.5347051120754331</v>
      </c>
      <c r="AB53" s="25">
        <f t="shared" ca="1" si="18"/>
        <v>5.9261129784498268</v>
      </c>
      <c r="AC53" s="25">
        <f t="shared" si="19"/>
        <v>3.9312719271050511</v>
      </c>
      <c r="AE53" s="25">
        <f t="shared" ca="1" si="20"/>
        <v>5.9549339371839372</v>
      </c>
      <c r="AF53" s="25">
        <f t="shared" ca="1" si="21"/>
        <v>6.0368817878653447</v>
      </c>
      <c r="AG53" s="25">
        <f t="shared" ca="1" si="22"/>
        <v>5.3746100722431134</v>
      </c>
      <c r="AH53" s="25">
        <f t="shared" ca="1" si="23"/>
        <v>5.5347051120754331</v>
      </c>
      <c r="AI53" s="25">
        <f t="shared" ca="1" si="24"/>
        <v>5.9261129784498268</v>
      </c>
      <c r="AJ53" s="25">
        <f t="shared" si="25"/>
        <v>3.9312719271050511</v>
      </c>
    </row>
    <row r="54" spans="1:36" x14ac:dyDescent="0.15">
      <c r="A54" s="8">
        <f t="shared" si="13"/>
        <v>39721</v>
      </c>
      <c r="B54" s="5" cm="1">
        <f t="array" aca="1" ref="B54" ca="1">OFFSET('Input IBGE'!$A$5,ROW()-3,COLUMN()-1,,)</f>
        <v>15482.16</v>
      </c>
      <c r="C54" s="5" cm="1">
        <f t="array" aca="1" ref="C54" ca="1">OFFSET('Input IBGE'!$A$5,ROW()-3,COLUMN()-1,,)</f>
        <v>57665.57</v>
      </c>
      <c r="D54" s="5" cm="1">
        <f t="array" aca="1" ref="D54" ca="1">OFFSET('Input IBGE'!$A$5,ROW()-3,COLUMN()-1,,)</f>
        <v>156773.97</v>
      </c>
      <c r="E54" s="5" cm="1">
        <f t="array" aca="1" ref="E54" ca="1">OFFSET('Input IBGE'!$A$5,ROW()-3,COLUMN()-1,,)</f>
        <v>229259.6</v>
      </c>
      <c r="F54" s="24">
        <f t="shared" ca="1" si="3"/>
        <v>38357.749999999971</v>
      </c>
      <c r="G54" s="5" cm="1">
        <f t="array" aca="1" ref="G54" ca="1">OFFSET('Input IBGE'!$A$5,ROW()-3,COLUMN()-2,,)</f>
        <v>267617.34999999998</v>
      </c>
      <c r="H54" s="24">
        <v>257586.07728122926</v>
      </c>
      <c r="I54" s="9">
        <f t="shared" ca="1" si="4"/>
        <v>3.8943380887076051</v>
      </c>
      <c r="K54" s="4">
        <f t="shared" ca="1" si="35"/>
        <v>1.90867807735422</v>
      </c>
      <c r="L54" s="4">
        <f t="shared" ca="1" si="36"/>
        <v>2.8050260847458874</v>
      </c>
      <c r="M54" s="4">
        <f t="shared" ca="1" si="37"/>
        <v>1.0667405882893277</v>
      </c>
      <c r="N54" s="4">
        <f t="shared" ca="1" si="38"/>
        <v>1.2370405454922295</v>
      </c>
      <c r="O54" s="4">
        <f t="shared" ca="1" si="39"/>
        <v>2.8271622247248329</v>
      </c>
      <c r="P54" s="4">
        <f t="shared" ca="1" si="40"/>
        <v>1.4619276099398171</v>
      </c>
      <c r="Q54" s="6">
        <f t="shared" si="41"/>
        <v>0.91214123983234252</v>
      </c>
      <c r="S54" s="4">
        <f t="shared" ca="1" si="31"/>
        <v>5.7709079096442171</v>
      </c>
      <c r="T54" s="4">
        <f t="shared" ca="1" si="32"/>
        <v>21.494590808203913</v>
      </c>
      <c r="U54" s="4">
        <f t="shared" ca="1" si="33"/>
        <v>58.436816535891964</v>
      </c>
      <c r="V54" s="4">
        <f t="shared" ca="1" si="12"/>
        <v>14.297684746259909</v>
      </c>
      <c r="X54" s="25">
        <f t="shared" ca="1" si="15"/>
        <v>0.41235518624446699</v>
      </c>
      <c r="Y54" s="25">
        <f t="shared" ca="1" si="16"/>
        <v>1.4926396030140183</v>
      </c>
      <c r="Z54" s="25">
        <f t="shared" ca="1" si="17"/>
        <v>3.7869469732015704</v>
      </c>
      <c r="AA54" s="25">
        <f t="shared" ca="1" si="43"/>
        <v>5.5899136114371029</v>
      </c>
      <c r="AB54" s="25">
        <f t="shared" ca="1" si="18"/>
        <v>6.1121891379593229</v>
      </c>
      <c r="AC54" s="25">
        <f t="shared" si="19"/>
        <v>3.9135120837990867</v>
      </c>
      <c r="AE54" s="25">
        <f t="shared" ca="1" si="20"/>
        <v>6.1813740181906995</v>
      </c>
      <c r="AF54" s="25">
        <f t="shared" ca="1" si="21"/>
        <v>5.9985879893298621</v>
      </c>
      <c r="AG54" s="25">
        <f t="shared" ca="1" si="22"/>
        <v>5.5298204078193081</v>
      </c>
      <c r="AH54" s="25">
        <f t="shared" ca="1" si="23"/>
        <v>5.5899136114371029</v>
      </c>
      <c r="AI54" s="25">
        <f t="shared" ca="1" si="24"/>
        <v>6.1121891379593229</v>
      </c>
      <c r="AJ54" s="25">
        <f t="shared" si="25"/>
        <v>3.9135120837990867</v>
      </c>
    </row>
    <row r="55" spans="1:36" x14ac:dyDescent="0.15">
      <c r="A55" s="8">
        <f t="shared" si="13"/>
        <v>39813</v>
      </c>
      <c r="B55" s="5" cm="1">
        <f t="array" aca="1" ref="B55" ca="1">OFFSET('Input IBGE'!$A$5,ROW()-3,COLUMN()-1,,)</f>
        <v>14868.77</v>
      </c>
      <c r="C55" s="5" cm="1">
        <f t="array" aca="1" ref="C55" ca="1">OFFSET('Input IBGE'!$A$5,ROW()-3,COLUMN()-1,,)</f>
        <v>53139.34</v>
      </c>
      <c r="D55" s="5" cm="1">
        <f t="array" aca="1" ref="D55" ca="1">OFFSET('Input IBGE'!$A$5,ROW()-3,COLUMN()-1,,)</f>
        <v>153392.12</v>
      </c>
      <c r="E55" s="5" cm="1">
        <f t="array" aca="1" ref="E55" ca="1">OFFSET('Input IBGE'!$A$5,ROW()-3,COLUMN()-1,,)</f>
        <v>220894.32</v>
      </c>
      <c r="F55" s="24">
        <f t="shared" ca="1" si="3"/>
        <v>36602.350000000006</v>
      </c>
      <c r="G55" s="5" cm="1">
        <f t="array" aca="1" ref="G55" ca="1">OFFSET('Input IBGE'!$A$5,ROW()-3,COLUMN()-2,,)</f>
        <v>257496.67</v>
      </c>
      <c r="H55" s="24">
        <v>259822.07023488908</v>
      </c>
      <c r="I55" s="9">
        <f t="shared" ca="1" si="4"/>
        <v>-0.89499719280460299</v>
      </c>
      <c r="K55" s="4">
        <f t="shared" ca="1" si="35"/>
        <v>-3.9619148749270083</v>
      </c>
      <c r="L55" s="4">
        <f t="shared" ca="1" si="36"/>
        <v>-7.8491030262945571</v>
      </c>
      <c r="M55" s="4">
        <f t="shared" ca="1" si="37"/>
        <v>-2.157150195277957</v>
      </c>
      <c r="N55" s="4">
        <f t="shared" ca="1" si="38"/>
        <v>-3.6488243022320566</v>
      </c>
      <c r="O55" s="4">
        <f t="shared" ca="1" si="39"/>
        <v>-4.5763893867600824</v>
      </c>
      <c r="P55" s="4">
        <f t="shared" ca="1" si="40"/>
        <v>-3.781772743807521</v>
      </c>
      <c r="Q55" s="6">
        <f t="shared" si="41"/>
        <v>0.86805660354793979</v>
      </c>
      <c r="S55" s="4">
        <f t="shared" ca="1" si="31"/>
        <v>5.7630315169716519</v>
      </c>
      <c r="T55" s="4">
        <f t="shared" ca="1" si="32"/>
        <v>20.596437446478248</v>
      </c>
      <c r="U55" s="4">
        <f t="shared" ca="1" si="33"/>
        <v>59.453715540363973</v>
      </c>
      <c r="V55" s="4">
        <f t="shared" ca="1" si="12"/>
        <v>14.186815496186126</v>
      </c>
      <c r="X55" s="25">
        <f t="shared" ca="1" si="15"/>
        <v>0.36188078574056892</v>
      </c>
      <c r="Y55" s="25">
        <f t="shared" ca="1" si="16"/>
        <v>1.0215061567417107</v>
      </c>
      <c r="Z55" s="25">
        <f t="shared" ca="1" si="17"/>
        <v>3.1018866074718336</v>
      </c>
      <c r="AA55" s="25">
        <f t="shared" ca="1" si="43"/>
        <v>4.3696489513719072</v>
      </c>
      <c r="AB55" s="25">
        <f t="shared" ca="1" si="18"/>
        <v>4.7763207809571107</v>
      </c>
      <c r="AC55" s="25">
        <f t="shared" si="19"/>
        <v>3.8687306566571156</v>
      </c>
      <c r="AE55" s="25">
        <f t="shared" ca="1" si="20"/>
        <v>5.4492575883973604</v>
      </c>
      <c r="AF55" s="25">
        <f t="shared" ca="1" si="21"/>
        <v>4.109769726540291</v>
      </c>
      <c r="AG55" s="25">
        <f t="shared" ca="1" si="22"/>
        <v>4.5239447367156682</v>
      </c>
      <c r="AH55" s="25">
        <f t="shared" ca="1" si="23"/>
        <v>4.3696489513719072</v>
      </c>
      <c r="AI55" s="25">
        <f t="shared" ca="1" si="24"/>
        <v>4.7763207809571107</v>
      </c>
      <c r="AJ55" s="25">
        <f t="shared" si="25"/>
        <v>3.8687306566571156</v>
      </c>
    </row>
    <row r="56" spans="1:36" x14ac:dyDescent="0.15">
      <c r="A56" s="8">
        <f t="shared" si="13"/>
        <v>39903</v>
      </c>
      <c r="B56" s="5" cm="1">
        <f t="array" aca="1" ref="B56" ca="1">OFFSET('Input IBGE'!$A$5,ROW()-3,COLUMN()-1,,)</f>
        <v>14466.75</v>
      </c>
      <c r="C56" s="5" cm="1">
        <f t="array" aca="1" ref="C56" ca="1">OFFSET('Input IBGE'!$A$5,ROW()-3,COLUMN()-1,,)</f>
        <v>49608.28</v>
      </c>
      <c r="D56" s="5" cm="1">
        <f t="array" aca="1" ref="D56" ca="1">OFFSET('Input IBGE'!$A$5,ROW()-3,COLUMN()-1,,)</f>
        <v>154610.03</v>
      </c>
      <c r="E56" s="5" cm="1">
        <f t="array" aca="1" ref="E56" ca="1">OFFSET('Input IBGE'!$A$5,ROW()-3,COLUMN()-1,,)</f>
        <v>218818.58</v>
      </c>
      <c r="F56" s="24">
        <f t="shared" ca="1" si="3"/>
        <v>35114.73000000001</v>
      </c>
      <c r="G56" s="5" cm="1">
        <f t="array" aca="1" ref="G56" ca="1">OFFSET('Input IBGE'!$A$5,ROW()-3,COLUMN()-2,,)</f>
        <v>253933.31</v>
      </c>
      <c r="H56" s="24">
        <v>262058.06318854887</v>
      </c>
      <c r="I56" s="9">
        <f t="shared" ca="1" si="4"/>
        <v>-3.1003637475192525</v>
      </c>
      <c r="K56" s="4">
        <f t="shared" ca="1" si="35"/>
        <v>-2.7037878721642761</v>
      </c>
      <c r="L56" s="4">
        <f t="shared" ca="1" si="36"/>
        <v>-6.6449075204923496</v>
      </c>
      <c r="M56" s="4">
        <f t="shared" ca="1" si="37"/>
        <v>0.79398472359597516</v>
      </c>
      <c r="N56" s="4">
        <f t="shared" ca="1" si="38"/>
        <v>-0.93969822311411599</v>
      </c>
      <c r="O56" s="4">
        <f t="shared" ca="1" si="39"/>
        <v>-4.0642745616060072</v>
      </c>
      <c r="P56" s="4">
        <f t="shared" ca="1" si="40"/>
        <v>-1.3838470221770316</v>
      </c>
      <c r="Q56" s="6">
        <f t="shared" si="41"/>
        <v>0.86058622796685302</v>
      </c>
      <c r="S56" s="4">
        <f t="shared" ca="1" si="31"/>
        <v>5.7000638180197072</v>
      </c>
      <c r="T56" s="4">
        <f t="shared" ca="1" si="32"/>
        <v>19.546225786869247</v>
      </c>
      <c r="U56" s="4">
        <f t="shared" ca="1" si="33"/>
        <v>60.918107930664554</v>
      </c>
      <c r="V56" s="4">
        <f t="shared" ca="1" si="12"/>
        <v>13.83560246444649</v>
      </c>
      <c r="W56" s="2">
        <f t="shared" ref="W56" si="47">YEAR(A56)</f>
        <v>2009</v>
      </c>
      <c r="X56" s="25">
        <f t="shared" ca="1" si="15"/>
        <v>0.24553118764725915</v>
      </c>
      <c r="Y56" s="25">
        <f t="shared" ca="1" si="16"/>
        <v>-0.13788549958707641</v>
      </c>
      <c r="Z56" s="25">
        <f t="shared" ca="1" si="17"/>
        <v>2.7431661644388137</v>
      </c>
      <c r="AA56" s="25">
        <f t="shared" ca="1" si="43"/>
        <v>2.8590929085786643</v>
      </c>
      <c r="AB56" s="25">
        <f t="shared" ca="1" si="18"/>
        <v>3.0345782272951594</v>
      </c>
      <c r="AC56" s="25">
        <f t="shared" si="19"/>
        <v>3.7977093855077859</v>
      </c>
      <c r="AE56" s="25">
        <f t="shared" ca="1" si="20"/>
        <v>3.6933827892457138</v>
      </c>
      <c r="AF56" s="25">
        <f t="shared" ca="1" si="21"/>
        <v>-0.55136358159830756</v>
      </c>
      <c r="AG56" s="25">
        <f t="shared" ca="1" si="22"/>
        <v>4.0066761409251805</v>
      </c>
      <c r="AH56" s="25">
        <f t="shared" ca="1" si="23"/>
        <v>2.8590929085786643</v>
      </c>
      <c r="AI56" s="25">
        <f t="shared" ca="1" si="24"/>
        <v>3.0345782272951594</v>
      </c>
      <c r="AJ56" s="25">
        <f t="shared" si="25"/>
        <v>3.7977093855077859</v>
      </c>
    </row>
    <row r="57" spans="1:36" x14ac:dyDescent="0.15">
      <c r="A57" s="8">
        <f t="shared" si="13"/>
        <v>39994</v>
      </c>
      <c r="B57" s="5" cm="1">
        <f t="array" aca="1" ref="B57" ca="1">OFFSET('Input IBGE'!$A$5,ROW()-3,COLUMN()-1,,)</f>
        <v>14306.87</v>
      </c>
      <c r="C57" s="5" cm="1">
        <f t="array" aca="1" ref="C57" ca="1">OFFSET('Input IBGE'!$A$5,ROW()-3,COLUMN()-1,,)</f>
        <v>52106.14</v>
      </c>
      <c r="D57" s="5" cm="1">
        <f t="array" aca="1" ref="D57" ca="1">OFFSET('Input IBGE'!$A$5,ROW()-3,COLUMN()-1,,)</f>
        <v>156174.85</v>
      </c>
      <c r="E57" s="5" cm="1">
        <f t="array" aca="1" ref="E57" ca="1">OFFSET('Input IBGE'!$A$5,ROW()-3,COLUMN()-1,,)</f>
        <v>221852.6</v>
      </c>
      <c r="F57" s="24">
        <f t="shared" ca="1" si="3"/>
        <v>36663.109999999986</v>
      </c>
      <c r="G57" s="5" cm="1">
        <f t="array" aca="1" ref="G57" ca="1">OFFSET('Input IBGE'!$A$5,ROW()-3,COLUMN()-2,,)</f>
        <v>258515.71</v>
      </c>
      <c r="H57" s="24">
        <v>264294.05614220869</v>
      </c>
      <c r="I57" s="9">
        <f t="shared" ca="1" si="4"/>
        <v>-2.1863322340853308</v>
      </c>
      <c r="K57" s="4">
        <f t="shared" ca="1" si="35"/>
        <v>-1.1051549242227843</v>
      </c>
      <c r="L57" s="4">
        <f t="shared" ca="1" si="36"/>
        <v>5.0351675163904153</v>
      </c>
      <c r="M57" s="4">
        <f t="shared" ca="1" si="37"/>
        <v>1.0121076879682445</v>
      </c>
      <c r="N57" s="4">
        <f t="shared" ca="1" si="38"/>
        <v>1.3865458774113382</v>
      </c>
      <c r="O57" s="4">
        <f t="shared" ca="1" si="39"/>
        <v>4.4094885536638762</v>
      </c>
      <c r="P57" s="4">
        <f t="shared" ca="1" si="40"/>
        <v>1.804568293935116</v>
      </c>
      <c r="Q57" s="6">
        <f t="shared" si="41"/>
        <v>0.85324333334899638</v>
      </c>
      <c r="S57" s="4">
        <f t="shared" ca="1" si="31"/>
        <v>5.5185405863669486</v>
      </c>
      <c r="T57" s="4">
        <f t="shared" ca="1" si="32"/>
        <v>20.098725185097667</v>
      </c>
      <c r="U57" s="4">
        <f t="shared" ca="1" si="33"/>
        <v>60.240796784675489</v>
      </c>
      <c r="V57" s="4">
        <f t="shared" ca="1" si="12"/>
        <v>14.141937443859899</v>
      </c>
      <c r="X57" s="25">
        <f t="shared" ca="1" si="15"/>
        <v>-2.7581701804701413E-2</v>
      </c>
      <c r="Y57" s="25">
        <f t="shared" ca="1" si="16"/>
        <v>-0.85703110181353415</v>
      </c>
      <c r="Z57" s="25">
        <f t="shared" ca="1" si="17"/>
        <v>1.8614959725858311</v>
      </c>
      <c r="AA57" s="25">
        <f t="shared" ca="1" si="43"/>
        <v>0.85986728107632082</v>
      </c>
      <c r="AB57" s="25">
        <f t="shared" ca="1" si="18"/>
        <v>0.98731267626690489</v>
      </c>
      <c r="AC57" s="25">
        <f t="shared" si="19"/>
        <v>3.7012133107621192</v>
      </c>
      <c r="AE57" s="25">
        <f t="shared" ca="1" si="20"/>
        <v>-0.4103377972300315</v>
      </c>
      <c r="AF57" s="25">
        <f t="shared" ca="1" si="21"/>
        <v>-3.4393194495187851</v>
      </c>
      <c r="AG57" s="25">
        <f t="shared" ca="1" si="22"/>
        <v>2.7197745240369553</v>
      </c>
      <c r="AH57" s="25">
        <f t="shared" ca="1" si="23"/>
        <v>0.85986728107632082</v>
      </c>
      <c r="AI57" s="25">
        <f t="shared" ca="1" si="24"/>
        <v>0.98731267626690489</v>
      </c>
      <c r="AJ57" s="25">
        <f t="shared" si="25"/>
        <v>3.7012133107621192</v>
      </c>
    </row>
    <row r="58" spans="1:36" x14ac:dyDescent="0.15">
      <c r="A58" s="8">
        <f t="shared" si="13"/>
        <v>40086</v>
      </c>
      <c r="B58" s="5" cm="1">
        <f t="array" aca="1" ref="B58" ca="1">OFFSET('Input IBGE'!$A$5,ROW()-3,COLUMN()-1,,)</f>
        <v>14440.55</v>
      </c>
      <c r="C58" s="5" cm="1">
        <f t="array" aca="1" ref="C58" ca="1">OFFSET('Input IBGE'!$A$5,ROW()-3,COLUMN()-1,,)</f>
        <v>54118.400000000001</v>
      </c>
      <c r="D58" s="5" cm="1">
        <f t="array" aca="1" ref="D58" ca="1">OFFSET('Input IBGE'!$A$5,ROW()-3,COLUMN()-1,,)</f>
        <v>158989.62</v>
      </c>
      <c r="E58" s="5" cm="1">
        <f t="array" aca="1" ref="E58" ca="1">OFFSET('Input IBGE'!$A$5,ROW()-3,COLUMN()-1,,)</f>
        <v>226828.03</v>
      </c>
      <c r="F58" s="24">
        <f t="shared" ca="1" si="3"/>
        <v>37752.040000000008</v>
      </c>
      <c r="G58" s="5" cm="1">
        <f t="array" aca="1" ref="G58" ca="1">OFFSET('Input IBGE'!$A$5,ROW()-3,COLUMN()-2,,)</f>
        <v>264580.07</v>
      </c>
      <c r="H58" s="24">
        <v>266538.70582075533</v>
      </c>
      <c r="I58" s="9">
        <f t="shared" ca="1" si="4"/>
        <v>-0.73484104859145027</v>
      </c>
      <c r="K58" s="4">
        <f t="shared" ca="1" si="35"/>
        <v>0.93437628216372914</v>
      </c>
      <c r="L58" s="4">
        <f t="shared" ca="1" si="36"/>
        <v>3.8618481430403362</v>
      </c>
      <c r="M58" s="4">
        <f t="shared" ca="1" si="37"/>
        <v>1.8023196436558031</v>
      </c>
      <c r="N58" s="4">
        <f t="shared" ca="1" si="38"/>
        <v>2.2426737392304608</v>
      </c>
      <c r="O58" s="4">
        <f t="shared" ca="1" si="39"/>
        <v>2.9700971903366069</v>
      </c>
      <c r="P58" s="4">
        <f t="shared" ca="1" si="40"/>
        <v>2.3458380923929267</v>
      </c>
      <c r="Q58" s="6">
        <f t="shared" si="41"/>
        <v>0.84930009827344222</v>
      </c>
      <c r="S58" s="4">
        <f t="shared" ca="1" si="31"/>
        <v>5.443089633303142</v>
      </c>
      <c r="T58" s="4">
        <f t="shared" ca="1" si="32"/>
        <v>20.398897688173427</v>
      </c>
      <c r="U58" s="4">
        <f t="shared" ca="1" si="33"/>
        <v>59.928101936893398</v>
      </c>
      <c r="V58" s="4">
        <f t="shared" ca="1" si="12"/>
        <v>14.229910741630036</v>
      </c>
      <c r="X58" s="25">
        <f t="shared" ca="1" si="15"/>
        <v>-0.22742818551626406</v>
      </c>
      <c r="Y58" s="25">
        <f t="shared" ca="1" si="16"/>
        <v>-1.6624653795077535</v>
      </c>
      <c r="Z58" s="25">
        <f t="shared" ca="1" si="17"/>
        <v>1.0893636691568767</v>
      </c>
      <c r="AA58" s="25">
        <f t="shared" ca="1" si="43"/>
        <v>-0.87342706411921434</v>
      </c>
      <c r="AB58" s="25">
        <f t="shared" ca="1" si="18"/>
        <v>-0.91123475884881122</v>
      </c>
      <c r="AC58" s="25">
        <f t="shared" si="19"/>
        <v>3.603533132355774</v>
      </c>
      <c r="AE58" s="25">
        <f t="shared" ca="1" si="20"/>
        <v>-3.3902516915829906</v>
      </c>
      <c r="AF58" s="25">
        <f t="shared" ca="1" si="21"/>
        <v>-6.6553214694159752</v>
      </c>
      <c r="AG58" s="25">
        <f t="shared" ca="1" si="22"/>
        <v>1.5916293012408822</v>
      </c>
      <c r="AH58" s="25">
        <f t="shared" ca="1" si="23"/>
        <v>-0.87342706411921434</v>
      </c>
      <c r="AI58" s="25">
        <f t="shared" ca="1" si="24"/>
        <v>-0.91123475884881122</v>
      </c>
      <c r="AJ58" s="25">
        <f t="shared" si="25"/>
        <v>3.603533132355774</v>
      </c>
    </row>
    <row r="59" spans="1:36" x14ac:dyDescent="0.15">
      <c r="A59" s="8">
        <f t="shared" si="13"/>
        <v>40178</v>
      </c>
      <c r="B59" s="5" cm="1">
        <f t="array" aca="1" ref="B59" ca="1">OFFSET('Input IBGE'!$A$5,ROW()-3,COLUMN()-1,,)</f>
        <v>15061.39</v>
      </c>
      <c r="C59" s="5" cm="1">
        <f t="array" aca="1" ref="C59" ca="1">OFFSET('Input IBGE'!$A$5,ROW()-3,COLUMN()-1,,)</f>
        <v>56358.52</v>
      </c>
      <c r="D59" s="5" cm="1">
        <f t="array" aca="1" ref="D59" ca="1">OFFSET('Input IBGE'!$A$5,ROW()-3,COLUMN()-1,,)</f>
        <v>161267.78</v>
      </c>
      <c r="E59" s="5" cm="1">
        <f t="array" aca="1" ref="E59" ca="1">OFFSET('Input IBGE'!$A$5,ROW()-3,COLUMN()-1,,)</f>
        <v>232234.6</v>
      </c>
      <c r="F59" s="24">
        <f t="shared" ca="1" si="3"/>
        <v>39042.050000000017</v>
      </c>
      <c r="G59" s="5" cm="1">
        <f t="array" aca="1" ref="G59" ca="1">OFFSET('Input IBGE'!$A$5,ROW()-3,COLUMN()-2,,)</f>
        <v>271276.65000000002</v>
      </c>
      <c r="H59" s="24">
        <v>268792.01222418866</v>
      </c>
      <c r="I59" s="9">
        <f t="shared" ca="1" si="4"/>
        <v>0.9243718796744016</v>
      </c>
      <c r="K59" s="4">
        <f t="shared" ca="1" si="35"/>
        <v>4.2992822295549793</v>
      </c>
      <c r="L59" s="4">
        <f t="shared" ca="1" si="36"/>
        <v>4.1392945837275263</v>
      </c>
      <c r="M59" s="4">
        <f t="shared" ca="1" si="37"/>
        <v>1.4328985753912837</v>
      </c>
      <c r="N59" s="4">
        <f t="shared" ca="1" si="38"/>
        <v>2.3835546250611017</v>
      </c>
      <c r="O59" s="4">
        <f t="shared" ca="1" si="39"/>
        <v>3.4170603760750762</v>
      </c>
      <c r="P59" s="4">
        <f t="shared" ca="1" si="40"/>
        <v>2.5310220834093844</v>
      </c>
      <c r="Q59" s="6">
        <f t="shared" si="41"/>
        <v>0.84539556703207008</v>
      </c>
      <c r="S59" s="4">
        <f t="shared" ca="1" si="31"/>
        <v>5.542783060845677</v>
      </c>
      <c r="T59" s="4">
        <f t="shared" ca="1" si="32"/>
        <v>20.740652090566162</v>
      </c>
      <c r="U59" s="4">
        <f t="shared" ca="1" si="33"/>
        <v>59.348593937490982</v>
      </c>
      <c r="V59" s="4">
        <f t="shared" ca="1" si="12"/>
        <v>14.367970911097188</v>
      </c>
      <c r="X59" s="25">
        <f t="shared" ca="1" si="15"/>
        <v>-0.2205998403099925</v>
      </c>
      <c r="Y59" s="25">
        <f t="shared" ca="1" si="16"/>
        <v>-1.166052542609828</v>
      </c>
      <c r="Z59" s="25">
        <f t="shared" ca="1" si="17"/>
        <v>1.599545654277831</v>
      </c>
      <c r="AA59" s="25">
        <f t="shared" ref="AA59:AA74" ca="1" si="48">100*(SUM(E56:E59)/SUM(E52:E55)-1)</f>
        <v>0.18582062131757837</v>
      </c>
      <c r="AB59" s="25">
        <f t="shared" ca="1" si="18"/>
        <v>0.15811289887168734</v>
      </c>
      <c r="AC59" s="25">
        <f t="shared" si="19"/>
        <v>3.5280039157631116</v>
      </c>
      <c r="AE59" s="25">
        <f t="shared" ca="1" si="20"/>
        <v>-3.2878175020898182</v>
      </c>
      <c r="AF59" s="25">
        <f t="shared" ca="1" si="21"/>
        <v>-4.7030257575060075</v>
      </c>
      <c r="AG59" s="25">
        <f t="shared" ca="1" si="22"/>
        <v>2.3294127307941448</v>
      </c>
      <c r="AH59" s="25">
        <f t="shared" ca="1" si="23"/>
        <v>0.18582062131757837</v>
      </c>
      <c r="AI59" s="25">
        <f t="shared" ca="1" si="24"/>
        <v>0.15811289887168734</v>
      </c>
      <c r="AJ59" s="25">
        <f t="shared" si="25"/>
        <v>3.5280039157631116</v>
      </c>
    </row>
    <row r="60" spans="1:36" x14ac:dyDescent="0.15">
      <c r="A60" s="8">
        <f t="shared" si="13"/>
        <v>40268</v>
      </c>
      <c r="B60" s="5" cm="1">
        <f t="array" aca="1" ref="B60" ca="1">OFFSET('Input IBGE'!$A$5,ROW()-3,COLUMN()-1,,)</f>
        <v>15350.96</v>
      </c>
      <c r="C60" s="5" cm="1">
        <f t="array" aca="1" ref="C60" ca="1">OFFSET('Input IBGE'!$A$5,ROW()-3,COLUMN()-1,,)</f>
        <v>56986.48</v>
      </c>
      <c r="D60" s="5" cm="1">
        <f t="array" aca="1" ref="D60" ca="1">OFFSET('Input IBGE'!$A$5,ROW()-3,COLUMN()-1,,)</f>
        <v>164217.44</v>
      </c>
      <c r="E60" s="5" cm="1">
        <f t="array" aca="1" ref="E60" ca="1">OFFSET('Input IBGE'!$A$5,ROW()-3,COLUMN()-1,,)</f>
        <v>237101.56</v>
      </c>
      <c r="F60" s="24">
        <f t="shared" ca="1" si="3"/>
        <v>40360.140000000014</v>
      </c>
      <c r="G60" s="5" cm="1">
        <f t="array" aca="1" ref="G60" ca="1">OFFSET('Input IBGE'!$A$5,ROW()-3,COLUMN()-2,,)</f>
        <v>277461.7</v>
      </c>
      <c r="H60" s="24">
        <v>271045.31862762209</v>
      </c>
      <c r="I60" s="9">
        <f t="shared" ca="1" si="4"/>
        <v>2.3672725302417374</v>
      </c>
      <c r="K60" s="4">
        <f t="shared" ca="1" si="35"/>
        <v>1.9225981134543435</v>
      </c>
      <c r="L60" s="4">
        <f t="shared" ca="1" si="36"/>
        <v>1.1142237234051056</v>
      </c>
      <c r="M60" s="4">
        <f t="shared" ca="1" si="37"/>
        <v>1.8290448346222732</v>
      </c>
      <c r="N60" s="4">
        <f t="shared" ca="1" si="38"/>
        <v>2.0957083914283192</v>
      </c>
      <c r="O60" s="4">
        <f t="shared" ca="1" si="39"/>
        <v>3.3760778442730288</v>
      </c>
      <c r="P60" s="4">
        <f t="shared" ca="1" si="40"/>
        <v>2.2799787596905263</v>
      </c>
      <c r="Q60" s="6">
        <f t="shared" si="41"/>
        <v>0.83830854376507613</v>
      </c>
      <c r="S60" s="4">
        <f t="shared" ca="1" si="31"/>
        <v>5.5435635091227624</v>
      </c>
      <c r="T60" s="4">
        <f t="shared" ca="1" si="32"/>
        <v>20.579049847133611</v>
      </c>
      <c r="U60" s="4">
        <f t="shared" ca="1" si="33"/>
        <v>59.30246759457107</v>
      </c>
      <c r="V60" s="4">
        <f t="shared" ca="1" si="12"/>
        <v>14.574919049172564</v>
      </c>
      <c r="W60" s="2">
        <f t="shared" ref="W60" si="49">YEAR(A60)</f>
        <v>2010</v>
      </c>
      <c r="X60" s="25">
        <f t="shared" ca="1" si="15"/>
        <v>-9.4937551394260536E-2</v>
      </c>
      <c r="Y60" s="25">
        <f t="shared" ca="1" si="16"/>
        <v>0.34220179535497924</v>
      </c>
      <c r="Z60" s="25">
        <f t="shared" ca="1" si="17"/>
        <v>2.3178029898281705</v>
      </c>
      <c r="AA60" s="25">
        <f t="shared" ca="1" si="48"/>
        <v>2.5223693464526242</v>
      </c>
      <c r="AB60" s="25">
        <f t="shared" ca="1" si="18"/>
        <v>2.7833916764099298</v>
      </c>
      <c r="AC60" s="25">
        <f t="shared" si="19"/>
        <v>3.4739811767679152</v>
      </c>
      <c r="AE60" s="25">
        <f t="shared" ca="1" si="20"/>
        <v>-1.4166003025835594</v>
      </c>
      <c r="AF60" s="25">
        <f t="shared" ca="1" si="21"/>
        <v>1.4152905960388429</v>
      </c>
      <c r="AG60" s="25">
        <f t="shared" ca="1" si="22"/>
        <v>3.3480359758131462</v>
      </c>
      <c r="AH60" s="25">
        <f t="shared" ca="1" si="23"/>
        <v>2.5223693464526242</v>
      </c>
      <c r="AI60" s="25">
        <f t="shared" ca="1" si="24"/>
        <v>2.7833916764099298</v>
      </c>
      <c r="AJ60" s="25">
        <f t="shared" si="25"/>
        <v>3.4739811767679152</v>
      </c>
    </row>
    <row r="61" spans="1:36" x14ac:dyDescent="0.15">
      <c r="A61" s="8">
        <f t="shared" si="13"/>
        <v>40359</v>
      </c>
      <c r="B61" s="5" cm="1">
        <f t="array" aca="1" ref="B61" ca="1">OFFSET('Input IBGE'!$A$5,ROW()-3,COLUMN()-1,,)</f>
        <v>15715.46</v>
      </c>
      <c r="C61" s="5" cm="1">
        <f t="array" aca="1" ref="C61" ca="1">OFFSET('Input IBGE'!$A$5,ROW()-3,COLUMN()-1,,)</f>
        <v>58510.38</v>
      </c>
      <c r="D61" s="5" cm="1">
        <f t="array" aca="1" ref="D61" ca="1">OFFSET('Input IBGE'!$A$5,ROW()-3,COLUMN()-1,,)</f>
        <v>165577.57999999999</v>
      </c>
      <c r="E61" s="5" cm="1">
        <f t="array" aca="1" ref="E61" ca="1">OFFSET('Input IBGE'!$A$5,ROW()-3,COLUMN()-1,,)</f>
        <v>239593.89</v>
      </c>
      <c r="F61" s="24">
        <f t="shared" ca="1" si="3"/>
        <v>40569.640000000014</v>
      </c>
      <c r="G61" s="5" cm="1">
        <f t="array" aca="1" ref="G61" ca="1">OFFSET('Input IBGE'!$A$5,ROW()-3,COLUMN()-2,,)</f>
        <v>280163.53000000003</v>
      </c>
      <c r="H61" s="24">
        <v>273298.62503105542</v>
      </c>
      <c r="I61" s="9">
        <f t="shared" ca="1" si="4"/>
        <v>2.5118695595942153</v>
      </c>
      <c r="K61" s="4">
        <f t="shared" ca="1" si="35"/>
        <v>2.3744443344259958</v>
      </c>
      <c r="L61" s="4">
        <f t="shared" ca="1" si="36"/>
        <v>2.6741430598977045</v>
      </c>
      <c r="M61" s="4">
        <f t="shared" ca="1" si="37"/>
        <v>0.82825551293455035</v>
      </c>
      <c r="N61" s="4">
        <f t="shared" ca="1" si="38"/>
        <v>1.0511655849080093</v>
      </c>
      <c r="O61" s="4">
        <f t="shared" ca="1" si="39"/>
        <v>0.519076494779247</v>
      </c>
      <c r="P61" s="4">
        <f t="shared" ca="1" si="40"/>
        <v>0.97376682980030438</v>
      </c>
      <c r="Q61" s="6">
        <f t="shared" si="41"/>
        <v>0.83133935492500921</v>
      </c>
      <c r="S61" s="4">
        <f t="shared" ca="1" si="31"/>
        <v>5.6051961625699693</v>
      </c>
      <c r="T61" s="4">
        <f t="shared" ca="1" si="32"/>
        <v>20.868759644739047</v>
      </c>
      <c r="U61" s="4">
        <f t="shared" ca="1" si="33"/>
        <v>59.056166095273198</v>
      </c>
      <c r="V61" s="4">
        <f t="shared" ca="1" si="12"/>
        <v>14.469878097417782</v>
      </c>
      <c r="X61" s="25">
        <f t="shared" ca="1" si="15"/>
        <v>0.1620755858809983</v>
      </c>
      <c r="Y61" s="25">
        <f t="shared" ca="1" si="16"/>
        <v>1.5103357550208194</v>
      </c>
      <c r="Z61" s="25">
        <f t="shared" ca="1" si="17"/>
        <v>3.2667972646931527</v>
      </c>
      <c r="AA61" s="25">
        <f t="shared" ca="1" si="48"/>
        <v>5.0439732782562974</v>
      </c>
      <c r="AB61" s="25">
        <f t="shared" ca="1" si="18"/>
        <v>5.3894469872403983</v>
      </c>
      <c r="AC61" s="25">
        <f t="shared" si="19"/>
        <v>3.4408662599545448</v>
      </c>
      <c r="AE61" s="25">
        <f t="shared" ca="1" si="20"/>
        <v>2.4419805309300324</v>
      </c>
      <c r="AF61" s="25">
        <f t="shared" ca="1" si="21"/>
        <v>6.3309299911683325</v>
      </c>
      <c r="AG61" s="25">
        <f t="shared" ca="1" si="22"/>
        <v>4.6865938545840535</v>
      </c>
      <c r="AH61" s="25">
        <f t="shared" ca="1" si="23"/>
        <v>5.0439732782562974</v>
      </c>
      <c r="AI61" s="25">
        <f t="shared" ca="1" si="24"/>
        <v>5.3894469872403983</v>
      </c>
      <c r="AJ61" s="25">
        <f t="shared" si="25"/>
        <v>3.4408662599545448</v>
      </c>
    </row>
    <row r="62" spans="1:36" x14ac:dyDescent="0.15">
      <c r="A62" s="8">
        <f t="shared" si="13"/>
        <v>40451</v>
      </c>
      <c r="B62" s="5" cm="1">
        <f t="array" aca="1" ref="B62" ca="1">OFFSET('Input IBGE'!$A$5,ROW()-3,COLUMN()-1,,)</f>
        <v>15360.19</v>
      </c>
      <c r="C62" s="5" cm="1">
        <f t="array" aca="1" ref="C62" ca="1">OFFSET('Input IBGE'!$A$5,ROW()-3,COLUMN()-1,,)</f>
        <v>58729.03</v>
      </c>
      <c r="D62" s="5" cm="1">
        <f t="array" aca="1" ref="D62" ca="1">OFFSET('Input IBGE'!$A$5,ROW()-3,COLUMN()-1,,)</f>
        <v>168086.09</v>
      </c>
      <c r="E62" s="5" cm="1">
        <f t="array" aca="1" ref="E62" ca="1">OFFSET('Input IBGE'!$A$5,ROW()-3,COLUMN()-1,,)</f>
        <v>241407.91</v>
      </c>
      <c r="F62" s="24">
        <f t="shared" ca="1" si="3"/>
        <v>41625.499999999971</v>
      </c>
      <c r="G62" s="5" cm="1">
        <f t="array" aca="1" ref="G62" ca="1">OFFSET('Input IBGE'!$A$5,ROW()-3,COLUMN()-2,,)</f>
        <v>283033.40999999997</v>
      </c>
      <c r="H62" s="24">
        <v>275451.9826336237</v>
      </c>
      <c r="I62" s="9">
        <f t="shared" ca="1" si="4"/>
        <v>2.7523589751975885</v>
      </c>
      <c r="K62" s="4">
        <f t="shared" ca="1" si="35"/>
        <v>-2.2606401594353454</v>
      </c>
      <c r="L62" s="4">
        <f t="shared" ca="1" si="36"/>
        <v>0.37369437696355146</v>
      </c>
      <c r="M62" s="4">
        <f t="shared" ca="1" si="37"/>
        <v>1.515005835935046</v>
      </c>
      <c r="N62" s="4">
        <f t="shared" ca="1" si="38"/>
        <v>0.75712281310678087</v>
      </c>
      <c r="O62" s="4">
        <f t="shared" ca="1" si="39"/>
        <v>2.6025865647315571</v>
      </c>
      <c r="P62" s="4">
        <f t="shared" ca="1" si="40"/>
        <v>1.0243588806865489</v>
      </c>
      <c r="Q62" s="6">
        <f t="shared" si="41"/>
        <v>0.78791380758815865</v>
      </c>
      <c r="S62" s="4">
        <f t="shared" ca="1" si="31"/>
        <v>5.4123136575966795</v>
      </c>
      <c r="T62" s="4">
        <f t="shared" ca="1" si="32"/>
        <v>20.693749957937051</v>
      </c>
      <c r="U62" s="4">
        <f t="shared" ca="1" si="33"/>
        <v>59.22678303842757</v>
      </c>
      <c r="V62" s="4">
        <f t="shared" ca="1" si="12"/>
        <v>14.667153346038717</v>
      </c>
      <c r="X62" s="25">
        <f t="shared" ca="1" si="15"/>
        <v>0.38328284538497231</v>
      </c>
      <c r="Y62" s="25">
        <f t="shared" ca="1" si="16"/>
        <v>2.4327338358711366</v>
      </c>
      <c r="Z62" s="25">
        <f t="shared" ca="1" si="17"/>
        <v>4.050262500223285</v>
      </c>
      <c r="AA62" s="25">
        <f t="shared" ca="1" si="48"/>
        <v>6.9726340758019756</v>
      </c>
      <c r="AB62" s="25">
        <f t="shared" ca="1" si="18"/>
        <v>7.4826101961926961</v>
      </c>
      <c r="AC62" s="25">
        <f t="shared" si="19"/>
        <v>3.4078658376194726</v>
      </c>
      <c r="AE62" s="25">
        <f t="shared" ca="1" si="20"/>
        <v>5.8624098573522687</v>
      </c>
      <c r="AF62" s="25">
        <f t="shared" ca="1" si="21"/>
        <v>10.342167109724087</v>
      </c>
      <c r="AG62" s="25">
        <f t="shared" ca="1" si="22"/>
        <v>5.7741009940487364</v>
      </c>
      <c r="AH62" s="25">
        <f t="shared" ca="1" si="23"/>
        <v>6.9726340758019756</v>
      </c>
      <c r="AI62" s="25">
        <f t="shared" ca="1" si="24"/>
        <v>7.4826101961926961</v>
      </c>
      <c r="AJ62" s="25">
        <f t="shared" si="25"/>
        <v>3.4078658376194726</v>
      </c>
    </row>
    <row r="63" spans="1:36" x14ac:dyDescent="0.15">
      <c r="A63" s="8">
        <f t="shared" si="13"/>
        <v>40543</v>
      </c>
      <c r="B63" s="5" cm="1">
        <f t="array" aca="1" ref="B63" ca="1">OFFSET('Input IBGE'!$A$5,ROW()-3,COLUMN()-1,,)</f>
        <v>15627.94</v>
      </c>
      <c r="C63" s="5" cm="1">
        <f t="array" aca="1" ref="C63" ca="1">OFFSET('Input IBGE'!$A$5,ROW()-3,COLUMN()-1,,)</f>
        <v>59636.49</v>
      </c>
      <c r="D63" s="5" cm="1">
        <f t="array" aca="1" ref="D63" ca="1">OFFSET('Input IBGE'!$A$5,ROW()-3,COLUMN()-1,,)</f>
        <v>169830.97</v>
      </c>
      <c r="E63" s="5" cm="1">
        <f t="array" aca="1" ref="E63" ca="1">OFFSET('Input IBGE'!$A$5,ROW()-3,COLUMN()-1,,)</f>
        <v>244652.21</v>
      </c>
      <c r="F63" s="24">
        <f t="shared" ca="1" si="3"/>
        <v>42216.870000000024</v>
      </c>
      <c r="G63" s="5" cm="1">
        <f t="array" aca="1" ref="G63" ca="1">OFFSET('Input IBGE'!$A$5,ROW()-3,COLUMN()-2,,)</f>
        <v>286869.08</v>
      </c>
      <c r="H63" s="24">
        <v>277505.39143532683</v>
      </c>
      <c r="I63" s="9">
        <f t="shared" ca="1" si="4"/>
        <v>3.3742366287883074</v>
      </c>
      <c r="K63" s="4">
        <f t="shared" ca="1" si="35"/>
        <v>1.743142500190431</v>
      </c>
      <c r="L63" s="4">
        <f t="shared" ca="1" si="36"/>
        <v>1.5451642909818153</v>
      </c>
      <c r="M63" s="4">
        <f t="shared" ca="1" si="37"/>
        <v>1.0380870897764405</v>
      </c>
      <c r="N63" s="4">
        <f t="shared" ca="1" si="38"/>
        <v>1.3439079108882535</v>
      </c>
      <c r="O63" s="4">
        <f t="shared" ca="1" si="39"/>
        <v>1.4206916433437522</v>
      </c>
      <c r="P63" s="4">
        <f t="shared" ca="1" si="40"/>
        <v>1.3552004337579859</v>
      </c>
      <c r="Q63" s="6">
        <f t="shared" si="41"/>
        <v>0.7454688770326845</v>
      </c>
      <c r="S63" s="4">
        <f t="shared" ca="1" si="31"/>
        <v>5.4393569756001021</v>
      </c>
      <c r="T63" s="4">
        <f t="shared" ca="1" si="32"/>
        <v>20.756680527427523</v>
      </c>
      <c r="U63" s="4">
        <f t="shared" ca="1" si="33"/>
        <v>59.110239183310895</v>
      </c>
      <c r="V63" s="4">
        <f t="shared" ca="1" si="12"/>
        <v>14.693723313661483</v>
      </c>
      <c r="X63" s="25">
        <f t="shared" ca="1" si="15"/>
        <v>0.42001200332796251</v>
      </c>
      <c r="Y63" s="25">
        <f t="shared" ca="1" si="16"/>
        <v>2.4086057186180434</v>
      </c>
      <c r="Z63" s="25">
        <f t="shared" ca="1" si="17"/>
        <v>4.0756276570289076</v>
      </c>
      <c r="AA63" s="25">
        <f t="shared" ca="1" si="48"/>
        <v>7.004489472280695</v>
      </c>
      <c r="AB63" s="25">
        <f t="shared" ca="1" si="18"/>
        <v>7.5571445406756865</v>
      </c>
      <c r="AC63" s="25">
        <f t="shared" si="19"/>
        <v>3.3549078027831136</v>
      </c>
      <c r="AE63" s="25">
        <f t="shared" ca="1" si="20"/>
        <v>6.4846910094042975</v>
      </c>
      <c r="AF63" s="25">
        <f t="shared" ca="1" si="21"/>
        <v>10.212970991181836</v>
      </c>
      <c r="AG63" s="25">
        <f t="shared" ca="1" si="22"/>
        <v>5.810989399949551</v>
      </c>
      <c r="AH63" s="25">
        <f t="shared" ca="1" si="23"/>
        <v>7.004489472280695</v>
      </c>
      <c r="AI63" s="25">
        <f t="shared" ca="1" si="24"/>
        <v>7.5571445406756865</v>
      </c>
      <c r="AJ63" s="25">
        <f t="shared" si="25"/>
        <v>3.3549078027831136</v>
      </c>
    </row>
    <row r="64" spans="1:36" x14ac:dyDescent="0.15">
      <c r="A64" s="8">
        <f t="shared" si="13"/>
        <v>40633</v>
      </c>
      <c r="B64" s="5" cm="1">
        <f t="array" aca="1" ref="B64" ca="1">OFFSET('Input IBGE'!$A$5,ROW()-3,COLUMN()-1,,)</f>
        <v>15995.73</v>
      </c>
      <c r="C64" s="5" cm="1">
        <f t="array" aca="1" ref="C64" ca="1">OFFSET('Input IBGE'!$A$5,ROW()-3,COLUMN()-1,,)</f>
        <v>59694.76</v>
      </c>
      <c r="D64" s="5" cm="1">
        <f t="array" aca="1" ref="D64" ca="1">OFFSET('Input IBGE'!$A$5,ROW()-3,COLUMN()-1,,)</f>
        <v>171900.2</v>
      </c>
      <c r="E64" s="5" cm="1">
        <f t="array" aca="1" ref="E64" ca="1">OFFSET('Input IBGE'!$A$5,ROW()-3,COLUMN()-1,,)</f>
        <v>248237.67</v>
      </c>
      <c r="F64" s="24">
        <f t="shared" ca="1" si="3"/>
        <v>42789.139999999985</v>
      </c>
      <c r="G64" s="5" cm="1">
        <f t="array" aca="1" ref="G64" ca="1">OFFSET('Input IBGE'!$A$5,ROW()-3,COLUMN()-2,,)</f>
        <v>291026.81</v>
      </c>
      <c r="H64" s="24">
        <v>279558.80023702997</v>
      </c>
      <c r="I64" s="9">
        <f t="shared" ca="1" si="4"/>
        <v>4.1021816352218687</v>
      </c>
      <c r="K64" s="4">
        <f t="shared" ca="1" si="35"/>
        <v>2.3534131817757098</v>
      </c>
      <c r="L64" s="4">
        <f t="shared" ca="1" si="36"/>
        <v>9.7708634428350649E-2</v>
      </c>
      <c r="M64" s="4">
        <f t="shared" ca="1" si="37"/>
        <v>1.2184055711393471</v>
      </c>
      <c r="N64" s="4">
        <f t="shared" ca="1" si="38"/>
        <v>1.4655334607441395</v>
      </c>
      <c r="O64" s="4">
        <f t="shared" ca="1" si="39"/>
        <v>1.3555481493534804</v>
      </c>
      <c r="P64" s="4">
        <f t="shared" ca="1" si="40"/>
        <v>1.4493475560349633</v>
      </c>
      <c r="Q64" s="6">
        <f t="shared" si="41"/>
        <v>0.73995275950582418</v>
      </c>
      <c r="S64" s="4">
        <f t="shared" ca="1" si="31"/>
        <v>5.5085540893112315</v>
      </c>
      <c r="T64" s="4">
        <f t="shared" ca="1" si="32"/>
        <v>20.557474670330926</v>
      </c>
      <c r="U64" s="4">
        <f t="shared" ca="1" si="33"/>
        <v>59.198395425742909</v>
      </c>
      <c r="V64" s="4">
        <f t="shared" ca="1" si="12"/>
        <v>14.735575814614945</v>
      </c>
      <c r="W64" s="2">
        <f t="shared" ref="W64" si="50">YEAR(A64)</f>
        <v>2011</v>
      </c>
      <c r="X64" s="25">
        <f t="shared" ca="1" si="15"/>
        <v>0.38556484353625115</v>
      </c>
      <c r="Y64" s="25">
        <f t="shared" ca="1" si="16"/>
        <v>1.8519399846706532</v>
      </c>
      <c r="Z64" s="25">
        <f t="shared" ca="1" si="17"/>
        <v>3.7848055044832236</v>
      </c>
      <c r="AA64" s="25">
        <f t="shared" ca="1" si="48"/>
        <v>6.0864780043946798</v>
      </c>
      <c r="AB64" s="25">
        <f t="shared" ca="1" si="18"/>
        <v>6.4616994422448615</v>
      </c>
      <c r="AC64" s="25">
        <f t="shared" si="19"/>
        <v>3.2824963317940714</v>
      </c>
      <c r="AE64" s="25">
        <f t="shared" ca="1" si="20"/>
        <v>5.9830354310032252</v>
      </c>
      <c r="AF64" s="25">
        <f t="shared" ca="1" si="21"/>
        <v>7.7429319203383029</v>
      </c>
      <c r="AG64" s="25">
        <f t="shared" ca="1" si="22"/>
        <v>5.4234241493194446</v>
      </c>
      <c r="AH64" s="25">
        <f t="shared" ca="1" si="23"/>
        <v>6.0864780043946798</v>
      </c>
      <c r="AI64" s="25">
        <f t="shared" ca="1" si="24"/>
        <v>6.4616994422448615</v>
      </c>
      <c r="AJ64" s="25">
        <f t="shared" si="25"/>
        <v>3.2824963317940714</v>
      </c>
    </row>
    <row r="65" spans="1:36" x14ac:dyDescent="0.15">
      <c r="A65" s="8">
        <f t="shared" si="13"/>
        <v>40724</v>
      </c>
      <c r="B65" s="5" cm="1">
        <f t="array" aca="1" ref="B65" ca="1">OFFSET('Input IBGE'!$A$5,ROW()-3,COLUMN()-1,,)</f>
        <v>15840.37</v>
      </c>
      <c r="C65" s="5" cm="1">
        <f t="array" aca="1" ref="C65" ca="1">OFFSET('Input IBGE'!$A$5,ROW()-3,COLUMN()-1,,)</f>
        <v>61811.47</v>
      </c>
      <c r="D65" s="5" cm="1">
        <f t="array" aca="1" ref="D65" ca="1">OFFSET('Input IBGE'!$A$5,ROW()-3,COLUMN()-1,,)</f>
        <v>172821.23</v>
      </c>
      <c r="E65" s="5" cm="1">
        <f t="array" aca="1" ref="E65" ca="1">OFFSET('Input IBGE'!$A$5,ROW()-3,COLUMN()-1,,)</f>
        <v>249996.74</v>
      </c>
      <c r="F65" s="24">
        <f t="shared" ca="1" si="3"/>
        <v>43843.660000000033</v>
      </c>
      <c r="G65" s="5" cm="1">
        <f t="array" aca="1" ref="G65" ca="1">OFFSET('Input IBGE'!$A$5,ROW()-3,COLUMN()-2,,)</f>
        <v>293840.40000000002</v>
      </c>
      <c r="H65" s="24">
        <v>281612.20903873316</v>
      </c>
      <c r="I65" s="9">
        <f t="shared" ca="1" si="4"/>
        <v>4.342209097754357</v>
      </c>
      <c r="K65" s="4">
        <f t="shared" ca="1" si="35"/>
        <v>-0.97125920480027883</v>
      </c>
      <c r="L65" s="4">
        <f t="shared" ca="1" si="36"/>
        <v>3.5458891199160458</v>
      </c>
      <c r="M65" s="4">
        <f t="shared" ca="1" si="37"/>
        <v>0.53579344293956943</v>
      </c>
      <c r="N65" s="4">
        <f t="shared" ca="1" si="38"/>
        <v>0.7086233124891983</v>
      </c>
      <c r="O65" s="4">
        <f t="shared" ca="1" si="39"/>
        <v>2.4644571029005302</v>
      </c>
      <c r="P65" s="4">
        <f t="shared" ca="1" si="40"/>
        <v>0.96678034576953564</v>
      </c>
      <c r="Q65" s="6">
        <f t="shared" si="41"/>
        <v>0.73451767569547854</v>
      </c>
      <c r="S65" s="4">
        <f t="shared" ca="1" si="31"/>
        <v>5.3820827650538243</v>
      </c>
      <c r="T65" s="4">
        <f t="shared" ca="1" si="32"/>
        <v>21.001684138037273</v>
      </c>
      <c r="U65" s="4">
        <f t="shared" ca="1" si="33"/>
        <v>58.719472046322338</v>
      </c>
      <c r="V65" s="4">
        <f t="shared" ca="1" si="12"/>
        <v>14.896761050586566</v>
      </c>
      <c r="X65" s="25">
        <f t="shared" ca="1" si="15"/>
        <v>0.24107406050931537</v>
      </c>
      <c r="Y65" s="25">
        <f t="shared" ca="1" si="16"/>
        <v>1.4852097242911317</v>
      </c>
      <c r="Z65" s="25">
        <f t="shared" ca="1" si="17"/>
        <v>3.4823177802536227</v>
      </c>
      <c r="AA65" s="25">
        <f t="shared" ca="1" si="48"/>
        <v>5.1868587658895793</v>
      </c>
      <c r="AB65" s="25">
        <f t="shared" ca="1" si="18"/>
        <v>5.6048250270614997</v>
      </c>
      <c r="AC65" s="25">
        <f t="shared" si="19"/>
        <v>3.1911207017424559</v>
      </c>
      <c r="AE65" s="25">
        <f t="shared" ca="1" si="20"/>
        <v>3.7245023639405295</v>
      </c>
      <c r="AF65" s="25">
        <f t="shared" ca="1" si="21"/>
        <v>6.1502577865449659</v>
      </c>
      <c r="AG65" s="25">
        <f t="shared" ca="1" si="22"/>
        <v>5.01283727241566</v>
      </c>
      <c r="AH65" s="25">
        <f t="shared" ca="1" si="23"/>
        <v>5.1868587658895793</v>
      </c>
      <c r="AI65" s="25">
        <f t="shared" ca="1" si="24"/>
        <v>5.6048250270614997</v>
      </c>
      <c r="AJ65" s="25">
        <f t="shared" si="25"/>
        <v>3.1911207017424559</v>
      </c>
    </row>
    <row r="66" spans="1:36" x14ac:dyDescent="0.15">
      <c r="A66" s="8">
        <f t="shared" si="13"/>
        <v>40816</v>
      </c>
      <c r="B66" s="5" cm="1">
        <f t="array" aca="1" ref="B66" ca="1">OFFSET('Input IBGE'!$A$5,ROW()-3,COLUMN()-1,,)</f>
        <v>16650.740000000002</v>
      </c>
      <c r="C66" s="5" cm="1">
        <f t="array" aca="1" ref="C66" ca="1">OFFSET('Input IBGE'!$A$5,ROW()-3,COLUMN()-1,,)</f>
        <v>61070.98</v>
      </c>
      <c r="D66" s="5" cm="1">
        <f t="array" aca="1" ref="D66" ca="1">OFFSET('Input IBGE'!$A$5,ROW()-3,COLUMN()-1,,)</f>
        <v>172809.52</v>
      </c>
      <c r="E66" s="5" cm="1">
        <f t="array" aca="1" ref="E66" ca="1">OFFSET('Input IBGE'!$A$5,ROW()-3,COLUMN()-1,,)</f>
        <v>249734.01</v>
      </c>
      <c r="F66" s="24">
        <f t="shared" ca="1" si="3"/>
        <v>43488.609999999986</v>
      </c>
      <c r="G66" s="5" cm="1">
        <f t="array" aca="1" ref="G66" ca="1">OFFSET('Input IBGE'!$A$5,ROW()-3,COLUMN()-2,,)</f>
        <v>293222.62</v>
      </c>
      <c r="H66" s="24">
        <v>283490.85700501106</v>
      </c>
      <c r="I66" s="9">
        <f t="shared" ca="1" si="4"/>
        <v>3.432831343416809</v>
      </c>
      <c r="K66" s="4">
        <f t="shared" ca="1" si="35"/>
        <v>5.1158527231371487</v>
      </c>
      <c r="L66" s="4">
        <f t="shared" ca="1" si="36"/>
        <v>-1.197981539672166</v>
      </c>
      <c r="M66" s="4">
        <f t="shared" ca="1" si="37"/>
        <v>-6.7757879052332548E-3</v>
      </c>
      <c r="N66" s="4">
        <f t="shared" ca="1" si="38"/>
        <v>-0.10509337041754163</v>
      </c>
      <c r="O66" s="4">
        <f t="shared" ca="1" si="39"/>
        <v>-0.80980921756999003</v>
      </c>
      <c r="P66" s="4">
        <f t="shared" ca="1" si="40"/>
        <v>-0.21024338382333863</v>
      </c>
      <c r="Q66" s="6">
        <f t="shared" si="41"/>
        <v>0.66710458779133397</v>
      </c>
      <c r="S66" s="4">
        <f t="shared" ca="1" si="31"/>
        <v>5.6631346489021084</v>
      </c>
      <c r="T66" s="4">
        <f t="shared" ca="1" si="32"/>
        <v>20.77103977843673</v>
      </c>
      <c r="U66" s="4">
        <f t="shared" ca="1" si="33"/>
        <v>58.774780002098503</v>
      </c>
      <c r="V66" s="4">
        <f t="shared" ca="1" si="12"/>
        <v>14.791045570562666</v>
      </c>
      <c r="X66" s="25">
        <f t="shared" ca="1" si="15"/>
        <v>0.27640482760469715</v>
      </c>
      <c r="Y66" s="25">
        <f t="shared" ca="1" si="16"/>
        <v>1.2237004612548565</v>
      </c>
      <c r="Z66" s="25">
        <f t="shared" ca="1" si="17"/>
        <v>2.9687365113775011</v>
      </c>
      <c r="AA66" s="25">
        <f t="shared" ca="1" si="48"/>
        <v>4.449224568489285</v>
      </c>
      <c r="AB66" s="25">
        <f t="shared" ca="1" si="18"/>
        <v>4.7685886469166938</v>
      </c>
      <c r="AC66" s="25">
        <f t="shared" si="19"/>
        <v>3.0846675781997401</v>
      </c>
      <c r="AE66" s="25">
        <f t="shared" ca="1" si="20"/>
        <v>4.2720205568566261</v>
      </c>
      <c r="AF66" s="25">
        <f t="shared" ca="1" si="21"/>
        <v>5.0433982071901529</v>
      </c>
      <c r="AG66" s="25">
        <f t="shared" ca="1" si="22"/>
        <v>4.2802211196927287</v>
      </c>
      <c r="AH66" s="25">
        <f t="shared" ca="1" si="23"/>
        <v>4.449224568489285</v>
      </c>
      <c r="AI66" s="25">
        <f t="shared" ca="1" si="24"/>
        <v>4.7685886469166938</v>
      </c>
      <c r="AJ66" s="25">
        <f t="shared" si="25"/>
        <v>3.0846675781997401</v>
      </c>
    </row>
    <row r="67" spans="1:36" x14ac:dyDescent="0.15">
      <c r="A67" s="8">
        <f t="shared" si="13"/>
        <v>40908</v>
      </c>
      <c r="B67" s="5" cm="1">
        <f t="array" aca="1" ref="B67" ca="1">OFFSET('Input IBGE'!$A$5,ROW()-3,COLUMN()-1,,)</f>
        <v>17463.72</v>
      </c>
      <c r="C67" s="5" cm="1">
        <f t="array" aca="1" ref="C67" ca="1">OFFSET('Input IBGE'!$A$5,ROW()-3,COLUMN()-1,,)</f>
        <v>60902.07</v>
      </c>
      <c r="D67" s="5" cm="1">
        <f t="array" aca="1" ref="D67" ca="1">OFFSET('Input IBGE'!$A$5,ROW()-3,COLUMN()-1,,)</f>
        <v>173724.08</v>
      </c>
      <c r="E67" s="5" cm="1">
        <f t="array" aca="1" ref="E67" ca="1">OFFSET('Input IBGE'!$A$5,ROW()-3,COLUMN()-1,,)</f>
        <v>251801.89</v>
      </c>
      <c r="F67" s="24">
        <f t="shared" ca="1" si="3"/>
        <v>43825.820000000007</v>
      </c>
      <c r="G67" s="5" cm="1">
        <f t="array" aca="1" ref="G67" ca="1">OFFSET('Input IBGE'!$A$5,ROW()-3,COLUMN()-2,,)</f>
        <v>295627.71000000002</v>
      </c>
      <c r="H67" s="24">
        <v>285194.74413586385</v>
      </c>
      <c r="I67" s="9">
        <f t="shared" ca="1" si="4"/>
        <v>3.6581900889330665</v>
      </c>
      <c r="K67" s="4">
        <f t="shared" ca="1" si="35"/>
        <v>4.8825457607289513</v>
      </c>
      <c r="L67" s="4">
        <f t="shared" ca="1" si="36"/>
        <v>-0.27657980926456549</v>
      </c>
      <c r="M67" s="4">
        <f t="shared" ca="1" si="37"/>
        <v>0.52923010260081949</v>
      </c>
      <c r="N67" s="4">
        <f t="shared" ca="1" si="38"/>
        <v>0.82803299398428454</v>
      </c>
      <c r="O67" s="4">
        <f t="shared" ca="1" si="39"/>
        <v>0.77539843191130053</v>
      </c>
      <c r="P67" s="4">
        <f t="shared" ca="1" si="40"/>
        <v>0.82022662508098865</v>
      </c>
      <c r="Q67" s="6">
        <f t="shared" si="41"/>
        <v>0.60103777203039943</v>
      </c>
      <c r="S67" s="4">
        <f t="shared" ca="1" si="31"/>
        <v>5.9015863606285972</v>
      </c>
      <c r="T67" s="4">
        <f t="shared" ca="1" si="32"/>
        <v>20.580885724579183</v>
      </c>
      <c r="U67" s="4">
        <f t="shared" ca="1" si="33"/>
        <v>58.707289228225775</v>
      </c>
      <c r="V67" s="4">
        <f t="shared" ca="1" si="12"/>
        <v>14.810238686566436</v>
      </c>
      <c r="X67" s="25">
        <f t="shared" ca="1" si="15"/>
        <v>0.40467280807318406</v>
      </c>
      <c r="Y67" s="25">
        <f t="shared" ca="1" si="16"/>
        <v>0.99889320816913163</v>
      </c>
      <c r="Z67" s="25">
        <f t="shared" ca="1" si="17"/>
        <v>2.4453714664045036</v>
      </c>
      <c r="AA67" s="25">
        <f t="shared" ca="1" si="48"/>
        <v>3.8446664089411664</v>
      </c>
      <c r="AB67" s="25">
        <f t="shared" ca="1" si="18"/>
        <v>4.0965573777645092</v>
      </c>
      <c r="AC67" s="25">
        <f t="shared" si="19"/>
        <v>2.9668507786382525</v>
      </c>
      <c r="AE67" s="25">
        <f t="shared" ca="1" si="20"/>
        <v>6.2783631498415371</v>
      </c>
      <c r="AF67" s="25">
        <f t="shared" ca="1" si="21"/>
        <v>4.1122047932634631</v>
      </c>
      <c r="AG67" s="25">
        <f t="shared" ca="1" si="22"/>
        <v>3.5259134446092411</v>
      </c>
      <c r="AH67" s="25">
        <f t="shared" ca="1" si="23"/>
        <v>3.8446664089411664</v>
      </c>
      <c r="AI67" s="25">
        <f t="shared" ca="1" si="24"/>
        <v>4.0965573777645092</v>
      </c>
      <c r="AJ67" s="25">
        <f t="shared" si="25"/>
        <v>2.9668507786382525</v>
      </c>
    </row>
    <row r="68" spans="1:36" x14ac:dyDescent="0.15">
      <c r="A68" s="8">
        <f t="shared" si="13"/>
        <v>40999</v>
      </c>
      <c r="B68" s="5" cm="1">
        <f t="array" aca="1" ref="B68" ca="1">OFFSET('Input IBGE'!$A$5,ROW()-3,COLUMN()-1,,)</f>
        <v>14046.52</v>
      </c>
      <c r="C68" s="5" cm="1">
        <f t="array" aca="1" ref="C68" ca="1">OFFSET('Input IBGE'!$A$5,ROW()-3,COLUMN()-1,,)</f>
        <v>60994.31</v>
      </c>
      <c r="D68" s="5" cm="1">
        <f t="array" aca="1" ref="D68" ca="1">OFFSET('Input IBGE'!$A$5,ROW()-3,COLUMN()-1,,)</f>
        <v>173517.53</v>
      </c>
      <c r="E68" s="5" cm="1">
        <f t="array" aca="1" ref="E68" ca="1">OFFSET('Input IBGE'!$A$5,ROW()-3,COLUMN()-1,,)</f>
        <v>248211.21</v>
      </c>
      <c r="F68" s="24">
        <f t="shared" ca="1" si="3"/>
        <v>43609.790000000008</v>
      </c>
      <c r="G68" s="5" cm="1">
        <f t="array" aca="1" ref="G68" ca="1">OFFSET('Input IBGE'!$A$5,ROW()-3,COLUMN()-2,,)</f>
        <v>291821</v>
      </c>
      <c r="H68" s="24">
        <v>286898.63126671663</v>
      </c>
      <c r="I68" s="9">
        <f t="shared" ca="1" si="4"/>
        <v>1.7157170501476804</v>
      </c>
      <c r="K68" s="4">
        <f t="shared" ca="1" si="35"/>
        <v>-19.567423206510416</v>
      </c>
      <c r="L68" s="4">
        <f t="shared" ca="1" si="36"/>
        <v>0.15145626413026747</v>
      </c>
      <c r="M68" s="4">
        <f t="shared" ca="1" si="37"/>
        <v>-0.11889543464554952</v>
      </c>
      <c r="N68" s="4">
        <f t="shared" ca="1" si="38"/>
        <v>-1.4259940622367906</v>
      </c>
      <c r="O68" s="4">
        <f t="shared" ca="1" si="39"/>
        <v>-0.49292859779919151</v>
      </c>
      <c r="P68" s="4">
        <f t="shared" ca="1" si="40"/>
        <v>-1.2876702255008587</v>
      </c>
      <c r="Q68" s="6">
        <f t="shared" si="41"/>
        <v>0.59744689055036826</v>
      </c>
      <c r="S68" s="4">
        <f t="shared" ref="S68:S100" ca="1" si="51">B68/$G68/(SUM($B68:$D68,$F68)/$G68)*100</f>
        <v>4.8076835206027759</v>
      </c>
      <c r="T68" s="4">
        <f t="shared" ref="T68:T100" ca="1" si="52">C68/$G68/(SUM($B68:$D68,$F68)/$G68)*100</f>
        <v>20.876440501813761</v>
      </c>
      <c r="U68" s="4">
        <f t="shared" ref="U68:U100" ca="1" si="53">D68/$G68/(SUM($B68:$D68,$F68)/$G68)*100</f>
        <v>59.389611769797625</v>
      </c>
      <c r="V68" s="4">
        <f t="shared" ca="1" si="12"/>
        <v>14.926264207785826</v>
      </c>
      <c r="W68" s="2">
        <f t="shared" ref="W68" si="54">YEAR(A68)</f>
        <v>2012</v>
      </c>
      <c r="X68" s="25">
        <f t="shared" ca="1" si="15"/>
        <v>0.13369351301984642</v>
      </c>
      <c r="Y68" s="25">
        <f t="shared" ca="1" si="16"/>
        <v>0.84282165753793348</v>
      </c>
      <c r="Z68" s="25">
        <f t="shared" ca="1" si="17"/>
        <v>1.7946061516820777</v>
      </c>
      <c r="AA68" s="25">
        <f t="shared" ca="1" si="48"/>
        <v>2.6545221127671992</v>
      </c>
      <c r="AB68" s="25">
        <f t="shared" ca="1" si="18"/>
        <v>2.9286749615278884</v>
      </c>
      <c r="AC68" s="25">
        <f t="shared" si="19"/>
        <v>2.837875033694881</v>
      </c>
      <c r="AE68" s="25">
        <f t="shared" ca="1" si="20"/>
        <v>2.0766253924284994</v>
      </c>
      <c r="AF68" s="25">
        <f t="shared" ca="1" si="21"/>
        <v>3.4696483494614405</v>
      </c>
      <c r="AG68" s="25">
        <f t="shared" ca="1" si="22"/>
        <v>2.5877485235155095</v>
      </c>
      <c r="AH68" s="25">
        <f t="shared" ca="1" si="23"/>
        <v>2.6545221127671992</v>
      </c>
      <c r="AI68" s="25">
        <f t="shared" ca="1" si="24"/>
        <v>2.9286749615278884</v>
      </c>
      <c r="AJ68" s="25">
        <f t="shared" si="25"/>
        <v>2.837875033694881</v>
      </c>
    </row>
    <row r="69" spans="1:36" x14ac:dyDescent="0.15">
      <c r="A69" s="8">
        <f t="shared" si="13"/>
        <v>41090</v>
      </c>
      <c r="B69" s="5" cm="1">
        <f t="array" aca="1" ref="B69" ca="1">OFFSET('Input IBGE'!$A$5,ROW()-3,COLUMN()-1,,)</f>
        <v>15792.66</v>
      </c>
      <c r="C69" s="5" cm="1">
        <f t="array" aca="1" ref="C69" ca="1">OFFSET('Input IBGE'!$A$5,ROW()-3,COLUMN()-1,,)</f>
        <v>59836.82</v>
      </c>
      <c r="D69" s="5" cm="1">
        <f t="array" aca="1" ref="D69" ca="1">OFFSET('Input IBGE'!$A$5,ROW()-3,COLUMN()-1,,)</f>
        <v>177043.18</v>
      </c>
      <c r="E69" s="5" cm="1">
        <f t="array" aca="1" ref="E69" ca="1">OFFSET('Input IBGE'!$A$5,ROW()-3,COLUMN()-1,,)</f>
        <v>252017.14</v>
      </c>
      <c r="F69" s="24">
        <f t="shared" ref="F69:F100" ca="1" si="55">G69-E69</f>
        <v>44817.01999999996</v>
      </c>
      <c r="G69" s="5" cm="1">
        <f t="array" aca="1" ref="G69" ca="1">OFFSET('Input IBGE'!$A$5,ROW()-3,COLUMN()-2,,)</f>
        <v>296834.15999999997</v>
      </c>
      <c r="H69" s="24">
        <v>288602.51839756931</v>
      </c>
      <c r="I69" s="9">
        <f t="shared" ref="I69:I132" ca="1" si="56">(G69/H69-1)*100</f>
        <v>2.8522417781160936</v>
      </c>
      <c r="K69" s="4">
        <f t="shared" ref="K69:K100" ca="1" si="57">100*(B69/B68-1)</f>
        <v>12.431121729794992</v>
      </c>
      <c r="L69" s="4">
        <f t="shared" ref="L69:L100" ca="1" si="58">100*(C69/C68-1)</f>
        <v>-1.8977016052808882</v>
      </c>
      <c r="M69" s="4">
        <f t="shared" ref="M69:M100" ca="1" si="59">100*(D69/D68-1)</f>
        <v>2.0318696329990393</v>
      </c>
      <c r="N69" s="4">
        <f t="shared" ref="N69:N100" ca="1" si="60">100*(E69/E68-1)</f>
        <v>1.5333433167664001</v>
      </c>
      <c r="O69" s="4">
        <f t="shared" ref="O69:O100" ca="1" si="61">100*(F69/F68-1)</f>
        <v>2.768254559354566</v>
      </c>
      <c r="P69" s="4">
        <f t="shared" ref="P69:P100" ca="1" si="62">100*(G69/G68-1)</f>
        <v>1.7178887057476944</v>
      </c>
      <c r="Q69" s="6">
        <f t="shared" ref="Q69:Q100" si="63">100*(H69/H68-1)</f>
        <v>0.59389866146437598</v>
      </c>
      <c r="S69" s="4">
        <f t="shared" ca="1" si="51"/>
        <v>5.3086412947165114</v>
      </c>
      <c r="T69" s="4">
        <f t="shared" ca="1" si="52"/>
        <v>20.113914539825391</v>
      </c>
      <c r="U69" s="4">
        <f t="shared" ca="1" si="53"/>
        <v>59.512377034389921</v>
      </c>
      <c r="V69" s="4">
        <f t="shared" ref="V69:V100" ca="1" si="64">F69/$G69/(SUM($B69:$D69,$F69)/$G69)*100</f>
        <v>15.065067131068202</v>
      </c>
      <c r="X69" s="25">
        <f t="shared" ca="1" si="15"/>
        <v>0.11474309422404334</v>
      </c>
      <c r="Y69" s="25">
        <f t="shared" ca="1" si="16"/>
        <v>0.29792200511365002</v>
      </c>
      <c r="Z69" s="25">
        <f t="shared" ca="1" si="17"/>
        <v>1.4686478040267059</v>
      </c>
      <c r="AA69" s="25">
        <f t="shared" ca="1" si="48"/>
        <v>1.7748468032225961</v>
      </c>
      <c r="AB69" s="25">
        <f t="shared" ca="1" si="18"/>
        <v>1.9688592452676845</v>
      </c>
      <c r="AC69" s="25">
        <f t="shared" si="19"/>
        <v>2.6979267299706899</v>
      </c>
      <c r="AE69" s="25">
        <f t="shared" ca="1" si="20"/>
        <v>1.7977299522811574</v>
      </c>
      <c r="AF69" s="25">
        <f t="shared" ca="1" si="21"/>
        <v>1.2224991062932622</v>
      </c>
      <c r="AG69" s="25">
        <f t="shared" ca="1" si="22"/>
        <v>2.1176391621281265</v>
      </c>
      <c r="AH69" s="25">
        <f t="shared" ca="1" si="23"/>
        <v>1.7748468032225961</v>
      </c>
      <c r="AI69" s="25">
        <f t="shared" ca="1" si="24"/>
        <v>1.9688592452676845</v>
      </c>
      <c r="AJ69" s="25">
        <f t="shared" si="25"/>
        <v>2.6979267299706899</v>
      </c>
    </row>
    <row r="70" spans="1:36" x14ac:dyDescent="0.15">
      <c r="A70" s="8">
        <f t="shared" ref="A70:A133" si="65">EOMONTH(A69,3)</f>
        <v>41182</v>
      </c>
      <c r="B70" s="5" cm="1">
        <f t="array" aca="1" ref="B70" ca="1">OFFSET('Input IBGE'!$A$5,ROW()-3,COLUMN()-1,,)</f>
        <v>17576</v>
      </c>
      <c r="C70" s="5" cm="1">
        <f t="array" aca="1" ref="C70" ca="1">OFFSET('Input IBGE'!$A$5,ROW()-3,COLUMN()-1,,)</f>
        <v>60729.35</v>
      </c>
      <c r="D70" s="5" cm="1">
        <f t="array" aca="1" ref="D70" ca="1">OFFSET('Input IBGE'!$A$5,ROW()-3,COLUMN()-1,,)</f>
        <v>178860.76</v>
      </c>
      <c r="E70" s="5" cm="1">
        <f t="array" aca="1" ref="E70" ca="1">OFFSET('Input IBGE'!$A$5,ROW()-3,COLUMN()-1,,)</f>
        <v>256559.5</v>
      </c>
      <c r="F70" s="24">
        <f t="shared" ca="1" si="55"/>
        <v>45449.510000000009</v>
      </c>
      <c r="G70" s="5" cm="1">
        <f t="array" aca="1" ref="G70" ca="1">OFFSET('Input IBGE'!$A$5,ROW()-3,COLUMN()-2,,)</f>
        <v>302009.01</v>
      </c>
      <c r="H70" s="24">
        <v>290164.19520166819</v>
      </c>
      <c r="I70" s="9">
        <f t="shared" ca="1" si="56"/>
        <v>4.0821076460172856</v>
      </c>
      <c r="K70" s="4">
        <f t="shared" ca="1" si="57"/>
        <v>11.292207899112627</v>
      </c>
      <c r="L70" s="4">
        <f t="shared" ca="1" si="58"/>
        <v>1.4916066729481869</v>
      </c>
      <c r="M70" s="4">
        <f t="shared" ca="1" si="59"/>
        <v>1.0266309043929445</v>
      </c>
      <c r="N70" s="4">
        <f t="shared" ca="1" si="60"/>
        <v>1.8024012176314663</v>
      </c>
      <c r="O70" s="4">
        <f t="shared" ca="1" si="61"/>
        <v>1.4112718784070166</v>
      </c>
      <c r="P70" s="4">
        <f t="shared" ca="1" si="62"/>
        <v>1.743347194271716</v>
      </c>
      <c r="Q70" s="6">
        <f t="shared" si="63"/>
        <v>0.54111683181765624</v>
      </c>
      <c r="S70" s="4">
        <f t="shared" ca="1" si="51"/>
        <v>5.8080280191749516</v>
      </c>
      <c r="T70" s="4">
        <f t="shared" ca="1" si="52"/>
        <v>20.06814783718038</v>
      </c>
      <c r="U70" s="4">
        <f t="shared" ca="1" si="53"/>
        <v>59.104933182232969</v>
      </c>
      <c r="V70" s="4">
        <f t="shared" ca="1" si="64"/>
        <v>15.01889096141171</v>
      </c>
      <c r="X70" s="25">
        <f t="shared" ca="1" si="15"/>
        <v>7.6980064377666413E-2</v>
      </c>
      <c r="Y70" s="25">
        <f t="shared" ca="1" si="16"/>
        <v>2.5070000811891681E-2</v>
      </c>
      <c r="Z70" s="25">
        <f t="shared" ca="1" si="17"/>
        <v>1.5900969134602723</v>
      </c>
      <c r="AA70" s="25">
        <f t="shared" ca="1" si="48"/>
        <v>1.6087828035570739</v>
      </c>
      <c r="AB70" s="25">
        <f t="shared" ca="1" si="18"/>
        <v>1.8312208110412787</v>
      </c>
      <c r="AC70" s="25">
        <f t="shared" si="19"/>
        <v>2.5569121793941996</v>
      </c>
      <c r="AE70" s="25">
        <f t="shared" ca="1" si="20"/>
        <v>1.1918000810421603</v>
      </c>
      <c r="AF70" s="25">
        <f t="shared" ca="1" si="21"/>
        <v>0.10273985327833302</v>
      </c>
      <c r="AG70" s="25">
        <f t="shared" ca="1" si="22"/>
        <v>2.2962619168661602</v>
      </c>
      <c r="AH70" s="25">
        <f t="shared" ca="1" si="23"/>
        <v>1.6087828035570739</v>
      </c>
      <c r="AI70" s="25">
        <f t="shared" ca="1" si="24"/>
        <v>1.8312208110412787</v>
      </c>
      <c r="AJ70" s="25">
        <f t="shared" si="25"/>
        <v>2.5569121793941996</v>
      </c>
    </row>
    <row r="71" spans="1:36" x14ac:dyDescent="0.15">
      <c r="A71" s="8">
        <f t="shared" si="65"/>
        <v>41274</v>
      </c>
      <c r="B71" s="5" cm="1">
        <f t="array" aca="1" ref="B71" ca="1">OFFSET('Input IBGE'!$A$5,ROW()-3,COLUMN()-1,,)</f>
        <v>16652.55</v>
      </c>
      <c r="C71" s="5" cm="1">
        <f t="array" aca="1" ref="C71" ca="1">OFFSET('Input IBGE'!$A$5,ROW()-3,COLUMN()-1,,)</f>
        <v>60196.639999999999</v>
      </c>
      <c r="D71" s="5" cm="1">
        <f t="array" aca="1" ref="D71" ca="1">OFFSET('Input IBGE'!$A$5,ROW()-3,COLUMN()-1,,)</f>
        <v>179768.2</v>
      </c>
      <c r="E71" s="5" cm="1">
        <f t="array" aca="1" ref="E71" ca="1">OFFSET('Input IBGE'!$A$5,ROW()-3,COLUMN()-1,,)</f>
        <v>256022.66</v>
      </c>
      <c r="F71" s="24">
        <f t="shared" ca="1" si="55"/>
        <v>45906.99000000002</v>
      </c>
      <c r="G71" s="5" cm="1">
        <f t="array" aca="1" ref="G71" ca="1">OFFSET('Input IBGE'!$A$5,ROW()-3,COLUMN()-2,,)</f>
        <v>301929.65000000002</v>
      </c>
      <c r="H71" s="24">
        <v>291583.66167901305</v>
      </c>
      <c r="I71" s="9">
        <f t="shared" ca="1" si="56"/>
        <v>3.5482057744292472</v>
      </c>
      <c r="K71" s="4">
        <f t="shared" ca="1" si="57"/>
        <v>-5.2540395994538081</v>
      </c>
      <c r="L71" s="4">
        <f t="shared" ca="1" si="58"/>
        <v>-0.8771870602929166</v>
      </c>
      <c r="M71" s="4">
        <f t="shared" ca="1" si="59"/>
        <v>0.50734437223682871</v>
      </c>
      <c r="N71" s="4">
        <f t="shared" ca="1" si="60"/>
        <v>-0.20924580847717644</v>
      </c>
      <c r="O71" s="4">
        <f t="shared" ca="1" si="61"/>
        <v>1.0065675075485059</v>
      </c>
      <c r="P71" s="4">
        <f t="shared" ca="1" si="62"/>
        <v>-2.6277361725068893E-2</v>
      </c>
      <c r="Q71" s="6">
        <f t="shared" si="63"/>
        <v>0.48919422203634877</v>
      </c>
      <c r="S71" s="4">
        <f t="shared" ca="1" si="51"/>
        <v>5.5045315686623342</v>
      </c>
      <c r="T71" s="4">
        <f t="shared" ca="1" si="52"/>
        <v>19.898112013319391</v>
      </c>
      <c r="U71" s="4">
        <f t="shared" ca="1" si="53"/>
        <v>59.422714956064048</v>
      </c>
      <c r="V71" s="4">
        <f t="shared" ca="1" si="64"/>
        <v>15.174641461954247</v>
      </c>
      <c r="X71" s="25">
        <f t="shared" ca="1" si="15"/>
        <v>-0.18832625665789265</v>
      </c>
      <c r="Y71" s="25">
        <f t="shared" ca="1" si="16"/>
        <v>-0.17225556538081624</v>
      </c>
      <c r="Z71" s="25">
        <f t="shared" ca="1" si="17"/>
        <v>1.7938760353865646</v>
      </c>
      <c r="AA71" s="25">
        <f t="shared" ca="1" si="48"/>
        <v>1.3043195891664361</v>
      </c>
      <c r="AB71" s="25">
        <f t="shared" ca="1" si="18"/>
        <v>1.6082472449035601</v>
      </c>
      <c r="AC71" s="25">
        <f t="shared" si="19"/>
        <v>2.4244134942245532</v>
      </c>
      <c r="AE71" s="25">
        <f t="shared" ca="1" si="20"/>
        <v>-2.8549113153853445</v>
      </c>
      <c r="AF71" s="25">
        <f t="shared" ca="1" si="21"/>
        <v>-0.70731275367662549</v>
      </c>
      <c r="AG71" s="25">
        <f t="shared" ca="1" si="22"/>
        <v>2.5945040862848989</v>
      </c>
      <c r="AH71" s="25">
        <f t="shared" ca="1" si="23"/>
        <v>1.3043195891664361</v>
      </c>
      <c r="AI71" s="25">
        <f t="shared" ca="1" si="24"/>
        <v>1.6082472449035601</v>
      </c>
      <c r="AJ71" s="25">
        <f t="shared" si="25"/>
        <v>2.4244134942245532</v>
      </c>
    </row>
    <row r="72" spans="1:36" x14ac:dyDescent="0.15">
      <c r="A72" s="8">
        <f t="shared" si="65"/>
        <v>41364</v>
      </c>
      <c r="B72" s="5" cm="1">
        <f t="array" aca="1" ref="B72" ca="1">OFFSET('Input IBGE'!$A$5,ROW()-3,COLUMN()-1,,)</f>
        <v>16803.64</v>
      </c>
      <c r="C72" s="5" cm="1">
        <f t="array" aca="1" ref="C72" ca="1">OFFSET('Input IBGE'!$A$5,ROW()-3,COLUMN()-1,,)</f>
        <v>60339.26</v>
      </c>
      <c r="D72" s="5" cm="1">
        <f t="array" aca="1" ref="D72" ca="1">OFFSET('Input IBGE'!$A$5,ROW()-3,COLUMN()-1,,)</f>
        <v>180404.88</v>
      </c>
      <c r="E72" s="5" cm="1">
        <f t="array" aca="1" ref="E72" ca="1">OFFSET('Input IBGE'!$A$5,ROW()-3,COLUMN()-1,,)</f>
        <v>257215.62</v>
      </c>
      <c r="F72" s="24">
        <f t="shared" ca="1" si="55"/>
        <v>46086.830000000016</v>
      </c>
      <c r="G72" s="5" cm="1">
        <f t="array" aca="1" ref="G72" ca="1">OFFSET('Input IBGE'!$A$5,ROW()-3,COLUMN()-2,,)</f>
        <v>303302.45</v>
      </c>
      <c r="H72" s="24">
        <v>293003.12815635791</v>
      </c>
      <c r="I72" s="9">
        <f t="shared" ca="1" si="56"/>
        <v>3.5150893809386075</v>
      </c>
      <c r="K72" s="4">
        <f t="shared" ca="1" si="57"/>
        <v>0.90730849029128091</v>
      </c>
      <c r="L72" s="4">
        <f t="shared" ca="1" si="58"/>
        <v>0.2369235226417965</v>
      </c>
      <c r="M72" s="4">
        <f t="shared" ca="1" si="59"/>
        <v>0.35416719976057998</v>
      </c>
      <c r="N72" s="4">
        <f t="shared" ca="1" si="60"/>
        <v>0.46595875536954434</v>
      </c>
      <c r="O72" s="4">
        <f t="shared" ca="1" si="61"/>
        <v>0.39174862041706504</v>
      </c>
      <c r="P72" s="4">
        <f t="shared" ca="1" si="62"/>
        <v>0.45467545171531398</v>
      </c>
      <c r="Q72" s="6">
        <f t="shared" si="63"/>
        <v>0.48681276213187186</v>
      </c>
      <c r="S72" s="4">
        <f t="shared" ca="1" si="51"/>
        <v>5.5341648964194166</v>
      </c>
      <c r="T72" s="4">
        <f t="shared" ca="1" si="52"/>
        <v>19.872326148853713</v>
      </c>
      <c r="U72" s="4">
        <f t="shared" ca="1" si="53"/>
        <v>59.415123987347819</v>
      </c>
      <c r="V72" s="4">
        <f t="shared" ca="1" si="64"/>
        <v>15.178384967379053</v>
      </c>
      <c r="W72" s="2">
        <f t="shared" ref="W72" si="66">YEAR(A72)</f>
        <v>2013</v>
      </c>
      <c r="X72" s="25">
        <f t="shared" ca="1" si="15"/>
        <v>0.28242234248302789</v>
      </c>
      <c r="Y72" s="25">
        <f t="shared" ca="1" si="16"/>
        <v>-0.36777020433784324</v>
      </c>
      <c r="Z72" s="25">
        <f t="shared" ca="1" si="17"/>
        <v>2.3210605396572439</v>
      </c>
      <c r="AA72" s="25">
        <f t="shared" ca="1" si="48"/>
        <v>2.2076724953096871</v>
      </c>
      <c r="AB72" s="25">
        <f t="shared" ca="1" si="18"/>
        <v>2.5170919323215246</v>
      </c>
      <c r="AC72" s="25">
        <f t="shared" si="19"/>
        <v>2.3001357579888415</v>
      </c>
      <c r="AE72" s="25">
        <f t="shared" ca="1" si="20"/>
        <v>4.4116256922705599</v>
      </c>
      <c r="AF72" s="25">
        <f t="shared" ca="1" si="21"/>
        <v>-1.5020743419682181</v>
      </c>
      <c r="AG72" s="25">
        <f t="shared" ca="1" si="22"/>
        <v>3.3490526307038859</v>
      </c>
      <c r="AH72" s="25">
        <f t="shared" ca="1" si="23"/>
        <v>2.2076724953096871</v>
      </c>
      <c r="AI72" s="25">
        <f t="shared" ca="1" si="24"/>
        <v>2.5170919323215246</v>
      </c>
      <c r="AJ72" s="25">
        <f t="shared" si="25"/>
        <v>2.3001357579888415</v>
      </c>
    </row>
    <row r="73" spans="1:36" x14ac:dyDescent="0.15">
      <c r="A73" s="8">
        <f t="shared" si="65"/>
        <v>41455</v>
      </c>
      <c r="B73" s="5" cm="1">
        <f t="array" aca="1" ref="B73" ca="1">OFFSET('Input IBGE'!$A$5,ROW()-3,COLUMN()-1,,)</f>
        <v>17371.669999999998</v>
      </c>
      <c r="C73" s="5" cm="1">
        <f t="array" aca="1" ref="C73" ca="1">OFFSET('Input IBGE'!$A$5,ROW()-3,COLUMN()-1,,)</f>
        <v>62210.35</v>
      </c>
      <c r="D73" s="5" cm="1">
        <f t="array" aca="1" ref="D73" ca="1">OFFSET('Input IBGE'!$A$5,ROW()-3,COLUMN()-1,,)</f>
        <v>182548.77</v>
      </c>
      <c r="E73" s="5" cm="1">
        <f t="array" aca="1" ref="E73" ca="1">OFFSET('Input IBGE'!$A$5,ROW()-3,COLUMN()-1,,)</f>
        <v>261837.19</v>
      </c>
      <c r="F73" s="24">
        <f t="shared" ca="1" si="55"/>
        <v>46588.590000000026</v>
      </c>
      <c r="G73" s="5" cm="1">
        <f t="array" aca="1" ref="G73" ca="1">OFFSET('Input IBGE'!$A$5,ROW()-3,COLUMN()-2,,)</f>
        <v>308425.78000000003</v>
      </c>
      <c r="H73" s="24">
        <v>294422.59463370289</v>
      </c>
      <c r="I73" s="9">
        <f t="shared" ca="1" si="56"/>
        <v>4.7561517429458133</v>
      </c>
      <c r="K73" s="4">
        <f t="shared" ca="1" si="57"/>
        <v>3.3803985326988695</v>
      </c>
      <c r="L73" s="4">
        <f t="shared" ca="1" si="58"/>
        <v>3.1009495310350133</v>
      </c>
      <c r="M73" s="4">
        <f t="shared" ca="1" si="59"/>
        <v>1.188376944127012</v>
      </c>
      <c r="N73" s="4">
        <f t="shared" ca="1" si="60"/>
        <v>1.7967687965450896</v>
      </c>
      <c r="O73" s="4">
        <f t="shared" ca="1" si="61"/>
        <v>1.0887275171670652</v>
      </c>
      <c r="P73" s="4">
        <f t="shared" ca="1" si="62"/>
        <v>1.689181871099299</v>
      </c>
      <c r="Q73" s="6">
        <f t="shared" si="63"/>
        <v>0.48445437640087796</v>
      </c>
      <c r="S73" s="4">
        <f t="shared" ca="1" si="51"/>
        <v>5.6270098754409261</v>
      </c>
      <c r="T73" s="4">
        <f t="shared" ca="1" si="52"/>
        <v>20.151099681529551</v>
      </c>
      <c r="U73" s="4">
        <f t="shared" ca="1" si="53"/>
        <v>59.13097195258684</v>
      </c>
      <c r="V73" s="4">
        <f t="shared" ca="1" si="64"/>
        <v>15.090918490442688</v>
      </c>
      <c r="X73" s="25">
        <f t="shared" ca="1" si="15"/>
        <v>0.44423825266273931</v>
      </c>
      <c r="Y73" s="25">
        <f t="shared" ca="1" si="16"/>
        <v>6.7023753343165737E-2</v>
      </c>
      <c r="Z73" s="25">
        <f t="shared" ca="1" si="17"/>
        <v>2.4445172604233076</v>
      </c>
      <c r="AA73" s="25">
        <f t="shared" ca="1" si="48"/>
        <v>2.9818113393445644</v>
      </c>
      <c r="AB73" s="25">
        <f t="shared" ca="1" si="18"/>
        <v>3.2408681168866638</v>
      </c>
      <c r="AC73" s="25">
        <f t="shared" si="19"/>
        <v>2.1838068696389046</v>
      </c>
      <c r="AE73" s="25">
        <f t="shared" ca="1" si="20"/>
        <v>6.9585093201887993</v>
      </c>
      <c r="AF73" s="25">
        <f t="shared" ca="1" si="21"/>
        <v>0.27652736456185156</v>
      </c>
      <c r="AG73" s="25">
        <f t="shared" ca="1" si="22"/>
        <v>3.512910613199538</v>
      </c>
      <c r="AH73" s="25">
        <f t="shared" ca="1" si="23"/>
        <v>2.9818113393445644</v>
      </c>
      <c r="AI73" s="25">
        <f t="shared" ca="1" si="24"/>
        <v>3.2408681168866638</v>
      </c>
      <c r="AJ73" s="25">
        <f t="shared" si="25"/>
        <v>2.1838068696389046</v>
      </c>
    </row>
    <row r="74" spans="1:36" x14ac:dyDescent="0.15">
      <c r="A74" s="8">
        <f t="shared" si="65"/>
        <v>41547</v>
      </c>
      <c r="B74" s="5" cm="1">
        <f t="array" aca="1" ref="B74" ca="1">OFFSET('Input IBGE'!$A$5,ROW()-3,COLUMN()-1,,)</f>
        <v>17320.37</v>
      </c>
      <c r="C74" s="5" cm="1">
        <f t="array" aca="1" ref="C74" ca="1">OFFSET('Input IBGE'!$A$5,ROW()-3,COLUMN()-1,,)</f>
        <v>62475.21</v>
      </c>
      <c r="D74" s="5" cm="1">
        <f t="array" aca="1" ref="D74" ca="1">OFFSET('Input IBGE'!$A$5,ROW()-3,COLUMN()-1,,)</f>
        <v>183450.93</v>
      </c>
      <c r="E74" s="5" cm="1">
        <f t="array" aca="1" ref="E74" ca="1">OFFSET('Input IBGE'!$A$5,ROW()-3,COLUMN()-1,,)</f>
        <v>262311.94</v>
      </c>
      <c r="F74" s="24">
        <f t="shared" ca="1" si="55"/>
        <v>47108.02999999997</v>
      </c>
      <c r="G74" s="5" cm="1">
        <f t="array" aca="1" ref="G74" ca="1">OFFSET('Input IBGE'!$A$5,ROW()-3,COLUMN()-2,,)</f>
        <v>309419.96999999997</v>
      </c>
      <c r="H74" s="24">
        <v>295624.60820384941</v>
      </c>
      <c r="I74" s="9">
        <f t="shared" ca="1" si="56"/>
        <v>4.6665133460871866</v>
      </c>
      <c r="K74" s="4">
        <f t="shared" ca="1" si="57"/>
        <v>-0.29530839579613444</v>
      </c>
      <c r="L74" s="4">
        <f t="shared" ca="1" si="58"/>
        <v>0.42574909159005525</v>
      </c>
      <c r="M74" s="4">
        <f t="shared" ca="1" si="59"/>
        <v>0.49420217950524314</v>
      </c>
      <c r="N74" s="4">
        <f t="shared" ca="1" si="60"/>
        <v>0.18131496140789682</v>
      </c>
      <c r="O74" s="4">
        <f t="shared" ca="1" si="61"/>
        <v>1.1149511071271823</v>
      </c>
      <c r="P74" s="4">
        <f t="shared" ca="1" si="62"/>
        <v>0.32234335275085346</v>
      </c>
      <c r="Q74" s="6">
        <f t="shared" si="63"/>
        <v>0.40826131963207501</v>
      </c>
      <c r="S74" s="4">
        <f t="shared" ca="1" si="51"/>
        <v>5.5808334558276478</v>
      </c>
      <c r="T74" s="4">
        <f t="shared" ca="1" si="52"/>
        <v>20.130271011985197</v>
      </c>
      <c r="U74" s="4">
        <f t="shared" ca="1" si="53"/>
        <v>59.110116449400095</v>
      </c>
      <c r="V74" s="4">
        <f t="shared" ca="1" si="64"/>
        <v>15.178779082787051</v>
      </c>
      <c r="X74" s="25">
        <f t="shared" ca="1" si="15"/>
        <v>0.32414864739750215</v>
      </c>
      <c r="Y74" s="25">
        <f t="shared" ca="1" si="16"/>
        <v>0.2735413509163761</v>
      </c>
      <c r="Z74" s="25">
        <f t="shared" ca="1" si="17"/>
        <v>2.2831116644117269</v>
      </c>
      <c r="AA74" s="25">
        <f t="shared" ca="1" si="48"/>
        <v>2.8552412202804911</v>
      </c>
      <c r="AB74" s="25">
        <f t="shared" ca="1" si="18"/>
        <v>3.1009206604364792</v>
      </c>
      <c r="AC74" s="25">
        <f t="shared" si="19"/>
        <v>2.0657509890472436</v>
      </c>
      <c r="AE74" s="25">
        <f t="shared" ca="1" si="20"/>
        <v>5.039126742284461</v>
      </c>
      <c r="AF74" s="25">
        <f t="shared" ca="1" si="21"/>
        <v>1.1378705701148295</v>
      </c>
      <c r="AG74" s="25">
        <f t="shared" ca="1" si="22"/>
        <v>3.2748881081591019</v>
      </c>
      <c r="AH74" s="25">
        <f t="shared" ca="1" si="23"/>
        <v>2.8552412202804911</v>
      </c>
      <c r="AI74" s="25">
        <f t="shared" ca="1" si="24"/>
        <v>3.1009206604364792</v>
      </c>
      <c r="AJ74" s="25">
        <f t="shared" si="25"/>
        <v>2.0657509890472436</v>
      </c>
    </row>
    <row r="75" spans="1:36" x14ac:dyDescent="0.15">
      <c r="A75" s="8">
        <f t="shared" si="65"/>
        <v>41639</v>
      </c>
      <c r="B75" s="5" cm="1">
        <f t="array" aca="1" ref="B75" ca="1">OFFSET('Input IBGE'!$A$5,ROW()-3,COLUMN()-1,,)</f>
        <v>17532.93</v>
      </c>
      <c r="C75" s="5" cm="1">
        <f t="array" aca="1" ref="C75" ca="1">OFFSET('Input IBGE'!$A$5,ROW()-3,COLUMN()-1,,)</f>
        <v>61960.97</v>
      </c>
      <c r="D75" s="5" cm="1">
        <f t="array" aca="1" ref="D75" ca="1">OFFSET('Input IBGE'!$A$5,ROW()-3,COLUMN()-1,,)</f>
        <v>184059.55</v>
      </c>
      <c r="E75" s="5" cm="1">
        <f t="array" aca="1" ref="E75" ca="1">OFFSET('Input IBGE'!$A$5,ROW()-3,COLUMN()-1,,)</f>
        <v>262815.23</v>
      </c>
      <c r="F75" s="24">
        <f t="shared" ca="1" si="55"/>
        <v>46941.929999999993</v>
      </c>
      <c r="G75" s="5" cm="1">
        <f t="array" aca="1" ref="G75" ca="1">OFFSET('Input IBGE'!$A$5,ROW()-3,COLUMN()-2,,)</f>
        <v>309757.15999999997</v>
      </c>
      <c r="H75" s="24">
        <v>296609.16886679747</v>
      </c>
      <c r="I75" s="9">
        <f t="shared" ca="1" si="56"/>
        <v>4.432766250428033</v>
      </c>
      <c r="K75" s="4">
        <f t="shared" ca="1" si="57"/>
        <v>1.2272255153902734</v>
      </c>
      <c r="L75" s="4">
        <f t="shared" ca="1" si="58"/>
        <v>-0.82311047854020103</v>
      </c>
      <c r="M75" s="4">
        <f t="shared" ca="1" si="59"/>
        <v>0.33176174140954195</v>
      </c>
      <c r="N75" s="4">
        <f t="shared" ca="1" si="60"/>
        <v>0.19186698096929078</v>
      </c>
      <c r="O75" s="4">
        <f t="shared" ca="1" si="61"/>
        <v>-0.35259381468504269</v>
      </c>
      <c r="P75" s="4">
        <f t="shared" ca="1" si="62"/>
        <v>0.10897486674825707</v>
      </c>
      <c r="Q75" s="6">
        <f t="shared" si="63"/>
        <v>0.33304421743847179</v>
      </c>
      <c r="S75" s="4">
        <f t="shared" ca="1" si="51"/>
        <v>5.6467603479317479</v>
      </c>
      <c r="T75" s="4">
        <f t="shared" ca="1" si="52"/>
        <v>19.955520755252468</v>
      </c>
      <c r="U75" s="4">
        <f t="shared" ca="1" si="53"/>
        <v>59.27932003368295</v>
      </c>
      <c r="V75" s="4">
        <f t="shared" ca="1" si="64"/>
        <v>15.118398863132843</v>
      </c>
      <c r="X75" s="25">
        <f t="shared" ca="1" si="15"/>
        <v>0.48981324255807585</v>
      </c>
      <c r="Y75" s="25">
        <f t="shared" ca="1" si="16"/>
        <v>0.51625352900415766</v>
      </c>
      <c r="Z75" s="25">
        <f t="shared" ca="1" si="17"/>
        <v>2.1005370491268076</v>
      </c>
      <c r="AA75" s="25">
        <f t="shared" ref="AA75:AA90" ca="1" si="67">100*(SUM(E72:E75)/SUM(E68:E71)-1)</f>
        <v>3.0972693993864597</v>
      </c>
      <c r="AB75" s="25">
        <f t="shared" ca="1" si="18"/>
        <v>3.2124550167466071</v>
      </c>
      <c r="AC75" s="25">
        <f t="shared" si="19"/>
        <v>1.936531652997342</v>
      </c>
      <c r="AE75" s="25">
        <f t="shared" ca="1" si="20"/>
        <v>7.7431805372220719</v>
      </c>
      <c r="AF75" s="25">
        <f t="shared" ca="1" si="21"/>
        <v>2.1627780807448538</v>
      </c>
      <c r="AG75" s="25">
        <f t="shared" ca="1" si="22"/>
        <v>2.9998265485170039</v>
      </c>
      <c r="AH75" s="25">
        <f t="shared" ca="1" si="23"/>
        <v>3.0972693993864597</v>
      </c>
      <c r="AI75" s="25">
        <f t="shared" ca="1" si="24"/>
        <v>3.2124550167466071</v>
      </c>
      <c r="AJ75" s="25">
        <f t="shared" si="25"/>
        <v>1.936531652997342</v>
      </c>
    </row>
    <row r="76" spans="1:36" x14ac:dyDescent="0.15">
      <c r="A76" s="8">
        <f t="shared" si="65"/>
        <v>41729</v>
      </c>
      <c r="B76" s="5" cm="1">
        <f t="array" aca="1" ref="B76" ca="1">OFFSET('Input IBGE'!$A$5,ROW()-3,COLUMN()-1,,)</f>
        <v>17675.080000000002</v>
      </c>
      <c r="C76" s="5" cm="1">
        <f t="array" aca="1" ref="C76" ca="1">OFFSET('Input IBGE'!$A$5,ROW()-3,COLUMN()-1,,)</f>
        <v>61923.62</v>
      </c>
      <c r="D76" s="5" cm="1">
        <f t="array" aca="1" ref="D76" ca="1">OFFSET('Input IBGE'!$A$5,ROW()-3,COLUMN()-1,,)</f>
        <v>185473.02</v>
      </c>
      <c r="E76" s="5" cm="1">
        <f t="array" aca="1" ref="E76" ca="1">OFFSET('Input IBGE'!$A$5,ROW()-3,COLUMN()-1,,)</f>
        <v>265269.26</v>
      </c>
      <c r="F76" s="24">
        <f t="shared" ca="1" si="55"/>
        <v>47289.02999999997</v>
      </c>
      <c r="G76" s="5" cm="1">
        <f t="array" aca="1" ref="G76" ca="1">OFFSET('Input IBGE'!$A$5,ROW()-3,COLUMN()-2,,)</f>
        <v>312558.28999999998</v>
      </c>
      <c r="H76" s="24">
        <v>297593.72952974553</v>
      </c>
      <c r="I76" s="9">
        <f t="shared" ca="1" si="56"/>
        <v>5.0285200880748615</v>
      </c>
      <c r="K76" s="4">
        <f t="shared" ca="1" si="57"/>
        <v>0.81076009543186167</v>
      </c>
      <c r="L76" s="4">
        <f t="shared" ca="1" si="58"/>
        <v>-6.0279882642244598E-2</v>
      </c>
      <c r="M76" s="4">
        <f t="shared" ca="1" si="59"/>
        <v>0.76794167974441052</v>
      </c>
      <c r="N76" s="4">
        <f t="shared" ca="1" si="60"/>
        <v>0.93374725658024182</v>
      </c>
      <c r="O76" s="4">
        <f t="shared" ca="1" si="61"/>
        <v>0.73942422052091228</v>
      </c>
      <c r="P76" s="4">
        <f t="shared" ca="1" si="62"/>
        <v>0.90429870935024859</v>
      </c>
      <c r="Q76" s="6">
        <f t="shared" si="63"/>
        <v>0.33193871474357373</v>
      </c>
      <c r="S76" s="4">
        <f t="shared" ca="1" si="51"/>
        <v>5.6585470485648424</v>
      </c>
      <c r="T76" s="4">
        <f t="shared" ca="1" si="52"/>
        <v>19.824392149141662</v>
      </c>
      <c r="U76" s="4">
        <f t="shared" ca="1" si="53"/>
        <v>59.377825158890808</v>
      </c>
      <c r="V76" s="4">
        <f t="shared" ca="1" si="64"/>
        <v>15.139235643402692</v>
      </c>
      <c r="W76" s="2">
        <f t="shared" ref="W76" si="68">YEAR(A76)</f>
        <v>2014</v>
      </c>
      <c r="X76" s="25">
        <f t="shared" ref="X76:X111" ca="1" si="69">(SUM(B73:B76)-SUM(B69:B72))/(SUM($E73:$E76)-SUM($E69:$E72))*$AA76</f>
        <v>0.30095469735360431</v>
      </c>
      <c r="Y76" s="25">
        <f t="shared" ref="Y76:Y111" ca="1" si="70">(SUM(C73:C76)-SUM(C69:C72))/(SUM($E73:$E76)-SUM($E69:$E72))*$AA76</f>
        <v>0.730864254751728</v>
      </c>
      <c r="Z76" s="25">
        <f t="shared" ref="Z76:Z111" ca="1" si="71">(SUM(D73:D76)-SUM(D69:D72))/(SUM($E73:$E76)-SUM($E69:$E72))*$AA76</f>
        <v>1.9039896187853615</v>
      </c>
      <c r="AA76" s="25">
        <f t="shared" ca="1" si="67"/>
        <v>2.9769285420103264</v>
      </c>
      <c r="AB76" s="25">
        <f t="shared" ref="AB76:AB111" ca="1" si="72">100*(SUM(G73:G76)/SUM(G69:G72)-1)</f>
        <v>2.9969829045654262</v>
      </c>
      <c r="AC76" s="25">
        <f t="shared" ref="AC76:AC111" si="73">100*(SUM(H73:H76)/SUM(H69:H72)-1)</f>
        <v>1.7962380082918061</v>
      </c>
      <c r="AE76" s="25">
        <f t="shared" ref="AE76:AE111" ca="1" si="74">(SUM(B73:B76)/SUM(B69:B72)-1)*100</f>
        <v>4.6018808871250538</v>
      </c>
      <c r="AF76" s="25">
        <f t="shared" ref="AF76:AF111" ca="1" si="75">(SUM(C73:C76)/SUM(C69:C72)-1)*100</f>
        <v>3.0974765168959362</v>
      </c>
      <c r="AG76" s="25">
        <f t="shared" ref="AG76:AG111" ca="1" si="76">(SUM(D73:D76)/SUM(D69:D72)-1)*100</f>
        <v>2.7169214283681464</v>
      </c>
      <c r="AH76" s="25">
        <f t="shared" ref="AH76:AH111" ca="1" si="77">(SUM(E73:E76)/SUM(E69:E72)-1)*100</f>
        <v>2.9769285420103264</v>
      </c>
      <c r="AI76" s="25">
        <f t="shared" ref="AI76:AI111" ca="1" si="78">(SUM(G73:G76)/SUM(G69:G72)-1)*100</f>
        <v>2.9969829045654262</v>
      </c>
      <c r="AJ76" s="25">
        <f t="shared" ref="AJ76:AJ139" si="79">(SUM(H73:H76)/SUM(H69:H72)-1)*100</f>
        <v>1.7962380082918061</v>
      </c>
    </row>
    <row r="77" spans="1:36" x14ac:dyDescent="0.15">
      <c r="A77" s="8">
        <f t="shared" si="65"/>
        <v>41820</v>
      </c>
      <c r="B77" s="5" cm="1">
        <f t="array" aca="1" ref="B77" ca="1">OFFSET('Input IBGE'!$A$5,ROW()-3,COLUMN()-1,,)</f>
        <v>17372.689999999999</v>
      </c>
      <c r="C77" s="5" cm="1">
        <f t="array" aca="1" ref="C77" ca="1">OFFSET('Input IBGE'!$A$5,ROW()-3,COLUMN()-1,,)</f>
        <v>60552.15</v>
      </c>
      <c r="D77" s="5" cm="1">
        <f t="array" aca="1" ref="D77" ca="1">OFFSET('Input IBGE'!$A$5,ROW()-3,COLUMN()-1,,)</f>
        <v>183776.69</v>
      </c>
      <c r="E77" s="5" cm="1">
        <f t="array" aca="1" ref="E77" ca="1">OFFSET('Input IBGE'!$A$5,ROW()-3,COLUMN()-1,,)</f>
        <v>260835.41</v>
      </c>
      <c r="F77" s="24">
        <f t="shared" ca="1" si="55"/>
        <v>46976.689999999973</v>
      </c>
      <c r="G77" s="5" cm="1">
        <f t="array" aca="1" ref="G77" ca="1">OFFSET('Input IBGE'!$A$5,ROW()-3,COLUMN()-2,,)</f>
        <v>307812.09999999998</v>
      </c>
      <c r="H77" s="24">
        <v>298578.29019269365</v>
      </c>
      <c r="I77" s="9">
        <f t="shared" ca="1" si="56"/>
        <v>3.0925924993900678</v>
      </c>
      <c r="K77" s="4">
        <f t="shared" ca="1" si="57"/>
        <v>-1.7108267685351564</v>
      </c>
      <c r="L77" s="4">
        <f t="shared" ca="1" si="58"/>
        <v>-2.2147768492862707</v>
      </c>
      <c r="M77" s="4">
        <f t="shared" ca="1" si="59"/>
        <v>-0.91459663513323575</v>
      </c>
      <c r="N77" s="4">
        <f t="shared" ca="1" si="60"/>
        <v>-1.6714526213855385</v>
      </c>
      <c r="O77" s="4">
        <f t="shared" ca="1" si="61"/>
        <v>-0.66049145013123978</v>
      </c>
      <c r="P77" s="4">
        <f t="shared" ca="1" si="62"/>
        <v>-1.5184975576875592</v>
      </c>
      <c r="Q77" s="6">
        <f t="shared" si="63"/>
        <v>0.33084052695058208</v>
      </c>
      <c r="S77" s="4">
        <f t="shared" ca="1" si="51"/>
        <v>5.6280906375577784</v>
      </c>
      <c r="T77" s="4">
        <f t="shared" ca="1" si="52"/>
        <v>19.616592968561246</v>
      </c>
      <c r="U77" s="4">
        <f t="shared" ca="1" si="53"/>
        <v>59.536656003782852</v>
      </c>
      <c r="V77" s="4">
        <f t="shared" ca="1" si="64"/>
        <v>15.218660390098135</v>
      </c>
      <c r="X77" s="25">
        <f t="shared" ca="1" si="69"/>
        <v>0.14512982242158826</v>
      </c>
      <c r="Y77" s="25">
        <f t="shared" ca="1" si="70"/>
        <v>0.33309747148257041</v>
      </c>
      <c r="Z77" s="25">
        <f t="shared" ca="1" si="71"/>
        <v>1.471216122113409</v>
      </c>
      <c r="AA77" s="25">
        <f t="shared" ca="1" si="67"/>
        <v>1.8995934191722741</v>
      </c>
      <c r="AB77" s="25">
        <f t="shared" ca="1" si="72"/>
        <v>1.9644057263087822</v>
      </c>
      <c r="AC77" s="25">
        <f t="shared" si="73"/>
        <v>1.6449411325014651</v>
      </c>
      <c r="AE77" s="25">
        <f t="shared" ca="1" si="74"/>
        <v>2.1887799899011684</v>
      </c>
      <c r="AF77" s="25">
        <f t="shared" ca="1" si="75"/>
        <v>1.4113734600099459</v>
      </c>
      <c r="AG77" s="25">
        <f t="shared" ca="1" si="76"/>
        <v>2.1033738604093966</v>
      </c>
      <c r="AH77" s="25">
        <f t="shared" ca="1" si="77"/>
        <v>1.8995934191722741</v>
      </c>
      <c r="AI77" s="25">
        <f t="shared" ca="1" si="78"/>
        <v>1.9644057263087822</v>
      </c>
      <c r="AJ77" s="25">
        <f t="shared" si="79"/>
        <v>1.6449411325014651</v>
      </c>
    </row>
    <row r="78" spans="1:36" x14ac:dyDescent="0.15">
      <c r="A78" s="8">
        <f t="shared" si="65"/>
        <v>41912</v>
      </c>
      <c r="B78" s="5" cm="1">
        <f t="array" aca="1" ref="B78" ca="1">OFFSET('Input IBGE'!$A$5,ROW()-3,COLUMN()-1,,)</f>
        <v>17750.169999999998</v>
      </c>
      <c r="C78" s="5" cm="1">
        <f t="array" aca="1" ref="C78" ca="1">OFFSET('Input IBGE'!$A$5,ROW()-3,COLUMN()-1,,)</f>
        <v>60154.36</v>
      </c>
      <c r="D78" s="5" cm="1">
        <f t="array" aca="1" ref="D78" ca="1">OFFSET('Input IBGE'!$A$5,ROW()-3,COLUMN()-1,,)</f>
        <v>184151.58</v>
      </c>
      <c r="E78" s="5" cm="1">
        <f t="array" aca="1" ref="E78" ca="1">OFFSET('Input IBGE'!$A$5,ROW()-3,COLUMN()-1,,)</f>
        <v>260957.11</v>
      </c>
      <c r="F78" s="24">
        <f t="shared" ca="1" si="55"/>
        <v>46770.130000000005</v>
      </c>
      <c r="G78" s="5" cm="1">
        <f t="array" aca="1" ref="G78" ca="1">OFFSET('Input IBGE'!$A$5,ROW()-3,COLUMN()-2,,)</f>
        <v>307727.24</v>
      </c>
      <c r="H78" s="24">
        <v>299307.28522980679</v>
      </c>
      <c r="I78" s="9">
        <f t="shared" ca="1" si="56"/>
        <v>2.8131472856493867</v>
      </c>
      <c r="K78" s="4">
        <f t="shared" ca="1" si="57"/>
        <v>2.1728356403067028</v>
      </c>
      <c r="L78" s="4">
        <f t="shared" ca="1" si="58"/>
        <v>-0.65693786265227372</v>
      </c>
      <c r="M78" s="4">
        <f t="shared" ca="1" si="59"/>
        <v>0.20399213850244013</v>
      </c>
      <c r="N78" s="4">
        <f t="shared" ca="1" si="60"/>
        <v>4.6657775491443232E-2</v>
      </c>
      <c r="O78" s="4">
        <f t="shared" ca="1" si="61"/>
        <v>-0.43970743788029898</v>
      </c>
      <c r="P78" s="4">
        <f t="shared" ca="1" si="62"/>
        <v>-2.7568766789864974E-2</v>
      </c>
      <c r="Q78" s="6">
        <f t="shared" si="63"/>
        <v>0.24415540615583264</v>
      </c>
      <c r="S78" s="4">
        <f t="shared" ca="1" si="51"/>
        <v>5.7476236475242501</v>
      </c>
      <c r="T78" s="4">
        <f t="shared" ca="1" si="52"/>
        <v>19.478383702110285</v>
      </c>
      <c r="U78" s="4">
        <f t="shared" ca="1" si="53"/>
        <v>59.629512051825643</v>
      </c>
      <c r="V78" s="4">
        <f t="shared" ca="1" si="64"/>
        <v>15.144480598539815</v>
      </c>
      <c r="X78" s="25">
        <f t="shared" ca="1" si="69"/>
        <v>0.21039777222667477</v>
      </c>
      <c r="Y78" s="25">
        <f t="shared" ca="1" si="70"/>
        <v>-6.0764184520035333E-2</v>
      </c>
      <c r="Z78" s="25">
        <f t="shared" ca="1" si="71"/>
        <v>1.0881238668589535</v>
      </c>
      <c r="AA78" s="25">
        <f t="shared" ca="1" si="67"/>
        <v>1.2039475204350225</v>
      </c>
      <c r="AB78" s="25">
        <f t="shared" ca="1" si="72"/>
        <v>1.2081765686460466</v>
      </c>
      <c r="AC78" s="25">
        <f t="shared" si="73"/>
        <v>1.4859506241941656</v>
      </c>
      <c r="AE78" s="25">
        <f t="shared" ca="1" si="74"/>
        <v>3.2027831097007242</v>
      </c>
      <c r="AF78" s="25">
        <f t="shared" ca="1" si="75"/>
        <v>-0.25705743697962413</v>
      </c>
      <c r="AG78" s="25">
        <f t="shared" ca="1" si="76"/>
        <v>1.5544592569278093</v>
      </c>
      <c r="AH78" s="25">
        <f t="shared" ca="1" si="77"/>
        <v>1.2039475204350225</v>
      </c>
      <c r="AI78" s="25">
        <f t="shared" ca="1" si="78"/>
        <v>1.2081765686460466</v>
      </c>
      <c r="AJ78" s="25">
        <f t="shared" si="79"/>
        <v>1.4859506241941656</v>
      </c>
    </row>
    <row r="79" spans="1:36" x14ac:dyDescent="0.15">
      <c r="A79" s="8">
        <f t="shared" si="65"/>
        <v>42004</v>
      </c>
      <c r="B79" s="5" cm="1">
        <f t="array" aca="1" ref="B79" ca="1">OFFSET('Input IBGE'!$A$5,ROW()-3,COLUMN()-1,,)</f>
        <v>18216.009999999998</v>
      </c>
      <c r="C79" s="5" cm="1">
        <f t="array" aca="1" ref="C79" ca="1">OFFSET('Input IBGE'!$A$5,ROW()-3,COLUMN()-1,,)</f>
        <v>60616.12</v>
      </c>
      <c r="D79" s="5" cm="1">
        <f t="array" aca="1" ref="D79" ca="1">OFFSET('Input IBGE'!$A$5,ROW()-3,COLUMN()-1,,)</f>
        <v>184398.77</v>
      </c>
      <c r="E79" s="5" cm="1">
        <f t="array" aca="1" ref="E79" ca="1">OFFSET('Input IBGE'!$A$5,ROW()-3,COLUMN()-1,,)</f>
        <v>262094.65</v>
      </c>
      <c r="F79" s="24">
        <f t="shared" ca="1" si="55"/>
        <v>47164.110000000015</v>
      </c>
      <c r="G79" s="5" cm="1">
        <f t="array" aca="1" ref="G79" ca="1">OFFSET('Input IBGE'!$A$5,ROW()-3,COLUMN()-2,,)</f>
        <v>309258.76</v>
      </c>
      <c r="H79" s="24">
        <v>299780.71464108513</v>
      </c>
      <c r="I79" s="9">
        <f t="shared" ca="1" si="56"/>
        <v>3.1616594717450486</v>
      </c>
      <c r="K79" s="4">
        <f t="shared" ca="1" si="57"/>
        <v>2.6244255688818718</v>
      </c>
      <c r="L79" s="4">
        <f t="shared" ca="1" si="58"/>
        <v>0.76762515634776207</v>
      </c>
      <c r="M79" s="4">
        <f t="shared" ca="1" si="59"/>
        <v>0.13423181055520761</v>
      </c>
      <c r="N79" s="4">
        <f t="shared" ca="1" si="60"/>
        <v>0.43591071345019383</v>
      </c>
      <c r="O79" s="4">
        <f t="shared" ca="1" si="61"/>
        <v>0.84237525104164934</v>
      </c>
      <c r="P79" s="4">
        <f t="shared" ca="1" si="62"/>
        <v>0.49768749753840158</v>
      </c>
      <c r="Q79" s="6">
        <f t="shared" si="63"/>
        <v>0.15817503770909624</v>
      </c>
      <c r="S79" s="4">
        <f t="shared" ca="1" si="51"/>
        <v>5.8686542673479183</v>
      </c>
      <c r="T79" s="4">
        <f t="shared" ca="1" si="52"/>
        <v>19.528703119293059</v>
      </c>
      <c r="U79" s="4">
        <f t="shared" ca="1" si="53"/>
        <v>59.407775273191412</v>
      </c>
      <c r="V79" s="4">
        <f t="shared" ca="1" si="64"/>
        <v>15.194867340167621</v>
      </c>
      <c r="X79" s="25">
        <f t="shared" ca="1" si="69"/>
        <v>0.19013388860414818</v>
      </c>
      <c r="Y79" s="25">
        <f t="shared" ca="1" si="70"/>
        <v>-0.35813174659793984</v>
      </c>
      <c r="Z79" s="25">
        <f t="shared" ca="1" si="71"/>
        <v>0.70255417078575277</v>
      </c>
      <c r="AA79" s="25">
        <f t="shared" ca="1" si="67"/>
        <v>0.47658929450073995</v>
      </c>
      <c r="AB79" s="25">
        <f t="shared" ca="1" si="72"/>
        <v>0.52408822072234074</v>
      </c>
      <c r="AC79" s="25">
        <f t="shared" si="73"/>
        <v>1.322459551630395</v>
      </c>
      <c r="AE79" s="25">
        <f t="shared" ca="1" si="74"/>
        <v>2.8761118034971389</v>
      </c>
      <c r="AF79" s="25">
        <f t="shared" ca="1" si="75"/>
        <v>-1.5140709107192007</v>
      </c>
      <c r="AG79" s="25">
        <f t="shared" ca="1" si="76"/>
        <v>1.004283399925443</v>
      </c>
      <c r="AH79" s="25">
        <f t="shared" ca="1" si="77"/>
        <v>0.47658929450073995</v>
      </c>
      <c r="AI79" s="25">
        <f t="shared" ca="1" si="78"/>
        <v>0.52408822072234074</v>
      </c>
      <c r="AJ79" s="25">
        <f t="shared" si="79"/>
        <v>1.322459551630395</v>
      </c>
    </row>
    <row r="80" spans="1:36" x14ac:dyDescent="0.15">
      <c r="A80" s="8">
        <f t="shared" si="65"/>
        <v>42094</v>
      </c>
      <c r="B80" s="5" cm="1">
        <f t="array" aca="1" ref="B80" ca="1">OFFSET('Input IBGE'!$A$5,ROW()-3,COLUMN()-1,,)</f>
        <v>18648.16</v>
      </c>
      <c r="C80" s="5" cm="1">
        <f t="array" aca="1" ref="C80" ca="1">OFFSET('Input IBGE'!$A$5,ROW()-3,COLUMN()-1,,)</f>
        <v>59498.89</v>
      </c>
      <c r="D80" s="5" cm="1">
        <f t="array" aca="1" ref="D80" ca="1">OFFSET('Input IBGE'!$A$5,ROW()-3,COLUMN()-1,,)</f>
        <v>183209.32</v>
      </c>
      <c r="E80" s="5" cm="1">
        <f t="array" aca="1" ref="E80" ca="1">OFFSET('Input IBGE'!$A$5,ROW()-3,COLUMN()-1,,)</f>
        <v>260805.74</v>
      </c>
      <c r="F80" s="24">
        <f t="shared" ca="1" si="55"/>
        <v>46414.840000000026</v>
      </c>
      <c r="G80" s="5" cm="1">
        <f t="array" aca="1" ref="G80" ca="1">OFFSET('Input IBGE'!$A$5,ROW()-3,COLUMN()-2,,)</f>
        <v>307220.58</v>
      </c>
      <c r="H80" s="24">
        <v>300254.14405236335</v>
      </c>
      <c r="I80" s="9">
        <f t="shared" ca="1" si="56"/>
        <v>2.3201797829047521</v>
      </c>
      <c r="K80" s="4">
        <f t="shared" ca="1" si="57"/>
        <v>2.3723636515351032</v>
      </c>
      <c r="L80" s="4">
        <f t="shared" ca="1" si="58"/>
        <v>-1.8431235783484712</v>
      </c>
      <c r="M80" s="4">
        <f t="shared" ca="1" si="59"/>
        <v>-0.64504226356822958</v>
      </c>
      <c r="N80" s="4">
        <f t="shared" ca="1" si="60"/>
        <v>-0.49177272409032247</v>
      </c>
      <c r="O80" s="4">
        <f t="shared" ca="1" si="61"/>
        <v>-1.5886444162732882</v>
      </c>
      <c r="P80" s="4">
        <f t="shared" ca="1" si="62"/>
        <v>-0.65905327952553439</v>
      </c>
      <c r="Q80" s="6">
        <f t="shared" si="63"/>
        <v>0.15792523940207914</v>
      </c>
      <c r="S80" s="4">
        <f t="shared" ca="1" si="51"/>
        <v>6.0590982502879323</v>
      </c>
      <c r="T80" s="4">
        <f t="shared" ca="1" si="52"/>
        <v>19.332181850277678</v>
      </c>
      <c r="U80" s="4">
        <f t="shared" ca="1" si="53"/>
        <v>59.527764146620477</v>
      </c>
      <c r="V80" s="4">
        <f t="shared" ca="1" si="64"/>
        <v>15.080955752813926</v>
      </c>
      <c r="W80" s="2">
        <f t="shared" ref="W80" si="80">YEAR(A80)</f>
        <v>2015</v>
      </c>
      <c r="X80" s="25">
        <f t="shared" ca="1" si="69"/>
        <v>0.19833808389433474</v>
      </c>
      <c r="Y80" s="25">
        <f t="shared" ca="1" si="70"/>
        <v>-0.73639825346009358</v>
      </c>
      <c r="Z80" s="25">
        <f t="shared" ca="1" si="71"/>
        <v>3.8869695116601477E-4</v>
      </c>
      <c r="AA80" s="25">
        <f t="shared" ca="1" si="67"/>
        <v>-0.71663838302372662</v>
      </c>
      <c r="AB80" s="25">
        <f t="shared" ca="1" si="72"/>
        <v>-0.65656948467667231</v>
      </c>
      <c r="AC80" s="25">
        <f t="shared" si="73"/>
        <v>1.1543450887281592</v>
      </c>
      <c r="AE80" s="25">
        <f t="shared" ca="1" si="74"/>
        <v>2.9856631003840617</v>
      </c>
      <c r="AF80" s="25">
        <f t="shared" ca="1" si="75"/>
        <v>-3.1172809768188037</v>
      </c>
      <c r="AG80" s="25">
        <f t="shared" ca="1" si="76"/>
        <v>5.5605989932594468E-4</v>
      </c>
      <c r="AH80" s="25">
        <f t="shared" ca="1" si="77"/>
        <v>-0.71663838302372662</v>
      </c>
      <c r="AI80" s="25">
        <f t="shared" ca="1" si="78"/>
        <v>-0.65656948467667231</v>
      </c>
      <c r="AJ80" s="25">
        <f t="shared" si="79"/>
        <v>1.1543450887281592</v>
      </c>
    </row>
    <row r="81" spans="1:36" x14ac:dyDescent="0.15">
      <c r="A81" s="8">
        <f t="shared" si="65"/>
        <v>42185</v>
      </c>
      <c r="B81" s="5" cm="1">
        <f t="array" aca="1" ref="B81" ca="1">OFFSET('Input IBGE'!$A$5,ROW()-3,COLUMN()-1,,)</f>
        <v>18100.25</v>
      </c>
      <c r="C81" s="5" cm="1">
        <f t="array" aca="1" ref="C81" ca="1">OFFSET('Input IBGE'!$A$5,ROW()-3,COLUMN()-1,,)</f>
        <v>57564.49</v>
      </c>
      <c r="D81" s="5" cm="1">
        <f t="array" aca="1" ref="D81" ca="1">OFFSET('Input IBGE'!$A$5,ROW()-3,COLUMN()-1,,)</f>
        <v>179759.62</v>
      </c>
      <c r="E81" s="5" cm="1">
        <f t="array" aca="1" ref="E81" ca="1">OFFSET('Input IBGE'!$A$5,ROW()-3,COLUMN()-1,,)</f>
        <v>254433.95</v>
      </c>
      <c r="F81" s="24">
        <f t="shared" ca="1" si="55"/>
        <v>44780.31</v>
      </c>
      <c r="G81" s="5" cm="1">
        <f t="array" aca="1" ref="G81" ca="1">OFFSET('Input IBGE'!$A$5,ROW()-3,COLUMN()-2,,)</f>
        <v>299214.26</v>
      </c>
      <c r="H81" s="24">
        <v>300727.57346364169</v>
      </c>
      <c r="I81" s="9">
        <f t="shared" ca="1" si="56"/>
        <v>-0.50321739580180269</v>
      </c>
      <c r="K81" s="4">
        <f t="shared" ca="1" si="57"/>
        <v>-2.9381451038601125</v>
      </c>
      <c r="L81" s="4">
        <f t="shared" ca="1" si="58"/>
        <v>-3.2511530887383011</v>
      </c>
      <c r="M81" s="4">
        <f t="shared" ca="1" si="59"/>
        <v>-1.8829282265771297</v>
      </c>
      <c r="N81" s="4">
        <f t="shared" ca="1" si="60"/>
        <v>-2.4431172412079483</v>
      </c>
      <c r="O81" s="4">
        <f t="shared" ca="1" si="61"/>
        <v>-3.521567671029413</v>
      </c>
      <c r="P81" s="4">
        <f t="shared" ca="1" si="62"/>
        <v>-2.6060493733850776</v>
      </c>
      <c r="Q81" s="6">
        <f t="shared" si="63"/>
        <v>0.15767622884024224</v>
      </c>
      <c r="S81" s="4">
        <f t="shared" ca="1" si="51"/>
        <v>6.0293032749956881</v>
      </c>
      <c r="T81" s="4">
        <f t="shared" ca="1" si="52"/>
        <v>19.175081453596309</v>
      </c>
      <c r="U81" s="4">
        <f t="shared" ca="1" si="53"/>
        <v>59.87902186864715</v>
      </c>
      <c r="V81" s="4">
        <f t="shared" ca="1" si="64"/>
        <v>14.916593402760855</v>
      </c>
      <c r="X81" s="25">
        <f t="shared" ca="1" si="69"/>
        <v>0.26764029521784582</v>
      </c>
      <c r="Y81" s="25">
        <f t="shared" ca="1" si="70"/>
        <v>-0.86356687978552937</v>
      </c>
      <c r="Z81" s="25">
        <f t="shared" ca="1" si="71"/>
        <v>-0.49854844579289281</v>
      </c>
      <c r="AA81" s="25">
        <f t="shared" ca="1" si="67"/>
        <v>-1.2309739400587327</v>
      </c>
      <c r="AB81" s="25">
        <f t="shared" ca="1" si="72"/>
        <v>-1.3010134536834861</v>
      </c>
      <c r="AC81" s="25">
        <f t="shared" si="73"/>
        <v>0.98147624534363764</v>
      </c>
      <c r="AE81" s="25">
        <f t="shared" ca="1" si="74"/>
        <v>4.025002764621477</v>
      </c>
      <c r="AF81" s="25">
        <f t="shared" ca="1" si="75"/>
        <v>-3.6766507250864167</v>
      </c>
      <c r="AG81" s="25">
        <f t="shared" ca="1" si="76"/>
        <v>-0.71134408062955012</v>
      </c>
      <c r="AH81" s="25">
        <f t="shared" ca="1" si="77"/>
        <v>-1.2309739400587327</v>
      </c>
      <c r="AI81" s="25">
        <f t="shared" ca="1" si="78"/>
        <v>-1.3010134536834861</v>
      </c>
      <c r="AJ81" s="25">
        <f t="shared" si="79"/>
        <v>0.98147624534363764</v>
      </c>
    </row>
    <row r="82" spans="1:36" x14ac:dyDescent="0.15">
      <c r="A82" s="8">
        <f t="shared" si="65"/>
        <v>42277</v>
      </c>
      <c r="B82" s="5" cm="1">
        <f t="array" aca="1" ref="B82" ca="1">OFFSET('Input IBGE'!$A$5,ROW()-3,COLUMN()-1,,)</f>
        <v>17964.38</v>
      </c>
      <c r="C82" s="5" cm="1">
        <f t="array" aca="1" ref="C82" ca="1">OFFSET('Input IBGE'!$A$5,ROW()-3,COLUMN()-1,,)</f>
        <v>56559.15</v>
      </c>
      <c r="D82" s="5" cm="1">
        <f t="array" aca="1" ref="D82" ca="1">OFFSET('Input IBGE'!$A$5,ROW()-3,COLUMN()-1,,)</f>
        <v>177814.89</v>
      </c>
      <c r="E82" s="5" cm="1">
        <f t="array" aca="1" ref="E82" ca="1">OFFSET('Input IBGE'!$A$5,ROW()-3,COLUMN()-1,,)</f>
        <v>251158.18</v>
      </c>
      <c r="F82" s="24">
        <f t="shared" ca="1" si="55"/>
        <v>43585.69</v>
      </c>
      <c r="G82" s="5" cm="1">
        <f t="array" aca="1" ref="G82" ca="1">OFFSET('Input IBGE'!$A$5,ROW()-3,COLUMN()-2,,)</f>
        <v>294743.87</v>
      </c>
      <c r="H82" s="24">
        <v>301045.63718635647</v>
      </c>
      <c r="I82" s="9">
        <f t="shared" ca="1" si="56"/>
        <v>-2.0932929788500809</v>
      </c>
      <c r="K82" s="4">
        <f t="shared" ca="1" si="57"/>
        <v>-0.75065261529536631</v>
      </c>
      <c r="L82" s="4">
        <f t="shared" ca="1" si="58"/>
        <v>-1.7464586240579894</v>
      </c>
      <c r="M82" s="4">
        <f t="shared" ca="1" si="59"/>
        <v>-1.0818503065371354</v>
      </c>
      <c r="N82" s="4">
        <f t="shared" ca="1" si="60"/>
        <v>-1.2874736252768249</v>
      </c>
      <c r="O82" s="4">
        <f t="shared" ca="1" si="61"/>
        <v>-2.667734993348625</v>
      </c>
      <c r="P82" s="4">
        <f t="shared" ca="1" si="62"/>
        <v>-1.4940430980796227</v>
      </c>
      <c r="Q82" s="6">
        <f t="shared" si="63"/>
        <v>0.1057647355217517</v>
      </c>
      <c r="S82" s="4">
        <f t="shared" ca="1" si="51"/>
        <v>6.0706037098497996</v>
      </c>
      <c r="T82" s="4">
        <f t="shared" ca="1" si="52"/>
        <v>19.112721163544265</v>
      </c>
      <c r="U82" s="4">
        <f t="shared" ca="1" si="53"/>
        <v>60.088003643907214</v>
      </c>
      <c r="V82" s="4">
        <f t="shared" ca="1" si="64"/>
        <v>14.728671482698724</v>
      </c>
      <c r="X82" s="25">
        <f t="shared" ca="1" si="69"/>
        <v>0.24745088950943031</v>
      </c>
      <c r="Y82" s="25">
        <f t="shared" ca="1" si="70"/>
        <v>-0.98606311990773032</v>
      </c>
      <c r="Z82" s="25">
        <f t="shared" ca="1" si="71"/>
        <v>-1.1694931771103363</v>
      </c>
      <c r="AA82" s="25">
        <f t="shared" ca="1" si="67"/>
        <v>-2.0368566790504361</v>
      </c>
      <c r="AB82" s="25">
        <f t="shared" ca="1" si="72"/>
        <v>-2.214905998788419</v>
      </c>
      <c r="AC82" s="25">
        <f t="shared" si="73"/>
        <v>0.81534179197833012</v>
      </c>
      <c r="AE82" s="25">
        <f t="shared" ca="1" si="74"/>
        <v>3.6938687094301592</v>
      </c>
      <c r="AF82" s="25">
        <f t="shared" ca="1" si="75"/>
        <v>-4.2325538419018427</v>
      </c>
      <c r="AG82" s="25">
        <f t="shared" ca="1" si="76"/>
        <v>-1.6649345068953103</v>
      </c>
      <c r="AH82" s="25">
        <f t="shared" ca="1" si="77"/>
        <v>-2.0368566790504361</v>
      </c>
      <c r="AI82" s="25">
        <f t="shared" ca="1" si="78"/>
        <v>-2.214905998788419</v>
      </c>
      <c r="AJ82" s="25">
        <f t="shared" si="79"/>
        <v>0.81534179197833012</v>
      </c>
    </row>
    <row r="83" spans="1:36" x14ac:dyDescent="0.15">
      <c r="A83" s="8">
        <f t="shared" si="65"/>
        <v>42369</v>
      </c>
      <c r="B83" s="5" cm="1">
        <f t="array" aca="1" ref="B83" ca="1">OFFSET('Input IBGE'!$A$5,ROW()-3,COLUMN()-1,,)</f>
        <v>18356.8</v>
      </c>
      <c r="C83" s="5" cm="1">
        <f t="array" aca="1" ref="C83" ca="1">OFFSET('Input IBGE'!$A$5,ROW()-3,COLUMN()-1,,)</f>
        <v>55562.68</v>
      </c>
      <c r="D83" s="5" cm="1">
        <f t="array" aca="1" ref="D83" ca="1">OFFSET('Input IBGE'!$A$5,ROW()-3,COLUMN()-1,,)</f>
        <v>177000.63</v>
      </c>
      <c r="E83" s="5" cm="1">
        <f t="array" aca="1" ref="E83" ca="1">OFFSET('Input IBGE'!$A$5,ROW()-3,COLUMN()-1,,)</f>
        <v>249752.2</v>
      </c>
      <c r="F83" s="24">
        <f t="shared" ca="1" si="55"/>
        <v>42674.989999999991</v>
      </c>
      <c r="G83" s="5" cm="1">
        <f t="array" aca="1" ref="G83" ca="1">OFFSET('Input IBGE'!$A$5,ROW()-3,COLUMN()-2,,)</f>
        <v>292427.19</v>
      </c>
      <c r="H83" s="24">
        <v>301208.33522050781</v>
      </c>
      <c r="I83" s="9">
        <f t="shared" ca="1" si="56"/>
        <v>-2.9153061830375138</v>
      </c>
      <c r="K83" s="4">
        <f t="shared" ca="1" si="57"/>
        <v>2.184433863011126</v>
      </c>
      <c r="L83" s="4">
        <f t="shared" ca="1" si="58"/>
        <v>-1.7618192635497576</v>
      </c>
      <c r="M83" s="4">
        <f t="shared" ca="1" si="59"/>
        <v>-0.45792565515745398</v>
      </c>
      <c r="N83" s="4">
        <f t="shared" ca="1" si="60"/>
        <v>-0.5597986097844676</v>
      </c>
      <c r="O83" s="4">
        <f t="shared" ca="1" si="61"/>
        <v>-2.0894472474796477</v>
      </c>
      <c r="P83" s="4">
        <f t="shared" ca="1" si="62"/>
        <v>-0.7859976867372942</v>
      </c>
      <c r="Q83" s="6">
        <f t="shared" si="63"/>
        <v>5.4044308920064843E-2</v>
      </c>
      <c r="S83" s="4">
        <f t="shared" ca="1" si="51"/>
        <v>6.2524204252727644</v>
      </c>
      <c r="T83" s="4">
        <f t="shared" ca="1" si="52"/>
        <v>18.92493437390474</v>
      </c>
      <c r="U83" s="4">
        <f t="shared" ca="1" si="53"/>
        <v>60.287324277550958</v>
      </c>
      <c r="V83" s="4">
        <f t="shared" ca="1" si="64"/>
        <v>14.535320923271536</v>
      </c>
      <c r="X83" s="25">
        <f t="shared" ca="1" si="69"/>
        <v>0.19593265038656021</v>
      </c>
      <c r="Y83" s="25">
        <f t="shared" ca="1" si="70"/>
        <v>-1.3402234021479547</v>
      </c>
      <c r="Z83" s="25">
        <f t="shared" ca="1" si="71"/>
        <v>-1.9077803297645408</v>
      </c>
      <c r="AA83" s="25">
        <f t="shared" ca="1" si="67"/>
        <v>-3.1459903457866534</v>
      </c>
      <c r="AB83" s="25">
        <f t="shared" ca="1" si="72"/>
        <v>-3.5358034559468954</v>
      </c>
      <c r="AC83" s="25">
        <f t="shared" si="73"/>
        <v>0.6672749191637628</v>
      </c>
      <c r="AE83" s="25">
        <f t="shared" ca="1" si="74"/>
        <v>2.8946988584637401</v>
      </c>
      <c r="AF83" s="25">
        <f t="shared" ca="1" si="75"/>
        <v>-5.7805783234068375</v>
      </c>
      <c r="AG83" s="25">
        <f t="shared" ca="1" si="76"/>
        <v>-2.7128758975703882</v>
      </c>
      <c r="AH83" s="25">
        <f t="shared" ca="1" si="77"/>
        <v>-3.1459903457866534</v>
      </c>
      <c r="AI83" s="25">
        <f t="shared" ca="1" si="78"/>
        <v>-3.5358034559468954</v>
      </c>
      <c r="AJ83" s="25">
        <f t="shared" si="79"/>
        <v>0.6672749191637628</v>
      </c>
    </row>
    <row r="84" spans="1:36" x14ac:dyDescent="0.15">
      <c r="A84" s="8">
        <f t="shared" si="65"/>
        <v>42460</v>
      </c>
      <c r="B84" s="5" cm="1">
        <f t="array" aca="1" ref="B84" ca="1">OFFSET('Input IBGE'!$A$5,ROW()-3,COLUMN()-1,,)</f>
        <v>17049.73</v>
      </c>
      <c r="C84" s="5" cm="1">
        <f t="array" aca="1" ref="C84" ca="1">OFFSET('Input IBGE'!$A$5,ROW()-3,COLUMN()-1,,)</f>
        <v>55405.279999999999</v>
      </c>
      <c r="D84" s="5" cm="1">
        <f t="array" aca="1" ref="D84" ca="1">OFFSET('Input IBGE'!$A$5,ROW()-3,COLUMN()-1,,)</f>
        <v>175219.36</v>
      </c>
      <c r="E84" s="5" cm="1">
        <f t="array" aca="1" ref="E84" ca="1">OFFSET('Input IBGE'!$A$5,ROW()-3,COLUMN()-1,,)</f>
        <v>245680.91</v>
      </c>
      <c r="F84" s="24">
        <f t="shared" ca="1" si="55"/>
        <v>42087.26999999999</v>
      </c>
      <c r="G84" s="5" cm="1">
        <f t="array" aca="1" ref="G84" ca="1">OFFSET('Input IBGE'!$A$5,ROW()-3,COLUMN()-2,,)</f>
        <v>287768.18</v>
      </c>
      <c r="H84" s="24">
        <v>301371.03325465921</v>
      </c>
      <c r="I84" s="9">
        <f t="shared" ca="1" si="56"/>
        <v>-4.5136565076461022</v>
      </c>
      <c r="K84" s="4">
        <f t="shared" ca="1" si="57"/>
        <v>-7.1203586681774622</v>
      </c>
      <c r="L84" s="4">
        <f t="shared" ca="1" si="58"/>
        <v>-0.28328367170193935</v>
      </c>
      <c r="M84" s="4">
        <f t="shared" ca="1" si="59"/>
        <v>-1.0063636496661199</v>
      </c>
      <c r="N84" s="4">
        <f t="shared" ca="1" si="60"/>
        <v>-1.6301317866269094</v>
      </c>
      <c r="O84" s="4">
        <f t="shared" ca="1" si="61"/>
        <v>-1.3772000883890079</v>
      </c>
      <c r="P84" s="4">
        <f t="shared" ca="1" si="62"/>
        <v>-1.5932205209782335</v>
      </c>
      <c r="Q84" s="6">
        <f t="shared" si="63"/>
        <v>5.4015116823480369E-2</v>
      </c>
      <c r="S84" s="4">
        <f t="shared" ca="1" si="51"/>
        <v>5.8840535275821884</v>
      </c>
      <c r="T84" s="4">
        <f t="shared" ca="1" si="52"/>
        <v>19.120985096578003</v>
      </c>
      <c r="U84" s="4">
        <f t="shared" ca="1" si="53"/>
        <v>60.470171275949433</v>
      </c>
      <c r="V84" s="4">
        <f t="shared" ca="1" si="64"/>
        <v>14.524790099890375</v>
      </c>
      <c r="W84" s="2">
        <f t="shared" ref="W84" si="81">YEAR(A84)</f>
        <v>2016</v>
      </c>
      <c r="X84" s="25">
        <f t="shared" ca="1" si="69"/>
        <v>-4.9380061361763698E-2</v>
      </c>
      <c r="Y84" s="25">
        <f t="shared" ca="1" si="70"/>
        <v>-1.5056979758769491</v>
      </c>
      <c r="Z84" s="25">
        <f t="shared" ca="1" si="71"/>
        <v>-2.4640599886908467</v>
      </c>
      <c r="AA84" s="25">
        <f t="shared" ca="1" si="67"/>
        <v>-4.1799527480281151</v>
      </c>
      <c r="AB84" s="25">
        <f t="shared" ca="1" si="72"/>
        <v>-4.696777811842912</v>
      </c>
      <c r="AC84" s="25">
        <f t="shared" si="73"/>
        <v>0.53694259034515746</v>
      </c>
      <c r="AE84" s="25">
        <f t="shared" ca="1" si="74"/>
        <v>-0.71661520137724644</v>
      </c>
      <c r="AF84" s="25">
        <f t="shared" ca="1" si="75"/>
        <v>-6.531775067278045</v>
      </c>
      <c r="AG84" s="25">
        <f t="shared" ca="1" si="76"/>
        <v>-3.4997399720661071</v>
      </c>
      <c r="AH84" s="25">
        <f t="shared" ca="1" si="77"/>
        <v>-4.1799527480281151</v>
      </c>
      <c r="AI84" s="25">
        <f t="shared" ca="1" si="78"/>
        <v>-4.696777811842912</v>
      </c>
      <c r="AJ84" s="25">
        <f t="shared" si="79"/>
        <v>0.53694259034515746</v>
      </c>
    </row>
    <row r="85" spans="1:36" x14ac:dyDescent="0.15">
      <c r="A85" s="8">
        <f t="shared" si="65"/>
        <v>42551</v>
      </c>
      <c r="B85" s="5" cm="1">
        <f t="array" aca="1" ref="B85" ca="1">OFFSET('Input IBGE'!$A$5,ROW()-3,COLUMN()-1,,)</f>
        <v>17061.669999999998</v>
      </c>
      <c r="C85" s="5" cm="1">
        <f t="array" aca="1" ref="C85" ca="1">OFFSET('Input IBGE'!$A$5,ROW()-3,COLUMN()-1,,)</f>
        <v>55135.519999999997</v>
      </c>
      <c r="D85" s="5" cm="1">
        <f t="array" aca="1" ref="D85" ca="1">OFFSET('Input IBGE'!$A$5,ROW()-3,COLUMN()-1,,)</f>
        <v>175982.97</v>
      </c>
      <c r="E85" s="5" cm="1">
        <f t="array" aca="1" ref="E85" ca="1">OFFSET('Input IBGE'!$A$5,ROW()-3,COLUMN()-1,,)</f>
        <v>247466.76</v>
      </c>
      <c r="F85" s="24">
        <f t="shared" ca="1" si="55"/>
        <v>41920.239999999991</v>
      </c>
      <c r="G85" s="5" cm="1">
        <f t="array" aca="1" ref="G85" ca="1">OFFSET('Input IBGE'!$A$5,ROW()-3,COLUMN()-2,,)</f>
        <v>289387</v>
      </c>
      <c r="H85" s="24">
        <v>301533.73128881055</v>
      </c>
      <c r="I85" s="9">
        <f t="shared" ca="1" si="56"/>
        <v>-4.0283159157329385</v>
      </c>
      <c r="K85" s="4">
        <f t="shared" ca="1" si="57"/>
        <v>7.0030434499535055E-2</v>
      </c>
      <c r="L85" s="4">
        <f t="shared" ca="1" si="58"/>
        <v>-0.48688500446166794</v>
      </c>
      <c r="M85" s="4">
        <f t="shared" ca="1" si="59"/>
        <v>0.43580229947193239</v>
      </c>
      <c r="N85" s="4">
        <f t="shared" ca="1" si="60"/>
        <v>0.7268981541952213</v>
      </c>
      <c r="O85" s="4">
        <f t="shared" ca="1" si="61"/>
        <v>-0.39686584565831184</v>
      </c>
      <c r="P85" s="4">
        <f t="shared" ca="1" si="62"/>
        <v>0.56254308589642754</v>
      </c>
      <c r="Q85" s="6">
        <f t="shared" si="63"/>
        <v>5.3985956246127564E-2</v>
      </c>
      <c r="S85" s="4">
        <f t="shared" ca="1" si="51"/>
        <v>5.8812983367137717</v>
      </c>
      <c r="T85" s="4">
        <f t="shared" ca="1" si="52"/>
        <v>19.005668382394507</v>
      </c>
      <c r="U85" s="4">
        <f t="shared" ca="1" si="53"/>
        <v>60.66278088551411</v>
      </c>
      <c r="V85" s="4">
        <f t="shared" ca="1" si="64"/>
        <v>14.450252395377596</v>
      </c>
      <c r="X85" s="25">
        <f t="shared" ca="1" si="69"/>
        <v>-0.219785109469985</v>
      </c>
      <c r="Y85" s="25">
        <f t="shared" ca="1" si="70"/>
        <v>-1.4611725830931199</v>
      </c>
      <c r="Z85" s="25">
        <f t="shared" ca="1" si="71"/>
        <v>-2.4560965035395355</v>
      </c>
      <c r="AA85" s="25">
        <f t="shared" ca="1" si="67"/>
        <v>-4.2602103677151444</v>
      </c>
      <c r="AB85" s="25">
        <f t="shared" ca="1" si="72"/>
        <v>-4.8302757373333671</v>
      </c>
      <c r="AC85" s="25">
        <f t="shared" si="73"/>
        <v>0.42406032663819815</v>
      </c>
      <c r="AE85" s="25">
        <f t="shared" ca="1" si="74"/>
        <v>-3.1383110322151242</v>
      </c>
      <c r="AF85" s="25">
        <f t="shared" ca="1" si="75"/>
        <v>-6.3789193010616803</v>
      </c>
      <c r="AG85" s="25">
        <f t="shared" ca="1" si="76"/>
        <v>-3.4860926223831967</v>
      </c>
      <c r="AH85" s="25">
        <f t="shared" ca="1" si="77"/>
        <v>-4.2602103677151444</v>
      </c>
      <c r="AI85" s="25">
        <f t="shared" ca="1" si="78"/>
        <v>-4.8302757373333671</v>
      </c>
      <c r="AJ85" s="25">
        <f t="shared" si="79"/>
        <v>0.42406032663819815</v>
      </c>
    </row>
    <row r="86" spans="1:36" x14ac:dyDescent="0.15">
      <c r="A86" s="8">
        <f t="shared" si="65"/>
        <v>42643</v>
      </c>
      <c r="B86" s="5" cm="1">
        <f t="array" aca="1" ref="B86" ca="1">OFFSET('Input IBGE'!$A$5,ROW()-3,COLUMN()-1,,)</f>
        <v>17348.52</v>
      </c>
      <c r="C86" s="5" cm="1">
        <f t="array" aca="1" ref="C86" ca="1">OFFSET('Input IBGE'!$A$5,ROW()-3,COLUMN()-1,,)</f>
        <v>54555</v>
      </c>
      <c r="D86" s="5" cm="1">
        <f t="array" aca="1" ref="D86" ca="1">OFFSET('Input IBGE'!$A$5,ROW()-3,COLUMN()-1,,)</f>
        <v>174851.06</v>
      </c>
      <c r="E86" s="5" cm="1">
        <f t="array" aca="1" ref="E86" ca="1">OFFSET('Input IBGE'!$A$5,ROW()-3,COLUMN()-1,,)</f>
        <v>245770.45</v>
      </c>
      <c r="F86" s="24">
        <f t="shared" ca="1" si="55"/>
        <v>41796.070000000007</v>
      </c>
      <c r="G86" s="5" cm="1">
        <f t="array" aca="1" ref="G86" ca="1">OFFSET('Input IBGE'!$A$5,ROW()-3,COLUMN()-2,,)</f>
        <v>287566.52</v>
      </c>
      <c r="H86" s="24">
        <v>301680.13370752719</v>
      </c>
      <c r="I86" s="9">
        <f t="shared" ca="1" si="56"/>
        <v>-4.6783371294876304</v>
      </c>
      <c r="K86" s="4">
        <f t="shared" ca="1" si="57"/>
        <v>1.6812539452468744</v>
      </c>
      <c r="L86" s="4">
        <f t="shared" ca="1" si="58"/>
        <v>-1.0528965719376449</v>
      </c>
      <c r="M86" s="4">
        <f t="shared" ca="1" si="59"/>
        <v>-0.64319291804201262</v>
      </c>
      <c r="N86" s="4">
        <f t="shared" ca="1" si="60"/>
        <v>-0.68546983845426679</v>
      </c>
      <c r="O86" s="4">
        <f t="shared" ca="1" si="61"/>
        <v>-0.29620536523642382</v>
      </c>
      <c r="P86" s="4">
        <f t="shared" ca="1" si="62"/>
        <v>-0.62908147221539812</v>
      </c>
      <c r="Q86" s="6">
        <f t="shared" si="63"/>
        <v>4.8552584180505676E-2</v>
      </c>
      <c r="S86" s="4">
        <f t="shared" ca="1" si="51"/>
        <v>6.0122962814327394</v>
      </c>
      <c r="T86" s="4">
        <f t="shared" ca="1" si="52"/>
        <v>18.906559385674576</v>
      </c>
      <c r="U86" s="4">
        <f t="shared" ca="1" si="53"/>
        <v>60.596314719790101</v>
      </c>
      <c r="V86" s="4">
        <f t="shared" ca="1" si="64"/>
        <v>14.48482961310259</v>
      </c>
      <c r="X86" s="25">
        <f t="shared" ca="1" si="69"/>
        <v>-0.30258654676457958</v>
      </c>
      <c r="Y86" s="25">
        <f t="shared" ca="1" si="70"/>
        <v>-1.3203956019048166</v>
      </c>
      <c r="Z86" s="25">
        <f t="shared" ca="1" si="71"/>
        <v>-2.1515547823332701</v>
      </c>
      <c r="AA86" s="25">
        <f t="shared" ca="1" si="67"/>
        <v>-3.8718998170254038</v>
      </c>
      <c r="AB86" s="25">
        <f t="shared" ca="1" si="72"/>
        <v>-4.4024231999361447</v>
      </c>
      <c r="AC86" s="25">
        <f t="shared" si="73"/>
        <v>0.33159738478334422</v>
      </c>
      <c r="AE86" s="25">
        <f t="shared" ca="1" si="74"/>
        <v>-4.2672853522888072</v>
      </c>
      <c r="AF86" s="25">
        <f t="shared" ca="1" si="75"/>
        <v>-5.7975786660314217</v>
      </c>
      <c r="AG86" s="25">
        <f t="shared" ca="1" si="76"/>
        <v>-3.0514493866786063</v>
      </c>
      <c r="AH86" s="25">
        <f t="shared" ca="1" si="77"/>
        <v>-3.8718998170254038</v>
      </c>
      <c r="AI86" s="25">
        <f t="shared" ca="1" si="78"/>
        <v>-4.4024231999361447</v>
      </c>
      <c r="AJ86" s="25">
        <f t="shared" si="79"/>
        <v>0.33159738478334422</v>
      </c>
    </row>
    <row r="87" spans="1:36" x14ac:dyDescent="0.15">
      <c r="A87" s="8">
        <f t="shared" si="65"/>
        <v>42735</v>
      </c>
      <c r="B87" s="5" cm="1">
        <f t="array" aca="1" ref="B87" ca="1">OFFSET('Input IBGE'!$A$5,ROW()-3,COLUMN()-1,,)</f>
        <v>18185.23</v>
      </c>
      <c r="C87" s="5" cm="1">
        <f t="array" aca="1" ref="C87" ca="1">OFFSET('Input IBGE'!$A$5,ROW()-3,COLUMN()-1,,)</f>
        <v>53596.25</v>
      </c>
      <c r="D87" s="5" cm="1">
        <f t="array" aca="1" ref="D87" ca="1">OFFSET('Input IBGE'!$A$5,ROW()-3,COLUMN()-1,,)</f>
        <v>173945.44</v>
      </c>
      <c r="E87" s="5" cm="1">
        <f t="array" aca="1" ref="E87" ca="1">OFFSET('Input IBGE'!$A$5,ROW()-3,COLUMN()-1,,)</f>
        <v>245302.31</v>
      </c>
      <c r="F87" s="24">
        <f t="shared" ca="1" si="55"/>
        <v>41741.919999999984</v>
      </c>
      <c r="G87" s="5" cm="1">
        <f t="array" aca="1" ref="G87" ca="1">OFFSET('Input IBGE'!$A$5,ROW()-3,COLUMN()-2,,)</f>
        <v>287044.23</v>
      </c>
      <c r="H87" s="24">
        <v>301810.24051080912</v>
      </c>
      <c r="I87" s="9">
        <f t="shared" ca="1" si="56"/>
        <v>-4.8924816089135685</v>
      </c>
      <c r="K87" s="4">
        <f t="shared" ca="1" si="57"/>
        <v>4.8229474329798627</v>
      </c>
      <c r="L87" s="4">
        <f t="shared" ca="1" si="58"/>
        <v>-1.7574007881953957</v>
      </c>
      <c r="M87" s="4">
        <f t="shared" ca="1" si="59"/>
        <v>-0.51793795244935437</v>
      </c>
      <c r="N87" s="4">
        <f t="shared" ca="1" si="60"/>
        <v>-0.1904785542769738</v>
      </c>
      <c r="O87" s="4">
        <f t="shared" ca="1" si="61"/>
        <v>-0.12955763544281185</v>
      </c>
      <c r="P87" s="4">
        <f t="shared" ca="1" si="62"/>
        <v>-0.18162406388616548</v>
      </c>
      <c r="Q87" s="6">
        <f t="shared" si="63"/>
        <v>4.3127401755960193E-2</v>
      </c>
      <c r="S87" s="4">
        <f t="shared" ca="1" si="51"/>
        <v>6.3259830178463874</v>
      </c>
      <c r="T87" s="4">
        <f t="shared" ca="1" si="52"/>
        <v>18.644194619493369</v>
      </c>
      <c r="U87" s="4">
        <f t="shared" ca="1" si="53"/>
        <v>60.509319897071293</v>
      </c>
      <c r="V87" s="4">
        <f t="shared" ca="1" si="64"/>
        <v>14.520502465588962</v>
      </c>
      <c r="X87" s="25">
        <f t="shared" ca="1" si="69"/>
        <v>-0.33700140373951043</v>
      </c>
      <c r="Y87" s="25">
        <f t="shared" ca="1" si="70"/>
        <v>-1.0326388109189428</v>
      </c>
      <c r="Z87" s="25">
        <f t="shared" ca="1" si="71"/>
        <v>-1.7502956034830801</v>
      </c>
      <c r="AA87" s="25">
        <f t="shared" ca="1" si="67"/>
        <v>-3.1422169758842711</v>
      </c>
      <c r="AB87" s="25">
        <f t="shared" ca="1" si="72"/>
        <v>-3.5053420898807697</v>
      </c>
      <c r="AC87" s="25">
        <f t="shared" si="73"/>
        <v>0.2625793820277611</v>
      </c>
      <c r="AE87" s="25">
        <f t="shared" ca="1" si="74"/>
        <v>-4.6865460720390217</v>
      </c>
      <c r="AF87" s="25">
        <f t="shared" ca="1" si="75"/>
        <v>-4.5784629819699108</v>
      </c>
      <c r="AG87" s="25">
        <f t="shared" ca="1" si="76"/>
        <v>-2.4778510808105558</v>
      </c>
      <c r="AH87" s="25">
        <f t="shared" ca="1" si="77"/>
        <v>-3.1422169758842711</v>
      </c>
      <c r="AI87" s="25">
        <f t="shared" ca="1" si="78"/>
        <v>-3.5053420898807697</v>
      </c>
      <c r="AJ87" s="25">
        <f t="shared" si="79"/>
        <v>0.2625793820277611</v>
      </c>
    </row>
    <row r="88" spans="1:36" x14ac:dyDescent="0.15">
      <c r="A88" s="8">
        <f t="shared" si="65"/>
        <v>42825</v>
      </c>
      <c r="B88" s="5" cm="1">
        <f t="array" aca="1" ref="B88" ca="1">OFFSET('Input IBGE'!$A$5,ROW()-3,COLUMN()-1,,)</f>
        <v>20370.71</v>
      </c>
      <c r="C88" s="5" cm="1">
        <f t="array" aca="1" ref="C88" ca="1">OFFSET('Input IBGE'!$A$5,ROW()-3,COLUMN()-1,,)</f>
        <v>53916.7</v>
      </c>
      <c r="D88" s="5" cm="1">
        <f t="array" aca="1" ref="D88" ca="1">OFFSET('Input IBGE'!$A$5,ROW()-3,COLUMN()-1,,)</f>
        <v>174797.95</v>
      </c>
      <c r="E88" s="5" cm="1">
        <f t="array" aca="1" ref="E88" ca="1">OFFSET('Input IBGE'!$A$5,ROW()-3,COLUMN()-1,,)</f>
        <v>248468.36</v>
      </c>
      <c r="F88" s="24">
        <f t="shared" ca="1" si="55"/>
        <v>41774.109999999986</v>
      </c>
      <c r="G88" s="5" cm="1">
        <f t="array" aca="1" ref="G88" ca="1">OFFSET('Input IBGE'!$A$5,ROW()-3,COLUMN()-2,,)</f>
        <v>290242.46999999997</v>
      </c>
      <c r="H88" s="24">
        <v>301940.34731409105</v>
      </c>
      <c r="I88" s="9">
        <f t="shared" ca="1" si="56"/>
        <v>-3.8742345692284852</v>
      </c>
      <c r="K88" s="4">
        <f t="shared" ca="1" si="57"/>
        <v>12.017884843909044</v>
      </c>
      <c r="L88" s="4">
        <f t="shared" ca="1" si="58"/>
        <v>0.59789630804394367</v>
      </c>
      <c r="M88" s="4">
        <f t="shared" ca="1" si="59"/>
        <v>0.4901019538080531</v>
      </c>
      <c r="N88" s="4">
        <f t="shared" ca="1" si="60"/>
        <v>1.2906727213453317</v>
      </c>
      <c r="O88" s="4">
        <f t="shared" ca="1" si="61"/>
        <v>7.7116721032477464E-2</v>
      </c>
      <c r="P88" s="4">
        <f t="shared" ca="1" si="62"/>
        <v>1.1141976273133958</v>
      </c>
      <c r="Q88" s="6">
        <f t="shared" si="63"/>
        <v>4.3108810046255108E-2</v>
      </c>
      <c r="S88" s="4">
        <f t="shared" ca="1" si="51"/>
        <v>7.00362618415003</v>
      </c>
      <c r="T88" s="4">
        <f t="shared" ca="1" si="52"/>
        <v>18.537027520541109</v>
      </c>
      <c r="U88" s="4">
        <f t="shared" ca="1" si="53"/>
        <v>60.097046178348613</v>
      </c>
      <c r="V88" s="4">
        <f t="shared" ca="1" si="64"/>
        <v>14.362300116960261</v>
      </c>
      <c r="W88" s="2">
        <f t="shared" ref="W88" si="82">YEAR(A88)</f>
        <v>2017</v>
      </c>
      <c r="X88" s="25">
        <f t="shared" ca="1" si="69"/>
        <v>0.14934388667362636</v>
      </c>
      <c r="Y88" s="25">
        <f t="shared" ca="1" si="70"/>
        <v>-0.78800510564548887</v>
      </c>
      <c r="Z88" s="25">
        <f t="shared" ca="1" si="71"/>
        <v>-1.0206615769248777</v>
      </c>
      <c r="AA88" s="25">
        <f t="shared" ca="1" si="67"/>
        <v>-1.4003003560629557</v>
      </c>
      <c r="AB88" s="25">
        <f t="shared" ca="1" si="72"/>
        <v>-1.6959690534499972</v>
      </c>
      <c r="AC88" s="25">
        <f t="shared" si="73"/>
        <v>0.21686952320640884</v>
      </c>
      <c r="AE88" s="25">
        <f t="shared" ca="1" si="74"/>
        <v>2.0917108383297522</v>
      </c>
      <c r="AF88" s="25">
        <f t="shared" ca="1" si="75"/>
        <v>-3.504408871765996</v>
      </c>
      <c r="AG88" s="25">
        <f t="shared" ca="1" si="76"/>
        <v>-1.4394419793334667</v>
      </c>
      <c r="AH88" s="25">
        <f t="shared" ca="1" si="77"/>
        <v>-1.4003003560629557</v>
      </c>
      <c r="AI88" s="25">
        <f t="shared" ca="1" si="78"/>
        <v>-1.6959690534499972</v>
      </c>
      <c r="AJ88" s="25">
        <f t="shared" si="79"/>
        <v>0.21686952320640884</v>
      </c>
    </row>
    <row r="89" spans="1:36" x14ac:dyDescent="0.15">
      <c r="A89" s="8">
        <f t="shared" si="65"/>
        <v>42916</v>
      </c>
      <c r="B89" s="5" cm="1">
        <f t="array" aca="1" ref="B89" ca="1">OFFSET('Input IBGE'!$A$5,ROW()-3,COLUMN()-1,,)</f>
        <v>19724.849999999999</v>
      </c>
      <c r="C89" s="5" cm="1">
        <f t="array" aca="1" ref="C89" ca="1">OFFSET('Input IBGE'!$A$5,ROW()-3,COLUMN()-1,,)</f>
        <v>54347.69</v>
      </c>
      <c r="D89" s="5" cm="1">
        <f t="array" aca="1" ref="D89" ca="1">OFFSET('Input IBGE'!$A$5,ROW()-3,COLUMN()-1,,)</f>
        <v>176584.88</v>
      </c>
      <c r="E89" s="5" cm="1">
        <f t="array" aca="1" ref="E89" ca="1">OFFSET('Input IBGE'!$A$5,ROW()-3,COLUMN()-1,,)</f>
        <v>249556.63</v>
      </c>
      <c r="F89" s="24">
        <f t="shared" ca="1" si="55"/>
        <v>42836.799999999988</v>
      </c>
      <c r="G89" s="5" cm="1">
        <f t="array" aca="1" ref="G89" ca="1">OFFSET('Input IBGE'!$A$5,ROW()-3,COLUMN()-2,,)</f>
        <v>292393.43</v>
      </c>
      <c r="H89" s="24">
        <v>302070.45411737298</v>
      </c>
      <c r="I89" s="9">
        <f t="shared" ca="1" si="56"/>
        <v>-3.2035652562076966</v>
      </c>
      <c r="K89" s="4">
        <f t="shared" ca="1" si="57"/>
        <v>-3.1705325931202233</v>
      </c>
      <c r="L89" s="4">
        <f t="shared" ca="1" si="58"/>
        <v>0.79936272064129454</v>
      </c>
      <c r="M89" s="4">
        <f t="shared" ca="1" si="59"/>
        <v>1.0222831560667611</v>
      </c>
      <c r="N89" s="4">
        <f t="shared" ca="1" si="60"/>
        <v>0.43799138047195818</v>
      </c>
      <c r="O89" s="4">
        <f t="shared" ca="1" si="61"/>
        <v>2.5438962074835425</v>
      </c>
      <c r="P89" s="4">
        <f t="shared" ca="1" si="62"/>
        <v>0.74109071632419976</v>
      </c>
      <c r="Q89" s="6">
        <f t="shared" si="63"/>
        <v>4.3090234358977852E-2</v>
      </c>
      <c r="S89" s="4">
        <f t="shared" ca="1" si="51"/>
        <v>6.7206945336095547</v>
      </c>
      <c r="T89" s="4">
        <f t="shared" ca="1" si="52"/>
        <v>18.517465182108189</v>
      </c>
      <c r="U89" s="4">
        <f t="shared" ca="1" si="53"/>
        <v>60.16639101103933</v>
      </c>
      <c r="V89" s="4">
        <f t="shared" ca="1" si="64"/>
        <v>14.595449273242926</v>
      </c>
      <c r="X89" s="25">
        <f t="shared" ca="1" si="69"/>
        <v>0.52277932863176768</v>
      </c>
      <c r="Y89" s="25">
        <f t="shared" ca="1" si="70"/>
        <v>-0.62843311816649106</v>
      </c>
      <c r="Z89" s="25">
        <f t="shared" ca="1" si="71"/>
        <v>-0.58734195653865018</v>
      </c>
      <c r="AA89" s="25">
        <f t="shared" ca="1" si="67"/>
        <v>-0.49899500336022529</v>
      </c>
      <c r="AB89" s="25">
        <f t="shared" ca="1" si="72"/>
        <v>-0.60804178045493762</v>
      </c>
      <c r="AC89" s="25">
        <f t="shared" si="73"/>
        <v>0.19436764864635414</v>
      </c>
      <c r="AE89" s="25">
        <f t="shared" ca="1" si="74"/>
        <v>7.3783041882037992</v>
      </c>
      <c r="AF89" s="25">
        <f t="shared" ca="1" si="75"/>
        <v>-2.8055852928710823</v>
      </c>
      <c r="AG89" s="25">
        <f t="shared" ca="1" si="76"/>
        <v>-0.82696492730316429</v>
      </c>
      <c r="AH89" s="25">
        <f t="shared" ca="1" si="77"/>
        <v>-0.49899500336022529</v>
      </c>
      <c r="AI89" s="25">
        <f t="shared" ca="1" si="78"/>
        <v>-0.60804178045493762</v>
      </c>
      <c r="AJ89" s="25">
        <f t="shared" si="79"/>
        <v>0.19436764864635414</v>
      </c>
    </row>
    <row r="90" spans="1:36" x14ac:dyDescent="0.15">
      <c r="A90" s="8">
        <f t="shared" si="65"/>
        <v>43008</v>
      </c>
      <c r="B90" s="5" cm="1">
        <f t="array" aca="1" ref="B90" ca="1">OFFSET('Input IBGE'!$A$5,ROW()-3,COLUMN()-1,,)</f>
        <v>19288.830000000002</v>
      </c>
      <c r="C90" s="5" cm="1">
        <f t="array" aca="1" ref="C90" ca="1">OFFSET('Input IBGE'!$A$5,ROW()-3,COLUMN()-1,,)</f>
        <v>54350.12</v>
      </c>
      <c r="D90" s="5" cm="1">
        <f t="array" aca="1" ref="D90" ca="1">OFFSET('Input IBGE'!$A$5,ROW()-3,COLUMN()-1,,)</f>
        <v>177724.91</v>
      </c>
      <c r="E90" s="5" cm="1">
        <f t="array" aca="1" ref="E90" ca="1">OFFSET('Input IBGE'!$A$5,ROW()-3,COLUMN()-1,,)</f>
        <v>250141.54</v>
      </c>
      <c r="F90" s="24">
        <f t="shared" ca="1" si="55"/>
        <v>43145.079999999987</v>
      </c>
      <c r="G90" s="5" cm="1">
        <f t="array" aca="1" ref="G90" ca="1">OFFSET('Input IBGE'!$A$5,ROW()-3,COLUMN()-2,,)</f>
        <v>293286.62</v>
      </c>
      <c r="H90" s="24">
        <v>302268.95981103601</v>
      </c>
      <c r="I90" s="9">
        <f t="shared" ca="1" si="56"/>
        <v>-2.9716381783466472</v>
      </c>
      <c r="K90" s="4">
        <f t="shared" ca="1" si="57"/>
        <v>-2.2105111065483185</v>
      </c>
      <c r="L90" s="4">
        <f t="shared" ca="1" si="58"/>
        <v>4.4712111959110956E-3</v>
      </c>
      <c r="M90" s="4">
        <f t="shared" ca="1" si="59"/>
        <v>0.64559887573614194</v>
      </c>
      <c r="N90" s="4">
        <f t="shared" ca="1" si="60"/>
        <v>0.23437966765298412</v>
      </c>
      <c r="O90" s="4">
        <f t="shared" ca="1" si="61"/>
        <v>0.71966159937248975</v>
      </c>
      <c r="P90" s="4">
        <f t="shared" ca="1" si="62"/>
        <v>0.30547540004575158</v>
      </c>
      <c r="Q90" s="6">
        <f t="shared" si="63"/>
        <v>6.5715031363478005E-2</v>
      </c>
      <c r="S90" s="4">
        <f t="shared" ca="1" si="51"/>
        <v>6.5494887863166404</v>
      </c>
      <c r="T90" s="4">
        <f t="shared" ca="1" si="52"/>
        <v>18.454489021623587</v>
      </c>
      <c r="U90" s="4">
        <f t="shared" ca="1" si="53"/>
        <v>60.346185076758616</v>
      </c>
      <c r="V90" s="4">
        <f t="shared" ca="1" si="64"/>
        <v>14.649837115301146</v>
      </c>
      <c r="X90" s="25">
        <f t="shared" ca="1" si="69"/>
        <v>0.78417444553204563</v>
      </c>
      <c r="Y90" s="25">
        <f t="shared" ca="1" si="70"/>
        <v>-0.44986887034293888</v>
      </c>
      <c r="Z90" s="25">
        <f t="shared" ca="1" si="71"/>
        <v>-8.4962599056012279E-5</v>
      </c>
      <c r="AA90" s="25">
        <f t="shared" ca="1" si="67"/>
        <v>0.48535087004533128</v>
      </c>
      <c r="AB90" s="25">
        <f t="shared" ca="1" si="72"/>
        <v>0.50277540343144356</v>
      </c>
      <c r="AC90" s="25">
        <f t="shared" si="73"/>
        <v>0.19047778823504391</v>
      </c>
      <c r="AE90" s="25">
        <f t="shared" ca="1" si="74"/>
        <v>11.104646566037468</v>
      </c>
      <c r="AF90" s="25">
        <f t="shared" ca="1" si="75"/>
        <v>-2.0156578618687027</v>
      </c>
      <c r="AG90" s="25">
        <f t="shared" ca="1" si="76"/>
        <v>-1.1947872795570191E-4</v>
      </c>
      <c r="AH90" s="25">
        <f t="shared" ca="1" si="77"/>
        <v>0.48535087004533128</v>
      </c>
      <c r="AI90" s="25">
        <f t="shared" ca="1" si="78"/>
        <v>0.50277540343144356</v>
      </c>
      <c r="AJ90" s="25">
        <f t="shared" si="79"/>
        <v>0.19047778823504391</v>
      </c>
    </row>
    <row r="91" spans="1:36" x14ac:dyDescent="0.15">
      <c r="A91" s="8">
        <f t="shared" si="65"/>
        <v>43100</v>
      </c>
      <c r="B91" s="5" cm="1">
        <f t="array" aca="1" ref="B91" ca="1">OFFSET('Input IBGE'!$A$5,ROW()-3,COLUMN()-1,,)</f>
        <v>19365.86</v>
      </c>
      <c r="C91" s="5" cm="1">
        <f t="array" aca="1" ref="C91" ca="1">OFFSET('Input IBGE'!$A$5,ROW()-3,COLUMN()-1,,)</f>
        <v>54946.87</v>
      </c>
      <c r="D91" s="5" cm="1">
        <f t="array" aca="1" ref="D91" ca="1">OFFSET('Input IBGE'!$A$5,ROW()-3,COLUMN()-1,,)</f>
        <v>178119.73</v>
      </c>
      <c r="E91" s="5" cm="1">
        <f t="array" aca="1" ref="E91" ca="1">OFFSET('Input IBGE'!$A$5,ROW()-3,COLUMN()-1,,)</f>
        <v>251315.68</v>
      </c>
      <c r="F91" s="24">
        <f t="shared" ca="1" si="55"/>
        <v>43222.280000000028</v>
      </c>
      <c r="G91" s="5" cm="1">
        <f t="array" aca="1" ref="G91" ca="1">OFFSET('Input IBGE'!$A$5,ROW()-3,COLUMN()-2,,)</f>
        <v>294537.96000000002</v>
      </c>
      <c r="H91" s="24">
        <v>302535.86439508008</v>
      </c>
      <c r="I91" s="9">
        <f t="shared" ca="1" si="56"/>
        <v>-2.643621909445959</v>
      </c>
      <c r="K91" s="4">
        <f t="shared" ca="1" si="57"/>
        <v>0.3993502975556229</v>
      </c>
      <c r="L91" s="4">
        <f t="shared" ca="1" si="58"/>
        <v>1.0979736567279019</v>
      </c>
      <c r="M91" s="4">
        <f t="shared" ca="1" si="59"/>
        <v>0.22215231393281076</v>
      </c>
      <c r="N91" s="4">
        <f t="shared" ca="1" si="60"/>
        <v>0.46939025001604406</v>
      </c>
      <c r="O91" s="4">
        <f t="shared" ca="1" si="61"/>
        <v>0.17893117824798743</v>
      </c>
      <c r="P91" s="4">
        <f t="shared" ca="1" si="62"/>
        <v>0.42666112760276764</v>
      </c>
      <c r="Q91" s="6">
        <f t="shared" si="63"/>
        <v>8.8300361443316433E-2</v>
      </c>
      <c r="S91" s="4">
        <f t="shared" ca="1" si="51"/>
        <v>6.5501605014010593</v>
      </c>
      <c r="T91" s="4">
        <f t="shared" ca="1" si="52"/>
        <v>18.584809430080504</v>
      </c>
      <c r="U91" s="4">
        <f t="shared" ca="1" si="53"/>
        <v>60.245856366111347</v>
      </c>
      <c r="V91" s="4">
        <f t="shared" ca="1" si="64"/>
        <v>14.619173702407076</v>
      </c>
      <c r="X91" s="25">
        <f t="shared" ca="1" si="69"/>
        <v>0.92510780334035314</v>
      </c>
      <c r="Y91" s="25">
        <f t="shared" ca="1" si="70"/>
        <v>-0.11487975310571234</v>
      </c>
      <c r="Z91" s="25">
        <f t="shared" ca="1" si="71"/>
        <v>0.73445335817710156</v>
      </c>
      <c r="AA91" s="25">
        <f t="shared" ref="AA91:AA100" ca="1" si="83">100*(SUM(E88:E91)/SUM(E84:E87)-1)</f>
        <v>1.5506465355529908</v>
      </c>
      <c r="AB91" s="25">
        <f t="shared" ca="1" si="72"/>
        <v>1.6231205936088067</v>
      </c>
      <c r="AC91" s="25">
        <f t="shared" si="73"/>
        <v>0.20063798319498449</v>
      </c>
      <c r="AE91" s="25">
        <f t="shared" ca="1" si="74"/>
        <v>13.073559321790551</v>
      </c>
      <c r="AF91" s="25">
        <f t="shared" ca="1" si="75"/>
        <v>-0.51701467886006158</v>
      </c>
      <c r="AG91" s="25">
        <f t="shared" ca="1" si="76"/>
        <v>1.0326645831679748</v>
      </c>
      <c r="AH91" s="25">
        <f t="shared" ca="1" si="77"/>
        <v>1.5506465355529908</v>
      </c>
      <c r="AI91" s="25">
        <f t="shared" ca="1" si="78"/>
        <v>1.6231205936088067</v>
      </c>
      <c r="AJ91" s="25">
        <f t="shared" si="79"/>
        <v>0.20063798319498449</v>
      </c>
    </row>
    <row r="92" spans="1:36" x14ac:dyDescent="0.15">
      <c r="A92" s="8">
        <f t="shared" si="65"/>
        <v>43190</v>
      </c>
      <c r="B92" s="5" cm="1">
        <f t="array" aca="1" ref="B92" ca="1">OFFSET('Input IBGE'!$A$5,ROW()-3,COLUMN()-1,,)</f>
        <v>19699.16</v>
      </c>
      <c r="C92" s="5" cm="1">
        <f t="array" aca="1" ref="C92" ca="1">OFFSET('Input IBGE'!$A$5,ROW()-3,COLUMN()-1,,)</f>
        <v>55093.09</v>
      </c>
      <c r="D92" s="5" cm="1">
        <f t="array" aca="1" ref="D92" ca="1">OFFSET('Input IBGE'!$A$5,ROW()-3,COLUMN()-1,,)</f>
        <v>179499.06</v>
      </c>
      <c r="E92" s="5" cm="1">
        <f t="array" aca="1" ref="E92" ca="1">OFFSET('Input IBGE'!$A$5,ROW()-3,COLUMN()-1,,)</f>
        <v>252557.95</v>
      </c>
      <c r="F92" s="24">
        <f t="shared" ca="1" si="55"/>
        <v>43560.109999999986</v>
      </c>
      <c r="G92" s="5" cm="1">
        <f t="array" aca="1" ref="G92" ca="1">OFFSET('Input IBGE'!$A$5,ROW()-3,COLUMN()-2,,)</f>
        <v>296118.06</v>
      </c>
      <c r="H92" s="24">
        <v>302802.76897912408</v>
      </c>
      <c r="I92" s="9">
        <f t="shared" ca="1" si="56"/>
        <v>-2.2076115755681691</v>
      </c>
      <c r="K92" s="4">
        <f t="shared" ca="1" si="57"/>
        <v>1.7210699653926964</v>
      </c>
      <c r="L92" s="4">
        <f t="shared" ca="1" si="58"/>
        <v>0.26611160926908184</v>
      </c>
      <c r="M92" s="4">
        <f t="shared" ca="1" si="59"/>
        <v>0.77438361264077216</v>
      </c>
      <c r="N92" s="4">
        <f t="shared" ca="1" si="60"/>
        <v>0.49430660275555649</v>
      </c>
      <c r="O92" s="4">
        <f t="shared" ca="1" si="61"/>
        <v>0.78161078036595999</v>
      </c>
      <c r="P92" s="4">
        <f t="shared" ca="1" si="62"/>
        <v>0.53646735381747135</v>
      </c>
      <c r="Q92" s="6">
        <f t="shared" si="63"/>
        <v>8.8222460691622651E-2</v>
      </c>
      <c r="S92" s="4">
        <f t="shared" ca="1" si="51"/>
        <v>6.6137539314064711</v>
      </c>
      <c r="T92" s="4">
        <f t="shared" ca="1" si="52"/>
        <v>18.496836442814342</v>
      </c>
      <c r="U92" s="4">
        <f t="shared" ca="1" si="53"/>
        <v>60.264631271524586</v>
      </c>
      <c r="V92" s="4">
        <f t="shared" ca="1" si="64"/>
        <v>14.624778354254611</v>
      </c>
      <c r="W92" s="2">
        <f t="shared" ref="W92" si="84">YEAR(A92)</f>
        <v>2018</v>
      </c>
      <c r="X92" s="25">
        <f t="shared" ca="1" si="69"/>
        <v>0.51798674596194805</v>
      </c>
      <c r="Y92" s="25">
        <f t="shared" ca="1" si="70"/>
        <v>0.15544962011853672</v>
      </c>
      <c r="Z92" s="25">
        <f t="shared" ca="1" si="71"/>
        <v>1.2513740011883381</v>
      </c>
      <c r="AA92" s="25">
        <f t="shared" ca="1" si="83"/>
        <v>1.678195314914821</v>
      </c>
      <c r="AB92" s="25">
        <f t="shared" ca="1" si="72"/>
        <v>1.9143198804838057</v>
      </c>
      <c r="AC92" s="25">
        <f t="shared" si="73"/>
        <v>0.22482803656993511</v>
      </c>
      <c r="AE92" s="25">
        <f t="shared" ca="1" si="74"/>
        <v>7.0067714979539009</v>
      </c>
      <c r="AF92" s="25">
        <f t="shared" ca="1" si="75"/>
        <v>0.7063883463740428</v>
      </c>
      <c r="AG92" s="25">
        <f t="shared" ca="1" si="76"/>
        <v>1.7655172461112478</v>
      </c>
      <c r="AH92" s="25">
        <f t="shared" ca="1" si="77"/>
        <v>1.678195314914821</v>
      </c>
      <c r="AI92" s="25">
        <f t="shared" ca="1" si="78"/>
        <v>1.9143198804838057</v>
      </c>
      <c r="AJ92" s="25">
        <f t="shared" si="79"/>
        <v>0.22482803656993511</v>
      </c>
    </row>
    <row r="93" spans="1:36" x14ac:dyDescent="0.15">
      <c r="A93" s="8">
        <f t="shared" si="65"/>
        <v>43281</v>
      </c>
      <c r="B93" s="5" cm="1">
        <f t="array" aca="1" ref="B93" ca="1">OFFSET('Input IBGE'!$A$5,ROW()-3,COLUMN()-1,,)</f>
        <v>19836.060000000001</v>
      </c>
      <c r="C93" s="5" cm="1">
        <f t="array" aca="1" ref="C93" ca="1">OFFSET('Input IBGE'!$A$5,ROW()-3,COLUMN()-1,,)</f>
        <v>54498.51</v>
      </c>
      <c r="D93" s="5" cm="1">
        <f t="array" aca="1" ref="D93" ca="1">OFFSET('Input IBGE'!$A$5,ROW()-3,COLUMN()-1,,)</f>
        <v>180244.34</v>
      </c>
      <c r="E93" s="5" cm="1">
        <f t="array" aca="1" ref="E93" ca="1">OFFSET('Input IBGE'!$A$5,ROW()-3,COLUMN()-1,,)</f>
        <v>253584.84</v>
      </c>
      <c r="F93" s="24">
        <f t="shared" ca="1" si="55"/>
        <v>43033.78</v>
      </c>
      <c r="G93" s="5" cm="1">
        <f t="array" aca="1" ref="G93" ca="1">OFFSET('Input IBGE'!$A$5,ROW()-3,COLUMN()-2,,)</f>
        <v>296618.62</v>
      </c>
      <c r="H93" s="24">
        <v>303069.67356316809</v>
      </c>
      <c r="I93" s="9">
        <f t="shared" ca="1" si="56"/>
        <v>-2.1285711260132123</v>
      </c>
      <c r="K93" s="4">
        <f t="shared" ca="1" si="57"/>
        <v>0.69495349040264998</v>
      </c>
      <c r="L93" s="4">
        <f t="shared" ca="1" si="58"/>
        <v>-1.0792279031725971</v>
      </c>
      <c r="M93" s="4">
        <f t="shared" ca="1" si="59"/>
        <v>0.41519994589387377</v>
      </c>
      <c r="N93" s="4">
        <f t="shared" ca="1" si="60"/>
        <v>0.40659579316351113</v>
      </c>
      <c r="O93" s="4">
        <f t="shared" ca="1" si="61"/>
        <v>-1.2082843684278699</v>
      </c>
      <c r="P93" s="4">
        <f t="shared" ca="1" si="62"/>
        <v>0.16904068600205324</v>
      </c>
      <c r="Q93" s="6">
        <f t="shared" si="63"/>
        <v>8.8144697270720052E-2</v>
      </c>
      <c r="S93" s="4">
        <f t="shared" ca="1" si="51"/>
        <v>6.6650585363144303</v>
      </c>
      <c r="T93" s="4">
        <f t="shared" ca="1" si="52"/>
        <v>18.311890531280774</v>
      </c>
      <c r="U93" s="4">
        <f t="shared" ca="1" si="53"/>
        <v>60.563391970953937</v>
      </c>
      <c r="V93" s="4">
        <f t="shared" ca="1" si="64"/>
        <v>14.459658961450868</v>
      </c>
      <c r="X93" s="25">
        <f t="shared" ca="1" si="69"/>
        <v>0.2588824006525135</v>
      </c>
      <c r="Y93" s="25">
        <f t="shared" ca="1" si="70"/>
        <v>0.2500207891484944</v>
      </c>
      <c r="Z93" s="25">
        <f t="shared" ca="1" si="71"/>
        <v>1.5578551260479347</v>
      </c>
      <c r="AA93" s="25">
        <f t="shared" ca="1" si="83"/>
        <v>1.8706199665300849</v>
      </c>
      <c r="AB93" s="25">
        <f t="shared" ca="1" si="72"/>
        <v>2.0146621292876699</v>
      </c>
      <c r="AC93" s="25">
        <f t="shared" si="73"/>
        <v>0.26303006263317386</v>
      </c>
      <c r="AE93" s="25">
        <f t="shared" ca="1" si="74"/>
        <v>3.3857243970624618</v>
      </c>
      <c r="AF93" s="25">
        <f t="shared" ca="1" si="75"/>
        <v>1.1426854362281746</v>
      </c>
      <c r="AG93" s="25">
        <f t="shared" ca="1" si="76"/>
        <v>2.2006805028077281</v>
      </c>
      <c r="AH93" s="25">
        <f t="shared" ca="1" si="77"/>
        <v>1.8706199665300849</v>
      </c>
      <c r="AI93" s="25">
        <f t="shared" ca="1" si="78"/>
        <v>2.0146621292876699</v>
      </c>
      <c r="AJ93" s="25">
        <f t="shared" si="79"/>
        <v>0.26303006263317386</v>
      </c>
    </row>
    <row r="94" spans="1:36" x14ac:dyDescent="0.15">
      <c r="A94" s="8">
        <f t="shared" si="65"/>
        <v>43373</v>
      </c>
      <c r="B94" s="5" cm="1">
        <f t="array" aca="1" ref="B94" ca="1">OFFSET('Input IBGE'!$A$5,ROW()-3,COLUMN()-1,,)</f>
        <v>20296.060000000001</v>
      </c>
      <c r="C94" s="5" cm="1">
        <f t="array" aca="1" ref="C94" ca="1">OFFSET('Input IBGE'!$A$5,ROW()-3,COLUMN()-1,,)</f>
        <v>54950.1</v>
      </c>
      <c r="D94" s="5" cm="1">
        <f t="array" aca="1" ref="D94" ca="1">OFFSET('Input IBGE'!$A$5,ROW()-3,COLUMN()-1,,)</f>
        <v>181366.65</v>
      </c>
      <c r="E94" s="5" cm="1">
        <f t="array" aca="1" ref="E94" ca="1">OFFSET('Input IBGE'!$A$5,ROW()-3,COLUMN()-1,,)</f>
        <v>255276.95</v>
      </c>
      <c r="F94" s="24">
        <f t="shared" ca="1" si="55"/>
        <v>43949.76999999996</v>
      </c>
      <c r="G94" s="5" cm="1">
        <f t="array" aca="1" ref="G94" ca="1">OFFSET('Input IBGE'!$A$5,ROW()-3,COLUMN()-2,,)</f>
        <v>299226.71999999997</v>
      </c>
      <c r="H94" s="24">
        <v>303426.51828748756</v>
      </c>
      <c r="I94" s="9">
        <f t="shared" ca="1" si="56"/>
        <v>-1.3841236788369349</v>
      </c>
      <c r="K94" s="4">
        <f t="shared" ca="1" si="57"/>
        <v>2.3190089160851413</v>
      </c>
      <c r="L94" s="4">
        <f t="shared" ca="1" si="58"/>
        <v>0.8286281588248956</v>
      </c>
      <c r="M94" s="4">
        <f t="shared" ca="1" si="59"/>
        <v>0.622660328751512</v>
      </c>
      <c r="N94" s="4">
        <f t="shared" ca="1" si="60"/>
        <v>0.66727569361009209</v>
      </c>
      <c r="O94" s="4">
        <f t="shared" ca="1" si="61"/>
        <v>2.128537163130817</v>
      </c>
      <c r="P94" s="4">
        <f t="shared" ca="1" si="62"/>
        <v>0.87927723485463627</v>
      </c>
      <c r="Q94" s="6">
        <f t="shared" si="63"/>
        <v>0.11774346147011006</v>
      </c>
      <c r="S94" s="4">
        <f t="shared" ca="1" si="51"/>
        <v>6.7526902384189027</v>
      </c>
      <c r="T94" s="4">
        <f t="shared" ca="1" si="52"/>
        <v>18.282415595447716</v>
      </c>
      <c r="U94" s="4">
        <f t="shared" ca="1" si="53"/>
        <v>60.342391923838299</v>
      </c>
      <c r="V94" s="4">
        <f t="shared" ca="1" si="64"/>
        <v>14.622502242295088</v>
      </c>
      <c r="X94" s="25">
        <f t="shared" ca="1" si="69"/>
        <v>0.16382194734965341</v>
      </c>
      <c r="Y94" s="25">
        <f t="shared" ca="1" si="70"/>
        <v>0.32993586391698149</v>
      </c>
      <c r="Z94" s="25">
        <f t="shared" ca="1" si="71"/>
        <v>1.6282946529052749</v>
      </c>
      <c r="AA94" s="25">
        <f t="shared" ca="1" si="83"/>
        <v>1.9393240355681352</v>
      </c>
      <c r="AB94" s="25">
        <f t="shared" ca="1" si="72"/>
        <v>2.0236700662336071</v>
      </c>
      <c r="AC94" s="25">
        <f t="shared" si="73"/>
        <v>0.30997884810863852</v>
      </c>
      <c r="AE94" s="25">
        <f t="shared" ca="1" si="74"/>
        <v>2.0981409990148192</v>
      </c>
      <c r="AF94" s="25">
        <f t="shared" ca="1" si="75"/>
        <v>1.5160253819005209</v>
      </c>
      <c r="AG94" s="25">
        <f t="shared" ca="1" si="76"/>
        <v>2.300907023847043</v>
      </c>
      <c r="AH94" s="25">
        <f t="shared" ca="1" si="77"/>
        <v>1.9393240355681352</v>
      </c>
      <c r="AI94" s="25">
        <f t="shared" ca="1" si="78"/>
        <v>2.0236700662336071</v>
      </c>
      <c r="AJ94" s="25">
        <f t="shared" si="79"/>
        <v>0.30997884810863852</v>
      </c>
    </row>
    <row r="95" spans="1:36" x14ac:dyDescent="0.15">
      <c r="A95" s="8">
        <f t="shared" si="65"/>
        <v>43465</v>
      </c>
      <c r="B95" s="5" cm="1">
        <f t="array" aca="1" ref="B95" ca="1">OFFSET('Input IBGE'!$A$5,ROW()-3,COLUMN()-1,,)</f>
        <v>20545.349999999999</v>
      </c>
      <c r="C95" s="5" cm="1">
        <f t="array" aca="1" ref="C95" ca="1">OFFSET('Input IBGE'!$A$5,ROW()-3,COLUMN()-1,,)</f>
        <v>54570</v>
      </c>
      <c r="D95" s="5" cm="1">
        <f t="array" aca="1" ref="D95" ca="1">OFFSET('Input IBGE'!$A$5,ROW()-3,COLUMN()-1,,)</f>
        <v>180539.62</v>
      </c>
      <c r="E95" s="5" cm="1">
        <f t="array" aca="1" ref="E95" ca="1">OFFSET('Input IBGE'!$A$5,ROW()-3,COLUMN()-1,,)</f>
        <v>254727.69</v>
      </c>
      <c r="F95" s="24">
        <f t="shared" ca="1" si="55"/>
        <v>43409.69</v>
      </c>
      <c r="G95" s="5" cm="1">
        <f t="array" aca="1" ref="G95" ca="1">OFFSET('Input IBGE'!$A$5,ROW()-3,COLUMN()-2,,)</f>
        <v>298137.38</v>
      </c>
      <c r="H95" s="24">
        <v>303873.30315208249</v>
      </c>
      <c r="I95" s="9">
        <f t="shared" ca="1" si="56"/>
        <v>-1.8876035152096793</v>
      </c>
      <c r="K95" s="4">
        <f t="shared" ca="1" si="57"/>
        <v>1.2282679495428939</v>
      </c>
      <c r="L95" s="4">
        <f t="shared" ca="1" si="58"/>
        <v>-0.6917184864085768</v>
      </c>
      <c r="M95" s="4">
        <f t="shared" ca="1" si="59"/>
        <v>-0.45599893916549172</v>
      </c>
      <c r="N95" s="4">
        <f t="shared" ca="1" si="60"/>
        <v>-0.21516239519471236</v>
      </c>
      <c r="O95" s="4">
        <f t="shared" ca="1" si="61"/>
        <v>-1.2288573978884498</v>
      </c>
      <c r="P95" s="4">
        <f t="shared" ca="1" si="62"/>
        <v>-0.36405171302882344</v>
      </c>
      <c r="Q95" s="6">
        <f t="shared" si="63"/>
        <v>0.14724647902120136</v>
      </c>
      <c r="S95" s="4">
        <f t="shared" ca="1" si="51"/>
        <v>6.8698688771852883</v>
      </c>
      <c r="T95" s="4">
        <f t="shared" ca="1" si="52"/>
        <v>18.246890154122521</v>
      </c>
      <c r="U95" s="4">
        <f t="shared" ca="1" si="53"/>
        <v>60.368088961096234</v>
      </c>
      <c r="V95" s="4">
        <f t="shared" ca="1" si="64"/>
        <v>14.515152007595949</v>
      </c>
      <c r="X95" s="25">
        <f t="shared" ca="1" si="69"/>
        <v>0.16272225595691236</v>
      </c>
      <c r="Y95" s="25">
        <f t="shared" ca="1" si="70"/>
        <v>0.15511231560589825</v>
      </c>
      <c r="Z95" s="25">
        <f t="shared" ca="1" si="71"/>
        <v>1.4429671539626572</v>
      </c>
      <c r="AA95" s="25">
        <f t="shared" ca="1" si="83"/>
        <v>1.6673853554632023</v>
      </c>
      <c r="AB95" s="25">
        <f t="shared" ca="1" si="72"/>
        <v>1.6779977056551099</v>
      </c>
      <c r="AC95" s="25">
        <f t="shared" si="73"/>
        <v>0.36040552850928886</v>
      </c>
      <c r="AE95" s="25">
        <f t="shared" ca="1" si="74"/>
        <v>2.0652378881336864</v>
      </c>
      <c r="AF95" s="25">
        <f t="shared" ca="1" si="75"/>
        <v>0.71258970686800538</v>
      </c>
      <c r="AG95" s="25">
        <f t="shared" ca="1" si="76"/>
        <v>2.0392590236914865</v>
      </c>
      <c r="AH95" s="25">
        <f t="shared" ca="1" si="77"/>
        <v>1.6673853554632023</v>
      </c>
      <c r="AI95" s="25">
        <f t="shared" ca="1" si="78"/>
        <v>1.6779977056551099</v>
      </c>
      <c r="AJ95" s="25">
        <f t="shared" si="79"/>
        <v>0.36040552850928886</v>
      </c>
    </row>
    <row r="96" spans="1:36" x14ac:dyDescent="0.15">
      <c r="A96" s="8">
        <f t="shared" si="65"/>
        <v>43555</v>
      </c>
      <c r="B96" s="5" cm="1">
        <f t="array" aca="1" ref="B96" ca="1">OFFSET('Input IBGE'!$A$5,ROW()-3,COLUMN()-1,,)</f>
        <v>19671.37</v>
      </c>
      <c r="C96" s="5" cm="1">
        <f t="array" aca="1" ref="C96" ca="1">OFFSET('Input IBGE'!$A$5,ROW()-3,COLUMN()-1,,)</f>
        <v>53901.41</v>
      </c>
      <c r="D96" s="5" cm="1">
        <f t="array" aca="1" ref="D96" ca="1">OFFSET('Input IBGE'!$A$5,ROW()-3,COLUMN()-1,,)</f>
        <v>183080.7</v>
      </c>
      <c r="E96" s="5" cm="1">
        <f t="array" aca="1" ref="E96" ca="1">OFFSET('Input IBGE'!$A$5,ROW()-3,COLUMN()-1,,)</f>
        <v>255699.06</v>
      </c>
      <c r="F96" s="24">
        <f t="shared" ca="1" si="55"/>
        <v>43911.390000000014</v>
      </c>
      <c r="G96" s="5" cm="1">
        <f t="array" aca="1" ref="G96" ca="1">OFFSET('Input IBGE'!$A$5,ROW()-3,COLUMN()-2,,)</f>
        <v>299610.45</v>
      </c>
      <c r="H96" s="24">
        <v>304320.08801667736</v>
      </c>
      <c r="I96" s="9">
        <f t="shared" ca="1" si="56"/>
        <v>-1.5475935378998829</v>
      </c>
      <c r="K96" s="4">
        <f t="shared" ca="1" si="57"/>
        <v>-4.2539066017371336</v>
      </c>
      <c r="L96" s="4">
        <f t="shared" ca="1" si="58"/>
        <v>-1.2251969946857177</v>
      </c>
      <c r="M96" s="4">
        <f t="shared" ca="1" si="59"/>
        <v>1.4074916076593169</v>
      </c>
      <c r="N96" s="4">
        <f t="shared" ca="1" si="60"/>
        <v>0.38133663442714294</v>
      </c>
      <c r="O96" s="4">
        <f t="shared" ca="1" si="61"/>
        <v>1.1557327407774931</v>
      </c>
      <c r="P96" s="4">
        <f t="shared" ca="1" si="62"/>
        <v>0.49409101267341438</v>
      </c>
      <c r="Q96" s="6">
        <f t="shared" si="63"/>
        <v>0.14702998254876309</v>
      </c>
      <c r="S96" s="4">
        <f t="shared" ca="1" si="51"/>
        <v>6.5448001291701194</v>
      </c>
      <c r="T96" s="4">
        <f t="shared" ca="1" si="52"/>
        <v>17.933369924435947</v>
      </c>
      <c r="U96" s="4">
        <f t="shared" ca="1" si="53"/>
        <v>60.91220840279837</v>
      </c>
      <c r="V96" s="4">
        <f t="shared" ca="1" si="64"/>
        <v>14.609621543595569</v>
      </c>
      <c r="W96" s="2">
        <f t="shared" ref="W96" si="85">YEAR(A96)</f>
        <v>2019</v>
      </c>
      <c r="X96" s="25">
        <f t="shared" ca="1" si="69"/>
        <v>0.22620603727605676</v>
      </c>
      <c r="Y96" s="25">
        <f t="shared" ca="1" si="70"/>
        <v>-8.1483955607361422E-2</v>
      </c>
      <c r="Z96" s="25">
        <f t="shared" ca="1" si="71"/>
        <v>1.3255384417935965</v>
      </c>
      <c r="AA96" s="25">
        <f t="shared" ca="1" si="83"/>
        <v>1.566080274475623</v>
      </c>
      <c r="AB96" s="25">
        <f t="shared" ca="1" si="72"/>
        <v>1.4670212399420679</v>
      </c>
      <c r="AC96" s="25">
        <f t="shared" si="73"/>
        <v>0.41428673753132195</v>
      </c>
      <c r="AE96" s="25">
        <f t="shared" ca="1" si="74"/>
        <v>2.9075023021643442</v>
      </c>
      <c r="AF96" s="25">
        <f t="shared" ca="1" si="75"/>
        <v>-0.37384947281852154</v>
      </c>
      <c r="AG96" s="25">
        <f t="shared" ca="1" si="76"/>
        <v>1.8685483872553643</v>
      </c>
      <c r="AH96" s="25">
        <f t="shared" ca="1" si="77"/>
        <v>1.566080274475623</v>
      </c>
      <c r="AI96" s="25">
        <f t="shared" ca="1" si="78"/>
        <v>1.4670212399420679</v>
      </c>
      <c r="AJ96" s="25">
        <f t="shared" si="79"/>
        <v>0.41428673753132195</v>
      </c>
    </row>
    <row r="97" spans="1:36" x14ac:dyDescent="0.15">
      <c r="A97" s="8">
        <f t="shared" si="65"/>
        <v>43646</v>
      </c>
      <c r="B97" s="5" cm="1">
        <f t="array" aca="1" ref="B97" ca="1">OFFSET('Input IBGE'!$A$5,ROW()-3,COLUMN()-1,,)</f>
        <v>20021.61</v>
      </c>
      <c r="C97" s="5" cm="1">
        <f t="array" aca="1" ref="C97" ca="1">OFFSET('Input IBGE'!$A$5,ROW()-3,COLUMN()-1,,)</f>
        <v>54731.38</v>
      </c>
      <c r="D97" s="5" cm="1">
        <f t="array" aca="1" ref="D97" ca="1">OFFSET('Input IBGE'!$A$5,ROW()-3,COLUMN()-1,,)</f>
        <v>183057.1</v>
      </c>
      <c r="E97" s="5" cm="1">
        <f t="array" aca="1" ref="E97" ca="1">OFFSET('Input IBGE'!$A$5,ROW()-3,COLUMN()-1,,)</f>
        <v>256250.57</v>
      </c>
      <c r="F97" s="24">
        <f t="shared" ca="1" si="55"/>
        <v>45104.760000000009</v>
      </c>
      <c r="G97" s="5" cm="1">
        <f t="array" aca="1" ref="G97" ca="1">OFFSET('Input IBGE'!$A$5,ROW()-3,COLUMN()-2,,)</f>
        <v>301355.33</v>
      </c>
      <c r="H97" s="24">
        <v>304766.87288127228</v>
      </c>
      <c r="I97" s="9">
        <f t="shared" ca="1" si="56"/>
        <v>-1.1193942599533435</v>
      </c>
      <c r="K97" s="4">
        <f t="shared" ca="1" si="57"/>
        <v>1.7804555554595369</v>
      </c>
      <c r="L97" s="4">
        <f t="shared" ca="1" si="58"/>
        <v>1.5397927438261627</v>
      </c>
      <c r="M97" s="4">
        <f t="shared" ca="1" si="59"/>
        <v>-1.2890490368455687E-2</v>
      </c>
      <c r="N97" s="4">
        <f t="shared" ca="1" si="60"/>
        <v>0.21568714409823109</v>
      </c>
      <c r="O97" s="4">
        <f t="shared" ca="1" si="61"/>
        <v>2.7176775775032302</v>
      </c>
      <c r="P97" s="4">
        <f t="shared" ca="1" si="62"/>
        <v>0.58238289085044137</v>
      </c>
      <c r="Q97" s="6">
        <f t="shared" si="63"/>
        <v>0.14681412177117714</v>
      </c>
      <c r="S97" s="4">
        <f t="shared" ca="1" si="51"/>
        <v>6.6096495434277998</v>
      </c>
      <c r="T97" s="4">
        <f t="shared" ca="1" si="52"/>
        <v>18.068239308835469</v>
      </c>
      <c r="U97" s="4">
        <f t="shared" ca="1" si="53"/>
        <v>60.431867239258828</v>
      </c>
      <c r="V97" s="4">
        <f t="shared" ca="1" si="64"/>
        <v>14.890243908477915</v>
      </c>
      <c r="X97" s="25">
        <f t="shared" ca="1" si="69"/>
        <v>0.23267963246645695</v>
      </c>
      <c r="Y97" s="25">
        <f t="shared" ca="1" si="70"/>
        <v>-7.3015084626687099E-2</v>
      </c>
      <c r="Z97" s="25">
        <f t="shared" ca="1" si="71"/>
        <v>1.2362078082948769</v>
      </c>
      <c r="AA97" s="25">
        <f t="shared" ca="1" si="83"/>
        <v>1.4245990331024361</v>
      </c>
      <c r="AB97" s="25">
        <f t="shared" ca="1" si="72"/>
        <v>1.5050993626539944</v>
      </c>
      <c r="AC97" s="25">
        <f t="shared" si="73"/>
        <v>0.47159682814941206</v>
      </c>
      <c r="AE97" s="25">
        <f t="shared" ca="1" si="74"/>
        <v>2.9984431495061248</v>
      </c>
      <c r="AF97" s="25">
        <f t="shared" ca="1" si="75"/>
        <v>-0.33610705793298834</v>
      </c>
      <c r="AG97" s="25">
        <f t="shared" ca="1" si="76"/>
        <v>1.7406705120448951</v>
      </c>
      <c r="AH97" s="25">
        <f t="shared" ca="1" si="77"/>
        <v>1.4245990331024361</v>
      </c>
      <c r="AI97" s="25">
        <f t="shared" ca="1" si="78"/>
        <v>1.5050993626539944</v>
      </c>
      <c r="AJ97" s="25">
        <f t="shared" si="79"/>
        <v>0.47159682814941206</v>
      </c>
    </row>
    <row r="98" spans="1:36" x14ac:dyDescent="0.15">
      <c r="A98" s="8">
        <f t="shared" si="65"/>
        <v>43738</v>
      </c>
      <c r="B98" s="5" cm="1">
        <f t="array" aca="1" ref="B98" ca="1">OFFSET('Input IBGE'!$A$5,ROW()-3,COLUMN()-1,,)</f>
        <v>20578.62</v>
      </c>
      <c r="C98" s="5" cm="1">
        <f t="array" aca="1" ref="C98" ca="1">OFFSET('Input IBGE'!$A$5,ROW()-3,COLUMN()-1,,)</f>
        <v>54566.69</v>
      </c>
      <c r="D98" s="5" cm="1">
        <f t="array" aca="1" ref="D98" ca="1">OFFSET('Input IBGE'!$A$5,ROW()-3,COLUMN()-1,,)</f>
        <v>183131.42</v>
      </c>
      <c r="E98" s="5" cm="1">
        <f t="array" aca="1" ref="E98" ca="1">OFFSET('Input IBGE'!$A$5,ROW()-3,COLUMN()-1,,)</f>
        <v>256449.8</v>
      </c>
      <c r="F98" s="24">
        <f t="shared" ca="1" si="55"/>
        <v>44864.330000000016</v>
      </c>
      <c r="G98" s="5" cm="1">
        <f t="array" aca="1" ref="G98" ca="1">OFFSET('Input IBGE'!$A$5,ROW()-3,COLUMN()-2,,)</f>
        <v>301314.13</v>
      </c>
      <c r="H98" s="24">
        <v>305071.6397541535</v>
      </c>
      <c r="I98" s="9">
        <f t="shared" ca="1" si="56"/>
        <v>-1.2316811084706281</v>
      </c>
      <c r="K98" s="4">
        <f t="shared" ca="1" si="57"/>
        <v>2.7820440014564074</v>
      </c>
      <c r="L98" s="4">
        <f t="shared" ca="1" si="58"/>
        <v>-0.30090598848411254</v>
      </c>
      <c r="M98" s="4">
        <f t="shared" ca="1" si="59"/>
        <v>4.0599353972070595E-2</v>
      </c>
      <c r="N98" s="4">
        <f t="shared" ca="1" si="60"/>
        <v>7.7748119740750354E-2</v>
      </c>
      <c r="O98" s="4">
        <f t="shared" ca="1" si="61"/>
        <v>-0.53304795325369581</v>
      </c>
      <c r="P98" s="4">
        <f t="shared" ca="1" si="62"/>
        <v>-1.3671568377437993E-2</v>
      </c>
      <c r="Q98" s="6">
        <f t="shared" si="63"/>
        <v>9.9999999999988987E-2</v>
      </c>
      <c r="S98" s="4">
        <f t="shared" ca="1" si="51"/>
        <v>6.7884634301931905</v>
      </c>
      <c r="T98" s="4">
        <f t="shared" ca="1" si="52"/>
        <v>18.000428579355102</v>
      </c>
      <c r="U98" s="4">
        <f t="shared" ca="1" si="53"/>
        <v>60.411288394914244</v>
      </c>
      <c r="V98" s="4">
        <f t="shared" ca="1" si="64"/>
        <v>14.799819595537473</v>
      </c>
      <c r="X98" s="25">
        <f t="shared" ca="1" si="69"/>
        <v>0.15994404540526583</v>
      </c>
      <c r="Y98" s="25">
        <f t="shared" ca="1" si="70"/>
        <v>-0.16974719813789163</v>
      </c>
      <c r="Z98" s="25">
        <f t="shared" ca="1" si="71"/>
        <v>1.0446025478204497</v>
      </c>
      <c r="AA98" s="25">
        <f t="shared" ca="1" si="83"/>
        <v>1.0261021580542984</v>
      </c>
      <c r="AB98" s="25">
        <f t="shared" ca="1" si="72"/>
        <v>1.1728541128684489</v>
      </c>
      <c r="AC98" s="25">
        <f t="shared" si="73"/>
        <v>0.51137980608668698</v>
      </c>
      <c r="AE98" s="25">
        <f t="shared" ca="1" si="74"/>
        <v>2.0452885041050806</v>
      </c>
      <c r="AF98" s="25">
        <f t="shared" ca="1" si="75"/>
        <v>-0.78322529505749916</v>
      </c>
      <c r="AG98" s="25">
        <f t="shared" ca="1" si="76"/>
        <v>1.4708873706536618</v>
      </c>
      <c r="AH98" s="25">
        <f t="shared" ca="1" si="77"/>
        <v>1.0261021580542984</v>
      </c>
      <c r="AI98" s="25">
        <f t="shared" ca="1" si="78"/>
        <v>1.1728541128684489</v>
      </c>
      <c r="AJ98" s="25">
        <f t="shared" si="79"/>
        <v>0.51137980608668698</v>
      </c>
    </row>
    <row r="99" spans="1:36" x14ac:dyDescent="0.15">
      <c r="A99" s="8">
        <f t="shared" si="65"/>
        <v>43830</v>
      </c>
      <c r="B99" s="5" cm="1">
        <f t="array" aca="1" ref="B99" ca="1">OFFSET('Input IBGE'!$A$5,ROW()-3,COLUMN()-1,,)</f>
        <v>20439.099999999999</v>
      </c>
      <c r="C99" s="5" cm="1">
        <f t="array" aca="1" ref="C99" ca="1">OFFSET('Input IBGE'!$A$5,ROW()-3,COLUMN()-1,,)</f>
        <v>54442.49</v>
      </c>
      <c r="D99" s="5" cm="1">
        <f t="array" aca="1" ref="D99" ca="1">OFFSET('Input IBGE'!$A$5,ROW()-3,COLUMN()-1,,)</f>
        <v>183312.98</v>
      </c>
      <c r="E99" s="5" cm="1">
        <f t="array" aca="1" ref="E99" ca="1">OFFSET('Input IBGE'!$A$5,ROW()-3,COLUMN()-1,,)</f>
        <v>257676.99</v>
      </c>
      <c r="F99" s="24">
        <f t="shared" ca="1" si="55"/>
        <v>44636.710000000021</v>
      </c>
      <c r="G99" s="5" cm="1">
        <f t="array" aca="1" ref="G99" ca="1">OFFSET('Input IBGE'!$A$5,ROW()-3,COLUMN()-2,,)</f>
        <v>302313.7</v>
      </c>
      <c r="H99" s="24">
        <v>305376.71139390761</v>
      </c>
      <c r="I99" s="9">
        <f t="shared" ca="1" si="56"/>
        <v>-1.0030271725457784</v>
      </c>
      <c r="K99" s="4">
        <f t="shared" ca="1" si="57"/>
        <v>-0.67798520989259536</v>
      </c>
      <c r="L99" s="4">
        <f t="shared" ca="1" si="58"/>
        <v>-0.22761138709348483</v>
      </c>
      <c r="M99" s="4">
        <f t="shared" ca="1" si="59"/>
        <v>9.9141916772116367E-2</v>
      </c>
      <c r="N99" s="4">
        <f t="shared" ca="1" si="60"/>
        <v>0.47853030105697858</v>
      </c>
      <c r="O99" s="4">
        <f t="shared" ca="1" si="61"/>
        <v>-0.50735183162212705</v>
      </c>
      <c r="P99" s="4">
        <f t="shared" ca="1" si="62"/>
        <v>0.33173684884941768</v>
      </c>
      <c r="Q99" s="6">
        <f t="shared" si="63"/>
        <v>9.9999999999988987E-2</v>
      </c>
      <c r="S99" s="4">
        <f t="shared" ca="1" si="51"/>
        <v>6.7493358017705427</v>
      </c>
      <c r="T99" s="4">
        <f t="shared" ca="1" si="52"/>
        <v>17.97782910668937</v>
      </c>
      <c r="U99" s="4">
        <f t="shared" ca="1" si="53"/>
        <v>60.533040047910504</v>
      </c>
      <c r="V99" s="4">
        <f t="shared" ca="1" si="64"/>
        <v>14.739795043629581</v>
      </c>
      <c r="X99" s="25">
        <f t="shared" ca="1" si="69"/>
        <v>3.2876134912822291E-2</v>
      </c>
      <c r="Y99" s="25">
        <f t="shared" ca="1" si="70"/>
        <v>-0.14463747647327163</v>
      </c>
      <c r="Z99" s="25">
        <f t="shared" ca="1" si="71"/>
        <v>1.0758802981964912</v>
      </c>
      <c r="AA99" s="25">
        <f t="shared" ca="1" si="83"/>
        <v>0.97712100693891912</v>
      </c>
      <c r="AB99" s="25">
        <f t="shared" ca="1" si="72"/>
        <v>1.217781741139623</v>
      </c>
      <c r="AC99" s="25">
        <f t="shared" si="73"/>
        <v>0.52449666490592683</v>
      </c>
      <c r="AE99" s="25">
        <f t="shared" ca="1" si="74"/>
        <v>0.41563076232480345</v>
      </c>
      <c r="AF99" s="25">
        <f t="shared" ca="1" si="75"/>
        <v>-0.67076746700427403</v>
      </c>
      <c r="AG99" s="25">
        <f t="shared" ca="1" si="76"/>
        <v>1.5149359106614746</v>
      </c>
      <c r="AH99" s="25">
        <f t="shared" ca="1" si="77"/>
        <v>0.97712100693891912</v>
      </c>
      <c r="AI99" s="25">
        <f t="shared" ca="1" si="78"/>
        <v>1.217781741139623</v>
      </c>
      <c r="AJ99" s="25">
        <f t="shared" si="79"/>
        <v>0.52449666490592683</v>
      </c>
    </row>
    <row r="100" spans="1:36" x14ac:dyDescent="0.15">
      <c r="A100" s="8">
        <f t="shared" si="65"/>
        <v>43921</v>
      </c>
      <c r="B100" s="5" cm="1">
        <f t="array" aca="1" ref="B100" ca="1">OFFSET('Input IBGE'!$A$5,ROW()-3,COLUMN()-1,,)</f>
        <v>20600.27</v>
      </c>
      <c r="C100" s="5" cm="1">
        <f t="array" aca="1" ref="C100" ca="1">OFFSET('Input IBGE'!$A$5,ROW()-3,COLUMN()-1,,)</f>
        <v>53415.59</v>
      </c>
      <c r="D100" s="5" cm="1">
        <f t="array" aca="1" ref="D100" ca="1">OFFSET('Input IBGE'!$A$5,ROW()-3,COLUMN()-1,,)</f>
        <v>180381.02</v>
      </c>
      <c r="E100" s="5" cm="1">
        <f t="array" aca="1" ref="E100" ca="1">OFFSET('Input IBGE'!$A$5,ROW()-3,COLUMN()-1,,)</f>
        <v>252174.13</v>
      </c>
      <c r="F100" s="24">
        <f t="shared" ca="1" si="55"/>
        <v>43274.179999999993</v>
      </c>
      <c r="G100" s="5" cm="1">
        <f t="array" aca="1" ref="G100" ca="1">OFFSET('Input IBGE'!$A$5,ROW()-3,COLUMN()-2,,)</f>
        <v>295448.31</v>
      </c>
      <c r="H100" s="24">
        <v>300015.8852933821</v>
      </c>
      <c r="I100" s="9">
        <f t="shared" ca="1" si="56"/>
        <v>-1.5224444828698114</v>
      </c>
      <c r="K100" s="4">
        <f t="shared" ca="1" si="57"/>
        <v>0.78853765576762935</v>
      </c>
      <c r="L100" s="4">
        <f t="shared" ca="1" si="58"/>
        <v>-1.8862105682528552</v>
      </c>
      <c r="M100" s="4">
        <f t="shared" ca="1" si="59"/>
        <v>-1.5994284747321341</v>
      </c>
      <c r="N100" s="4">
        <f t="shared" ca="1" si="60"/>
        <v>-2.1355651507726781</v>
      </c>
      <c r="O100" s="4">
        <f t="shared" ca="1" si="61"/>
        <v>-3.0524875153209674</v>
      </c>
      <c r="P100" s="4">
        <f t="shared" ca="1" si="62"/>
        <v>-2.2709490175271574</v>
      </c>
      <c r="Q100" s="6">
        <f t="shared" si="63"/>
        <v>-1.755479674941729</v>
      </c>
      <c r="S100" s="4">
        <f t="shared" ca="1" si="51"/>
        <v>6.9204812856177549</v>
      </c>
      <c r="T100" s="4">
        <f t="shared" ca="1" si="52"/>
        <v>17.944502230079067</v>
      </c>
      <c r="U100" s="4">
        <f t="shared" ca="1" si="53"/>
        <v>60.59743261572018</v>
      </c>
      <c r="V100" s="4">
        <f t="shared" ca="1" si="64"/>
        <v>14.53758386858299</v>
      </c>
      <c r="W100" s="2">
        <f t="shared" ref="W100" si="86">YEAR(A100)</f>
        <v>2020</v>
      </c>
      <c r="X100" s="25">
        <f t="shared" ca="1" si="69"/>
        <v>0.12663342609542197</v>
      </c>
      <c r="Y100" s="25">
        <f t="shared" ca="1" si="70"/>
        <v>-7.494148810895114E-2</v>
      </c>
      <c r="Z100" s="25">
        <f t="shared" ca="1" si="71"/>
        <v>0.45631926755499497</v>
      </c>
      <c r="AA100" s="25">
        <f t="shared" ca="1" si="83"/>
        <v>0.3201203459032298</v>
      </c>
      <c r="AB100" s="25">
        <f t="shared" ca="1" si="72"/>
        <v>0.57291715233256379</v>
      </c>
      <c r="AC100" s="25">
        <f t="shared" si="73"/>
        <v>4.4581456107817274E-2</v>
      </c>
      <c r="AE100" s="25">
        <f t="shared" ca="1" si="74"/>
        <v>1.6064450961581933</v>
      </c>
      <c r="AF100" s="25">
        <f t="shared" ca="1" si="75"/>
        <v>-0.35052768442292992</v>
      </c>
      <c r="AG100" s="25">
        <f t="shared" ca="1" si="76"/>
        <v>0.64134158796866902</v>
      </c>
      <c r="AH100" s="25">
        <f t="shared" ca="1" si="77"/>
        <v>0.3201203459032298</v>
      </c>
      <c r="AI100" s="25">
        <f t="shared" ca="1" si="78"/>
        <v>0.57291715233256379</v>
      </c>
      <c r="AJ100" s="25">
        <f t="shared" si="79"/>
        <v>4.4581456107817274E-2</v>
      </c>
    </row>
    <row r="101" spans="1:36" x14ac:dyDescent="0.15">
      <c r="A101" s="8">
        <f t="shared" si="65"/>
        <v>44012</v>
      </c>
      <c r="B101" s="5" cm="1">
        <f t="array" aca="1" ref="B101" ca="1">OFFSET('Input IBGE'!$A$5,ROW()-3,COLUMN()-1,,)</f>
        <v>20973.72</v>
      </c>
      <c r="C101" s="5" cm="1">
        <f t="array" aca="1" ref="C101" ca="1">OFFSET('Input IBGE'!$A$5,ROW()-3,COLUMN()-1,,)</f>
        <v>47610.97</v>
      </c>
      <c r="D101" s="5" cm="1">
        <f t="array" aca="1" ref="D101" ca="1">OFFSET('Input IBGE'!$A$5,ROW()-3,COLUMN()-1,,)</f>
        <v>164194.57999999999</v>
      </c>
      <c r="E101" s="5" cm="1">
        <f t="array" aca="1" ref="E101" ca="1">OFFSET('Input IBGE'!$A$5,ROW()-3,COLUMN()-1,,)</f>
        <v>230226.19</v>
      </c>
      <c r="F101" s="24">
        <f t="shared" ref="F101" ca="1" si="87">G101-E101</f>
        <v>39062.349999999977</v>
      </c>
      <c r="G101" s="5" cm="1">
        <f t="array" aca="1" ref="G101" ca="1">OFFSET('Input IBGE'!$A$5,ROW()-3,COLUMN()-2,,)</f>
        <v>269288.53999999998</v>
      </c>
      <c r="H101" s="24">
        <v>279852.62450891174</v>
      </c>
      <c r="I101" s="9">
        <f t="shared" ca="1" si="56"/>
        <v>-3.7748741958199328</v>
      </c>
      <c r="K101" s="4">
        <f t="shared" ref="K101" ca="1" si="88">100*(B101/B100-1)</f>
        <v>1.8128403171414842</v>
      </c>
      <c r="L101" s="4">
        <f t="shared" ref="L101" ca="1" si="89">100*(C101/C100-1)</f>
        <v>-10.866902340683682</v>
      </c>
      <c r="M101" s="4">
        <f t="shared" ref="M101" ca="1" si="90">100*(D101/D100-1)</f>
        <v>-8.9734718209266155</v>
      </c>
      <c r="N101" s="4">
        <f t="shared" ref="N101" ca="1" si="91">100*(E101/E100-1)</f>
        <v>-8.7034859602767352</v>
      </c>
      <c r="O101" s="4">
        <f t="shared" ref="O101" ca="1" si="92">100*(F101/F100-1)</f>
        <v>-9.7328938410849553</v>
      </c>
      <c r="P101" s="4">
        <f t="shared" ref="P101:Q101" ca="1" si="93">100*(G101/G100-1)</f>
        <v>-8.8542628658123022</v>
      </c>
      <c r="Q101" s="6">
        <f t="shared" si="93"/>
        <v>-6.7207310588747404</v>
      </c>
      <c r="S101" s="4">
        <f t="shared" ref="S101" ca="1" si="94">B101/$G101/(SUM($B101:$D101,$F101)/$G101)*100</f>
        <v>7.7154190002252045</v>
      </c>
      <c r="T101" s="4">
        <f t="shared" ref="T101" ca="1" si="95">C101/$G101/(SUM($B101:$D101,$F101)/$G101)*100</f>
        <v>17.514231264513505</v>
      </c>
      <c r="U101" s="4">
        <f t="shared" ref="U101" ca="1" si="96">D101/$G101/(SUM($B101:$D101,$F101)/$G101)*100</f>
        <v>60.400824568364477</v>
      </c>
      <c r="V101" s="4">
        <f t="shared" ref="V101" ca="1" si="97">F101/$G101/(SUM($B101:$D101,$F101)/$G101)*100</f>
        <v>14.369525166896802</v>
      </c>
      <c r="X101" s="25">
        <f t="shared" ref="X101" ca="1" si="98">(SUM(B98:B101)-SUM(B94:B97))/(SUM($E98:$E101)-SUM($E94:$E97))*$AA101</f>
        <v>0.20131233465074805</v>
      </c>
      <c r="Y101" s="25">
        <f t="shared" ref="Y101" ca="1" si="99">(SUM(C98:C101)-SUM(C94:C97))/(SUM($E98:$E101)-SUM($E94:$E97))*$AA101</f>
        <v>-0.79427722338300255</v>
      </c>
      <c r="Z101" s="25">
        <f t="shared" ref="Z101" ca="1" si="100">(SUM(D98:D101)-SUM(D94:D97))/(SUM($E98:$E101)-SUM($E94:$E97))*$AA101</f>
        <v>-1.6658348127455811</v>
      </c>
      <c r="AA101" s="25">
        <f t="shared" ref="AA101" ca="1" si="101">100*(SUM(E98:E101)/SUM(E94:E97)-1)</f>
        <v>-2.4880917616793341</v>
      </c>
      <c r="AB101" s="25">
        <f t="shared" ref="AB101" ca="1" si="102">100*(SUM(G98:G101)/SUM(G94:G97)-1)</f>
        <v>-2.5005802242033637</v>
      </c>
      <c r="AC101" s="25">
        <f t="shared" si="73"/>
        <v>-2.1432262965786708</v>
      </c>
      <c r="AE101" s="25">
        <f t="shared" ref="AE101" ca="1" si="103">(SUM(B98:B101)/SUM(B94:B97)-1)*100</f>
        <v>2.5545856869344963</v>
      </c>
      <c r="AF101" s="25">
        <f t="shared" ref="AF101" ca="1" si="104">(SUM(C98:C101)/SUM(C94:C97)-1)*100</f>
        <v>-3.720853755363962</v>
      </c>
      <c r="AG101" s="25">
        <f t="shared" ref="AG101" ca="1" si="105">(SUM(D98:D101)/SUM(D94:D97)-1)*100</f>
        <v>-2.3383296013934962</v>
      </c>
      <c r="AH101" s="25">
        <f t="shared" ref="AH101" ca="1" si="106">(SUM(E98:E101)/SUM(E94:E97)-1)*100</f>
        <v>-2.4880917616793341</v>
      </c>
      <c r="AI101" s="25">
        <f t="shared" ref="AI101" ca="1" si="107">(SUM(G98:G101)/SUM(G94:G97)-1)*100</f>
        <v>-2.5005802242033637</v>
      </c>
      <c r="AJ101" s="25">
        <f t="shared" si="79"/>
        <v>-2.1432262965786708</v>
      </c>
    </row>
    <row r="102" spans="1:36" x14ac:dyDescent="0.15">
      <c r="A102" s="8">
        <f t="shared" si="65"/>
        <v>44104</v>
      </c>
      <c r="B102" s="5" cm="1">
        <f t="array" aca="1" ref="B102" ca="1">OFFSET('Input IBGE'!$A$5,ROW()-3,COLUMN()-1,,)</f>
        <v>21093.5</v>
      </c>
      <c r="C102" s="5" cm="1">
        <f t="array" aca="1" ref="C102" ca="1">OFFSET('Input IBGE'!$A$5,ROW()-3,COLUMN()-1,,)</f>
        <v>54329</v>
      </c>
      <c r="D102" s="5" cm="1">
        <f t="array" aca="1" ref="D102" ca="1">OFFSET('Input IBGE'!$A$5,ROW()-3,COLUMN()-1,,)</f>
        <v>174374.2</v>
      </c>
      <c r="E102" s="5" cm="1">
        <f t="array" aca="1" ref="E102" ca="1">OFFSET('Input IBGE'!$A$5,ROW()-3,COLUMN()-1,,)</f>
        <v>247563.98</v>
      </c>
      <c r="F102" s="24">
        <f t="shared" ref="F102" ca="1" si="108">G102-E102</f>
        <v>42643.649999999994</v>
      </c>
      <c r="G102" s="5" cm="1">
        <f t="array" aca="1" ref="G102" ca="1">OFFSET('Input IBGE'!$A$5,ROW()-3,COLUMN()-2,,)</f>
        <v>290207.63</v>
      </c>
      <c r="H102" s="24">
        <v>296044.4243159084</v>
      </c>
      <c r="I102" s="9">
        <f t="shared" ca="1" si="56"/>
        <v>-1.9715940705169133</v>
      </c>
      <c r="K102" s="4">
        <f t="shared" ref="K102" ca="1" si="109">100*(B102/B101-1)</f>
        <v>0.57109563777908434</v>
      </c>
      <c r="L102" s="4">
        <f t="shared" ref="L102" ca="1" si="110">100*(C102/C101-1)</f>
        <v>14.11025652281397</v>
      </c>
      <c r="M102" s="4">
        <f t="shared" ref="M102" ca="1" si="111">100*(D102/D101-1)</f>
        <v>6.1997296134866486</v>
      </c>
      <c r="N102" s="4">
        <f t="shared" ref="N102" ca="1" si="112">100*(E102/E101-1)</f>
        <v>7.5307635504023196</v>
      </c>
      <c r="O102" s="4">
        <f t="shared" ref="O102" ca="1" si="113">100*(F102/F101-1)</f>
        <v>9.1681632057467599</v>
      </c>
      <c r="P102" s="4">
        <f t="shared" ref="P102:Q102" ca="1" si="114">100*(G102/G101-1)</f>
        <v>7.7682808187827135</v>
      </c>
      <c r="Q102" s="6">
        <f t="shared" si="114"/>
        <v>5.7858309656413587</v>
      </c>
      <c r="S102" s="4">
        <f t="shared" ref="S102" ca="1" si="115">B102/$G102/(SUM($B102:$D102,$F102)/$G102)*100</f>
        <v>7.2129239347442988</v>
      </c>
      <c r="T102" s="4">
        <f t="shared" ref="T102" ca="1" si="116">C102/$G102/(SUM($B102:$D102,$F102)/$G102)*100</f>
        <v>18.577805696101787</v>
      </c>
      <c r="U102" s="4">
        <f t="shared" ref="U102" ca="1" si="117">D102/$G102/(SUM($B102:$D102,$F102)/$G102)*100</f>
        <v>59.627270997316209</v>
      </c>
      <c r="V102" s="4">
        <f t="shared" ref="V102" ca="1" si="118">F102/$G102/(SUM($B102:$D102,$F102)/$G102)*100</f>
        <v>14.581999371837709</v>
      </c>
      <c r="X102" s="25">
        <f t="shared" ref="X102" ca="1" si="119">(SUM(B99:B102)-SUM(B95:B98))/(SUM($E99:$E102)-SUM($E95:$E98))*$AA102</f>
        <v>0.22378841839320979</v>
      </c>
      <c r="Y102" s="25">
        <f t="shared" ref="Y102" ca="1" si="120">(SUM(C99:C102)-SUM(C95:C98))/(SUM($E99:$E102)-SUM($E95:$E98))*$AA102</f>
        <v>-0.77912410336655102</v>
      </c>
      <c r="Z102" s="25">
        <f t="shared" ref="Z102" ca="1" si="121">(SUM(D99:D102)-SUM(D95:D98))/(SUM($E99:$E102)-SUM($E95:$E98))*$AA102</f>
        <v>-2.6923399313274028</v>
      </c>
      <c r="AA102" s="25">
        <f t="shared" ref="AA102" ca="1" si="122">100*(SUM(E99:E102)/SUM(E95:E98)-1)</f>
        <v>-3.4683696000551767</v>
      </c>
      <c r="AB102" s="25">
        <f t="shared" ref="AB102" ca="1" si="123">100*(SUM(G99:G102)/SUM(G95:G98)-1)</f>
        <v>-3.5953422496938447</v>
      </c>
      <c r="AC102" s="25">
        <f t="shared" si="73"/>
        <v>-3.016526757412652</v>
      </c>
      <c r="AE102" s="25">
        <f t="shared" ref="AE102" ca="1" si="124">(SUM(B99:B102)/SUM(B95:B98)-1)*100</f>
        <v>2.8331185475324094</v>
      </c>
      <c r="AF102" s="25">
        <f t="shared" ref="AF102" ca="1" si="125">(SUM(C99:C102)/SUM(C95:C98)-1)*100</f>
        <v>-3.6604899823428072</v>
      </c>
      <c r="AG102" s="25">
        <f t="shared" ref="AG102" ca="1" si="126">(SUM(D99:D102)/SUM(D95:D98)-1)*100</f>
        <v>-3.7744212580379299</v>
      </c>
      <c r="AH102" s="25">
        <f t="shared" ref="AH102" ca="1" si="127">(SUM(E99:E102)/SUM(E95:E98)-1)*100</f>
        <v>-3.4683696000551767</v>
      </c>
      <c r="AI102" s="25">
        <f t="shared" ref="AI102" ca="1" si="128">(SUM(G99:G102)/SUM(G95:G98)-1)*100</f>
        <v>-3.5953422496938447</v>
      </c>
      <c r="AJ102" s="25">
        <f t="shared" si="79"/>
        <v>-3.016526757412652</v>
      </c>
    </row>
    <row r="103" spans="1:36" x14ac:dyDescent="0.15">
      <c r="A103" s="8">
        <f t="shared" si="65"/>
        <v>44196</v>
      </c>
      <c r="B103" s="5" cm="1">
        <f t="array" aca="1" ref="B103" ca="1">OFFSET('Input IBGE'!$A$5,ROW()-3,COLUMN()-1,,)</f>
        <v>20867.919999999998</v>
      </c>
      <c r="C103" s="5" cm="1">
        <f t="array" aca="1" ref="C103" ca="1">OFFSET('Input IBGE'!$A$5,ROW()-3,COLUMN()-1,,)</f>
        <v>54893.25</v>
      </c>
      <c r="D103" s="5" cm="1">
        <f t="array" aca="1" ref="D103" ca="1">OFFSET('Input IBGE'!$A$5,ROW()-3,COLUMN()-1,,)</f>
        <v>179664.83</v>
      </c>
      <c r="E103" s="5" cm="1">
        <f t="array" aca="1" ref="E103" ca="1">OFFSET('Input IBGE'!$A$5,ROW()-3,COLUMN()-1,,)</f>
        <v>254703.09</v>
      </c>
      <c r="F103" s="24">
        <f t="shared" ref="F103" ca="1" si="129">G103-E103</f>
        <v>44543.709999999992</v>
      </c>
      <c r="G103" s="5" cm="1">
        <f t="array" aca="1" ref="G103" ca="1">OFFSET('Input IBGE'!$A$5,ROW()-3,COLUMN()-2,,)</f>
        <v>299246.8</v>
      </c>
      <c r="H103" s="24">
        <v>305303.13349155057</v>
      </c>
      <c r="I103" s="9">
        <f t="shared" ref="I103" ca="1" si="130">(G103/H103-1)*100</f>
        <v>-1.9837115401628136</v>
      </c>
      <c r="K103" s="4">
        <f t="shared" ref="K103" ca="1" si="131">100*(B103/B102-1)</f>
        <v>-1.0694289710100335</v>
      </c>
      <c r="L103" s="4">
        <f t="shared" ref="L103" ca="1" si="132">100*(C103/C102-1)</f>
        <v>1.0385797640302563</v>
      </c>
      <c r="M103" s="4">
        <f t="shared" ref="M103" ca="1" si="133">100*(D103/D102-1)</f>
        <v>3.0340669663287301</v>
      </c>
      <c r="N103" s="4">
        <f t="shared" ref="N103" ca="1" si="134">100*(E103/E102-1)</f>
        <v>2.8837434266487438</v>
      </c>
      <c r="O103" s="4">
        <f t="shared" ref="O103" ca="1" si="135">100*(F103/F102-1)</f>
        <v>4.4556692497007111</v>
      </c>
      <c r="P103" s="4">
        <f t="shared" ref="P103" ca="1" si="136">100*(G103/G102-1)</f>
        <v>3.1147251366202777</v>
      </c>
      <c r="Q103" s="6">
        <f t="shared" ref="Q103" si="137">100*(H103/H102-1)</f>
        <v>3.1274729112149124</v>
      </c>
      <c r="S103" s="4">
        <f t="shared" ref="S103" ca="1" si="138">B103/$G103/(SUM($B103:$D103,$F103)/$G103)*100</f>
        <v>6.9566757256924392</v>
      </c>
      <c r="T103" s="4">
        <f t="shared" ref="T103" ca="1" si="139">C103/$G103/(SUM($B103:$D103,$F103)/$G103)*100</f>
        <v>18.299597649376004</v>
      </c>
      <c r="U103" s="4">
        <f t="shared" ref="U103" ca="1" si="140">D103/$G103/(SUM($B103:$D103,$F103)/$G103)*100</f>
        <v>59.894323996912902</v>
      </c>
      <c r="V103" s="4">
        <f t="shared" ref="V103" ca="1" si="141">F103/$G103/(SUM($B103:$D103,$F103)/$G103)*100</f>
        <v>14.849402628018677</v>
      </c>
      <c r="X103" s="25">
        <f t="shared" ref="X103" ca="1" si="142">(SUM(B100:B103)-SUM(B96:B99))/(SUM($E100:$E103)-SUM($E96:$E99))*$AA103</f>
        <v>0.27529236077757469</v>
      </c>
      <c r="Y103" s="25">
        <f t="shared" ref="Y103" ca="1" si="143">(SUM(C100:C103)-SUM(C96:C99))/(SUM($E100:$E103)-SUM($E96:$E99))*$AA103</f>
        <v>-0.72052722934613467</v>
      </c>
      <c r="Z103" s="25">
        <f t="shared" ref="Z103" ca="1" si="144">(SUM(D100:D103)-SUM(D96:D99))/(SUM($E100:$E103)-SUM($E96:$E99))*$AA103</f>
        <v>-3.3104327648422216</v>
      </c>
      <c r="AA103" s="25">
        <f t="shared" ref="AA103" ca="1" si="145">100*(SUM(E100:E103)/SUM(E96:E99)-1)</f>
        <v>-4.0356672459152643</v>
      </c>
      <c r="AB103" s="25">
        <f t="shared" ref="AB103" ca="1" si="146">100*(SUM(G100:G103)/SUM(G96:G99)-1)</f>
        <v>-4.1841771018526375</v>
      </c>
      <c r="AC103" s="25">
        <f t="shared" si="73"/>
        <v>-3.142118482159395</v>
      </c>
      <c r="AE103" s="25">
        <f t="shared" ref="AE103" ca="1" si="147">(SUM(B100:B103)/SUM(B96:B99)-1)*100</f>
        <v>3.499796185635895</v>
      </c>
      <c r="AF103" s="25">
        <f t="shared" ref="AF103" ca="1" si="148">(SUM(C100:C103)/SUM(C96:C99)-1)*100</f>
        <v>-3.3969367213502077</v>
      </c>
      <c r="AG103" s="25">
        <f t="shared" ref="AG103" ca="1" si="149">(SUM(D100:D103)/SUM(D96:D99)-1)*100</f>
        <v>-4.6366905993621028</v>
      </c>
      <c r="AH103" s="25">
        <f t="shared" ref="AH103" ca="1" si="150">(SUM(E100:E103)/SUM(E96:E99)-1)*100</f>
        <v>-4.0356672459152643</v>
      </c>
      <c r="AI103" s="25">
        <f t="shared" ref="AI103" ca="1" si="151">(SUM(G100:G103)/SUM(G96:G99)-1)*100</f>
        <v>-4.1841771018526375</v>
      </c>
      <c r="AJ103" s="25">
        <f t="shared" ref="AJ103" si="152">(SUM(H100:H103)/SUM(H96:H99)-1)*100</f>
        <v>-3.142118482159395</v>
      </c>
    </row>
    <row r="104" spans="1:36" x14ac:dyDescent="0.15">
      <c r="A104" s="8">
        <f t="shared" si="65"/>
        <v>44286</v>
      </c>
      <c r="B104" s="5" cm="1">
        <f t="array" aca="1" ref="B104" ca="1">OFFSET('Input IBGE'!$A$5,ROW()-3,COLUMN()-1,,)</f>
        <v>21666.57</v>
      </c>
      <c r="C104" s="5" cm="1">
        <f t="array" aca="1" ref="C104" ca="1">OFFSET('Input IBGE'!$A$5,ROW()-3,COLUMN()-1,,)</f>
        <v>55381.71</v>
      </c>
      <c r="D104" s="5" cm="1">
        <f t="array" aca="1" ref="D104" ca="1">OFFSET('Input IBGE'!$A$5,ROW()-3,COLUMN()-1,,)</f>
        <v>181353.5</v>
      </c>
      <c r="E104" s="5" cm="1">
        <f t="array" aca="1" ref="E104" ca="1">OFFSET('Input IBGE'!$A$5,ROW()-3,COLUMN()-1,,)</f>
        <v>258094.34</v>
      </c>
      <c r="F104" s="24">
        <f t="shared" ref="F104" ca="1" si="153">G104-E104</f>
        <v>45172.74000000002</v>
      </c>
      <c r="G104" s="5" cm="1">
        <f t="array" aca="1" ref="G104" ca="1">OFFSET('Input IBGE'!$A$5,ROW()-3,COLUMN()-2,,)</f>
        <v>303267.08</v>
      </c>
      <c r="H104" s="24">
        <v>305262.17931262194</v>
      </c>
      <c r="I104" s="9">
        <f t="shared" ref="I104" ca="1" si="154">(G104/H104-1)*100</f>
        <v>-0.65356911135026063</v>
      </c>
      <c r="K104" s="4">
        <f t="shared" ref="K104" ca="1" si="155">100*(B104/B103-1)</f>
        <v>3.8271662916093296</v>
      </c>
      <c r="L104" s="4">
        <f t="shared" ref="L104" ca="1" si="156">100*(C104/C103-1)</f>
        <v>0.88983618204423465</v>
      </c>
      <c r="M104" s="4">
        <f t="shared" ref="M104" ca="1" si="157">100*(D104/D103-1)</f>
        <v>0.93990014628906327</v>
      </c>
      <c r="N104" s="4">
        <f t="shared" ref="N104" ca="1" si="158">100*(E104/E103-1)</f>
        <v>1.3314522411173035</v>
      </c>
      <c r="O104" s="4">
        <f t="shared" ref="O104" ca="1" si="159">100*(F104/F103-1)</f>
        <v>1.4121634681979245</v>
      </c>
      <c r="P104" s="4">
        <f t="shared" ref="P104" ca="1" si="160">100*(G104/G103-1)</f>
        <v>1.3434663294645155</v>
      </c>
      <c r="Q104" s="6">
        <f t="shared" ref="Q104" si="161">100*(H104/H103-1)</f>
        <v>-1.3414267472544594E-2</v>
      </c>
      <c r="S104" s="4">
        <f t="shared" ref="S104" ca="1" si="162">B104/$G104/(SUM($B104:$D104,$F104)/$G104)*100</f>
        <v>7.1371503774427429</v>
      </c>
      <c r="T104" s="4">
        <f t="shared" ref="T104" ca="1" si="163">C104/$G104/(SUM($B104:$D104,$F104)/$G104)*100</f>
        <v>18.243201043355022</v>
      </c>
      <c r="U104" s="4">
        <f t="shared" ref="U104" ca="1" si="164">D104/$G104/(SUM($B104:$D104,$F104)/$G104)*100</f>
        <v>59.73936811297601</v>
      </c>
      <c r="V104" s="4">
        <f t="shared" ref="V104" ca="1" si="165">F104/$G104/(SUM($B104:$D104,$F104)/$G104)*100</f>
        <v>14.880280466226219</v>
      </c>
      <c r="W104" s="2">
        <v>2021</v>
      </c>
      <c r="X104" s="25">
        <f t="shared" ref="X104" ca="1" si="166">(SUM(B101:B104)-SUM(B97:B100))/(SUM($E101:$E104)-SUM($E97:$E100))*$AA104</f>
        <v>0.2896783222133878</v>
      </c>
      <c r="Y104" s="25">
        <f t="shared" ref="Y104" ca="1" si="167">(SUM(C101:C104)-SUM(C97:C100))/(SUM($E101:$E104)-SUM($E97:$E100))*$AA104</f>
        <v>-0.48322456603138847</v>
      </c>
      <c r="Z104" s="25">
        <f t="shared" ref="Z104" ca="1" si="168">(SUM(D101:D104)-SUM(D97:D100))/(SUM($E101:$E104)-SUM($E97:$E100))*$AA104</f>
        <v>-2.962727089664698</v>
      </c>
      <c r="AA104" s="25">
        <f t="shared" ref="AA104" ca="1" si="169">100*(SUM(E101:E104)/SUM(E97:E100)-1)</f>
        <v>-3.125895401120582</v>
      </c>
      <c r="AB104" s="25">
        <f t="shared" ref="AB104" ca="1" si="170">100*(SUM(G101:G104)/SUM(G97:G100)-1)</f>
        <v>-3.2006341853067166</v>
      </c>
      <c r="AC104" s="25">
        <f t="shared" ref="AC104" si="171">100*(SUM(H101:H104)/SUM(H97:H100)-1)</f>
        <v>-2.3673478627251776</v>
      </c>
      <c r="AE104" s="25">
        <f t="shared" ref="AE104" ca="1" si="172">(SUM(B101:B104)/SUM(B97:B100)-1)*100</f>
        <v>3.6282759837137801</v>
      </c>
      <c r="AF104" s="25">
        <f t="shared" ref="AF104" ca="1" si="173">(SUM(C101:C104)/SUM(C97:C100)-1)*100</f>
        <v>-2.2754225473236689</v>
      </c>
      <c r="AG104" s="25">
        <f t="shared" ref="AG104" ca="1" si="174">(SUM(D101:D104)/SUM(D97:D100)-1)*100</f>
        <v>-4.1507241466750111</v>
      </c>
      <c r="AH104" s="25">
        <f t="shared" ref="AH104" ca="1" si="175">(SUM(E101:E104)/SUM(E97:E100)-1)*100</f>
        <v>-3.125895401120582</v>
      </c>
      <c r="AI104" s="25">
        <f t="shared" ref="AI104" ca="1" si="176">(SUM(G101:G104)/SUM(G97:G100)-1)*100</f>
        <v>-3.2006341853067166</v>
      </c>
      <c r="AJ104" s="25">
        <f t="shared" ref="AJ104" si="177">(SUM(H101:H104)/SUM(H97:H100)-1)*100</f>
        <v>-2.3673478627251776</v>
      </c>
    </row>
    <row r="105" spans="1:36" x14ac:dyDescent="0.15">
      <c r="A105" s="8">
        <f t="shared" si="65"/>
        <v>44377</v>
      </c>
      <c r="B105" s="5" cm="1">
        <f t="array" aca="1" ref="B105" ca="1">OFFSET('Input IBGE'!$A$5,ROW()-3,COLUMN()-1,,)</f>
        <v>21048.51</v>
      </c>
      <c r="C105" s="5" cm="1">
        <f t="array" aca="1" ref="C105" ca="1">OFFSET('Input IBGE'!$A$5,ROW()-3,COLUMN()-1,,)</f>
        <v>55077.67</v>
      </c>
      <c r="D105" s="5" cm="1">
        <f t="array" aca="1" ref="D105" ca="1">OFFSET('Input IBGE'!$A$5,ROW()-3,COLUMN()-1,,)</f>
        <v>182397.09</v>
      </c>
      <c r="E105" s="5" cm="1">
        <f t="array" aca="1" ref="E105" ca="1">OFFSET('Input IBGE'!$A$5,ROW()-3,COLUMN()-1,,)</f>
        <v>257110.45</v>
      </c>
      <c r="F105" s="24">
        <f t="shared" ref="F105" ca="1" si="178">G105-E105</f>
        <v>45091.659999999974</v>
      </c>
      <c r="G105" s="5" cm="1">
        <f t="array" aca="1" ref="G105" ca="1">OFFSET('Input IBGE'!$A$5,ROW()-3,COLUMN()-2,,)</f>
        <v>302202.11</v>
      </c>
      <c r="H105" s="24">
        <v>309245.44427669537</v>
      </c>
      <c r="I105" s="9">
        <f t="shared" ref="I105" ca="1" si="179">(G105/H105-1)*100</f>
        <v>-2.2775870775297191</v>
      </c>
      <c r="K105" s="4">
        <f t="shared" ref="K105" ca="1" si="180">100*(B105/B104-1)</f>
        <v>-2.8525973423573769</v>
      </c>
      <c r="L105" s="4">
        <f t="shared" ref="L105" ca="1" si="181">100*(C105/C104-1)</f>
        <v>-0.54898991020682075</v>
      </c>
      <c r="M105" s="4">
        <f t="shared" ref="M105" ca="1" si="182">100*(D105/D104-1)</f>
        <v>0.57544519405470229</v>
      </c>
      <c r="N105" s="4">
        <f t="shared" ref="N105" ca="1" si="183">100*(E105/E104-1)</f>
        <v>-0.38121331912973622</v>
      </c>
      <c r="O105" s="4">
        <f t="shared" ref="O105" ca="1" si="184">100*(F105/F104-1)</f>
        <v>-0.17948878018035908</v>
      </c>
      <c r="P105" s="4">
        <f t="shared" ref="P105" ca="1" si="185">100*(G105/G104-1)</f>
        <v>-0.35116571175480837</v>
      </c>
      <c r="Q105" s="6">
        <f t="shared" ref="Q105" si="186">100*(H105/H104-1)</f>
        <v>1.304866843656427</v>
      </c>
      <c r="S105" s="4">
        <f t="shared" ref="S105" ca="1" si="187">B105/$G105/(SUM($B105:$D105,$F105)/$G105)*100</f>
        <v>6.9326333853213349</v>
      </c>
      <c r="T105" s="4">
        <f t="shared" ref="T105" ca="1" si="188">C105/$G105/(SUM($B105:$D105,$F105)/$G105)*100</f>
        <v>18.14063293922997</v>
      </c>
      <c r="U105" s="4">
        <f t="shared" ref="U105" ca="1" si="189">D105/$G105/(SUM($B105:$D105,$F105)/$G105)*100</f>
        <v>60.075138597433273</v>
      </c>
      <c r="V105" s="4">
        <f t="shared" ref="V105" ca="1" si="190">F105/$G105/(SUM($B105:$D105,$F105)/$G105)*100</f>
        <v>14.851595078015428</v>
      </c>
      <c r="X105" s="25">
        <f t="shared" ref="X105" ca="1" si="191">(SUM(B102:B105)-SUM(B98:B101))/(SUM($E102:$E105)-SUM($E98:$E101))*$AA105</f>
        <v>0.20920554785508888</v>
      </c>
      <c r="Y105" s="25">
        <f t="shared" ref="Y105" ca="1" si="192">(SUM(C102:C105)-SUM(C98:C101))/(SUM($E102:$E105)-SUM($E98:$E101))*$AA105</f>
        <v>0.96795058591029914</v>
      </c>
      <c r="Z105" s="25">
        <f t="shared" ref="Z105" ca="1" si="193">(SUM(D102:D105)-SUM(D98:D101))/(SUM($E102:$E105)-SUM($E98:$E101))*$AA105</f>
        <v>0.67932120782945526</v>
      </c>
      <c r="AA105" s="25">
        <f t="shared" ref="AA105" ca="1" si="194">100*(SUM(E102:E105)/SUM(E98:E101)-1)</f>
        <v>2.1017742307080978</v>
      </c>
      <c r="AB105" s="25">
        <f t="shared" ref="AB105" ca="1" si="195">100*(SUM(G102:G105)/SUM(G98:G101)-1)</f>
        <v>2.273172105818877</v>
      </c>
      <c r="AC105" s="25">
        <f t="shared" ref="AC105" si="196">100*(SUM(H102:H105)/SUM(H98:H101)-1)</f>
        <v>2.1455060651691893</v>
      </c>
      <c r="AE105" s="25">
        <f t="shared" ref="AE105" ca="1" si="197">(SUM(B102:B105)/SUM(B98:B101)-1)*100</f>
        <v>2.5242121757740543</v>
      </c>
      <c r="AF105" s="25">
        <f t="shared" ref="AF105" ca="1" si="198">(SUM(C102:C105)/SUM(C98:C101)-1)*100</f>
        <v>4.5924993527292068</v>
      </c>
      <c r="AG105" s="25">
        <f t="shared" ref="AG105" ca="1" si="199">(SUM(D102:D105)/SUM(D98:D101)-1)*100</f>
        <v>0.95209980028692076</v>
      </c>
      <c r="AH105" s="25">
        <f t="shared" ref="AH105" ca="1" si="200">(SUM(E102:E105)/SUM(E98:E101)-1)*100</f>
        <v>2.1017742307080978</v>
      </c>
      <c r="AI105" s="25">
        <f t="shared" ref="AI105" ca="1" si="201">(SUM(G102:G105)/SUM(G98:G101)-1)*100</f>
        <v>2.273172105818877</v>
      </c>
      <c r="AJ105" s="25">
        <f t="shared" ref="AJ105" si="202">(SUM(H102:H105)/SUM(H98:H101)-1)*100</f>
        <v>2.1455060651691893</v>
      </c>
    </row>
    <row r="106" spans="1:36" x14ac:dyDescent="0.15">
      <c r="A106" s="8">
        <f t="shared" si="65"/>
        <v>44469</v>
      </c>
      <c r="B106" s="5" cm="1">
        <f t="array" aca="1" ref="B106" ca="1">OFFSET('Input IBGE'!$A$5,ROW()-3,COLUMN()-1,,)</f>
        <v>19373</v>
      </c>
      <c r="C106" s="5" cm="1">
        <f t="array" aca="1" ref="C106" ca="1">OFFSET('Input IBGE'!$A$5,ROW()-3,COLUMN()-1,,)</f>
        <v>55063.29</v>
      </c>
      <c r="D106" s="5" cm="1">
        <f t="array" aca="1" ref="D106" ca="1">OFFSET('Input IBGE'!$A$5,ROW()-3,COLUMN()-1,,)</f>
        <v>184461.69</v>
      </c>
      <c r="E106" s="5" cm="1">
        <f t="array" aca="1" ref="E106" ca="1">OFFSET('Input IBGE'!$A$5,ROW()-3,COLUMN()-1,,)</f>
        <v>256721.61</v>
      </c>
      <c r="F106" s="24">
        <f t="shared" ref="F106" ca="1" si="203">G106-E106</f>
        <v>45196.910000000033</v>
      </c>
      <c r="G106" s="5" cm="1">
        <f t="array" aca="1" ref="G106" ca="1">OFFSET('Input IBGE'!$A$5,ROW()-3,COLUMN()-2,,)</f>
        <v>301918.52</v>
      </c>
      <c r="H106" s="24">
        <v>311795.41901571362</v>
      </c>
      <c r="I106" s="9">
        <f t="shared" ref="I106" ca="1" si="204">(G106/H106-1)*100</f>
        <v>-3.1677498812822003</v>
      </c>
      <c r="K106" s="4">
        <f t="shared" ref="K106" ca="1" si="205">100*(B106/B105-1)</f>
        <v>-7.960230914207223</v>
      </c>
      <c r="L106" s="4">
        <f t="shared" ref="L106" ca="1" si="206">100*(C106/C105-1)</f>
        <v>-2.6108584477158026E-2</v>
      </c>
      <c r="M106" s="4">
        <f t="shared" ref="M106" ca="1" si="207">100*(D106/D105-1)</f>
        <v>1.131925953423929</v>
      </c>
      <c r="N106" s="4">
        <f t="shared" ref="N106" ca="1" si="208">100*(E106/E105-1)</f>
        <v>-0.15123461531805216</v>
      </c>
      <c r="O106" s="4">
        <f t="shared" ref="O106" ca="1" si="209">100*(F106/F105-1)</f>
        <v>0.23341345162288807</v>
      </c>
      <c r="P106" s="4">
        <f t="shared" ref="P106" ca="1" si="210">100*(G106/G105-1)</f>
        <v>-9.3841171393527212E-2</v>
      </c>
      <c r="Q106" s="6">
        <f t="shared" ref="Q106" si="211">100*(H106/H105-1)</f>
        <v>0.82457956494152995</v>
      </c>
      <c r="S106" s="4">
        <f t="shared" ref="S106" ca="1" si="212">B106/$G106/(SUM($B106:$D106,$F106)/$G106)*100</f>
        <v>6.3707088271032761</v>
      </c>
      <c r="T106" s="4">
        <f t="shared" ref="T106" ca="1" si="213">C106/$G106/(SUM($B106:$D106,$F106)/$G106)*100</f>
        <v>18.107272371462734</v>
      </c>
      <c r="U106" s="4">
        <f t="shared" ref="U106" ca="1" si="214">D106/$G106/(SUM($B106:$D106,$F106)/$G106)*100</f>
        <v>60.659253432374349</v>
      </c>
      <c r="V106" s="4">
        <f t="shared" ref="V106" ca="1" si="215">F106/$G106/(SUM($B106:$D106,$F106)/$G106)*100</f>
        <v>14.86276536905965</v>
      </c>
      <c r="X106" s="25">
        <f t="shared" ref="X106" ca="1" si="216">(SUM(B103:B106)-SUM(B99:B102))/(SUM($E103:$E106)-SUM($E99:$E102))*$AA106</f>
        <v>-1.5247438672799566E-2</v>
      </c>
      <c r="Y106" s="25">
        <f t="shared" ref="Y106" ca="1" si="217">(SUM(C103:C106)-SUM(C99:C102))/(SUM($E103:$E106)-SUM($E99:$E102))*$AA106</f>
        <v>1.0750735218856662</v>
      </c>
      <c r="Z106" s="25">
        <f t="shared" ref="Z106" ca="1" si="218">(SUM(D103:D106)-SUM(D99:D102))/(SUM($E103:$E106)-SUM($E99:$E102))*$AA106</f>
        <v>2.5934851306186122</v>
      </c>
      <c r="AA106" s="25">
        <f t="shared" ref="AA106" ca="1" si="219">100*(SUM(E103:E106)/SUM(E99:E102)-1)</f>
        <v>3.9476073342377127</v>
      </c>
      <c r="AB106" s="25">
        <f t="shared" ref="AB106" ca="1" si="220">100*(SUM(G103:G106)/SUM(G99:G102)-1)</f>
        <v>4.2666650237028314</v>
      </c>
      <c r="AC106" s="25">
        <f t="shared" ref="AC106" si="221">100*(SUM(H103:H106)/SUM(H99:H102)-1)</f>
        <v>4.2594575154054182</v>
      </c>
      <c r="AE106" s="25">
        <f t="shared" ref="AE106" ca="1" si="222">(SUM(B103:B106)/SUM(B99:B102)-1)*100</f>
        <v>-0.18120103351610961</v>
      </c>
      <c r="AF106" s="25">
        <f t="shared" ref="AF106" ca="1" si="223">(SUM(C103:C106)/SUM(C99:C102)-1)*100</f>
        <v>5.0609955621608638</v>
      </c>
      <c r="AG106" s="25">
        <f t="shared" ref="AG106" ca="1" si="224">(SUM(D103:D106)/SUM(D99:D102)-1)*100</f>
        <v>3.6473996243969964</v>
      </c>
      <c r="AH106" s="25">
        <f t="shared" ref="AH106" ca="1" si="225">(SUM(E103:E106)/SUM(E99:E102)-1)*100</f>
        <v>3.9476073342377127</v>
      </c>
      <c r="AI106" s="25">
        <f t="shared" ref="AI106" ca="1" si="226">(SUM(G103:G106)/SUM(G99:G102)-1)*100</f>
        <v>4.2666650237028314</v>
      </c>
      <c r="AJ106" s="25">
        <f t="shared" ref="AJ106" si="227">(SUM(H103:H106)/SUM(H99:H102)-1)*100</f>
        <v>4.2594575154054182</v>
      </c>
    </row>
    <row r="107" spans="1:36" x14ac:dyDescent="0.15">
      <c r="A107" s="21">
        <f t="shared" si="65"/>
        <v>44561</v>
      </c>
      <c r="B107" s="24">
        <f t="shared" ref="B107:B115" ca="1" si="228">B106*(1+K107/100)</f>
        <v>20409.501603852637</v>
      </c>
      <c r="C107" s="24">
        <f t="shared" ref="C107:C111" ca="1" si="229">C106*(1+L107/100)</f>
        <v>54277.748303834145</v>
      </c>
      <c r="D107" s="24">
        <f t="shared" ref="D107:D111" ca="1" si="230">D106*(1+M107/100)</f>
        <v>183380.55456478131</v>
      </c>
      <c r="E107" s="24">
        <f t="shared" ref="E107:E111" ca="1" si="231">SUM(B107:D107)</f>
        <v>258067.80447246809</v>
      </c>
      <c r="F107" s="24">
        <f ca="1">(SUM($F$80:$F$99)/SUM($E$80:$E$99)*0.6+F106/E106*0.4)*E107</f>
        <v>44843.412684036812</v>
      </c>
      <c r="G107" s="24">
        <f t="shared" ref="G107:G111" ca="1" si="232">E107+F107</f>
        <v>302911.21715650492</v>
      </c>
      <c r="H107" s="24">
        <v>312912.10352967645</v>
      </c>
      <c r="I107" s="49">
        <f t="shared" ca="1" si="56"/>
        <v>-3.196068883357539</v>
      </c>
      <c r="K107" s="22">
        <f ca="1">INDEX(Projeçao!$B$2:$E$50,MATCH(Saídas!$A107,Projeçao!$A$2:$A$50,0),MATCH(Saídas!K$2,Projeçao!$B$2:$E$2,0))</f>
        <v>5.3502379799341355</v>
      </c>
      <c r="L107" s="22">
        <f ca="1">INDEX(Projeçao!$K$2:$N$50,MATCH(Saídas!$A107,Projeçao!$A$2:$A$50,0),MATCH(Saídas!L$2,Projeçao!$K$2:$N$2,0))</f>
        <v>-1.4266159834725742</v>
      </c>
      <c r="M107" s="22">
        <f ca="1">INDEX(Projeçao!$T$2:$W$50,MATCH(Saídas!$A107,Projeçao!$A$2:$A$50,0),MATCH(Saídas!M$2,Projeçao!$T$2:$W$2,0))</f>
        <v>-0.58610296545515195</v>
      </c>
      <c r="N107" s="22">
        <f t="shared" ref="N107:N111" ca="1" si="233">100*(E107/E106-1)</f>
        <v>0.5243791017312871</v>
      </c>
      <c r="O107" s="22">
        <f t="shared" ref="O107:O111" ca="1" si="234">100*(F107/F106-1)</f>
        <v>-0.78212717631187534</v>
      </c>
      <c r="P107" s="22">
        <f t="shared" ref="P107:Q111" ca="1" si="235">100*(G107/G106-1)</f>
        <v>0.32879637741496381</v>
      </c>
      <c r="Q107" s="50">
        <f t="shared" si="235"/>
        <v>0.35814654284787029</v>
      </c>
      <c r="S107" s="22">
        <f t="shared" ref="S107:S111" ca="1" si="236">B107/$G107/(SUM($B107:$D107,$F107)/$G107)*100</f>
        <v>6.7377833661761279</v>
      </c>
      <c r="T107" s="22">
        <f t="shared" ref="T107:T111" ca="1" si="237">C107/$G107/(SUM($B107:$D107,$F107)/$G107)*100</f>
        <v>17.918698691105419</v>
      </c>
      <c r="U107" s="22">
        <f t="shared" ref="U107:U111" ca="1" si="238">D107/$G107/(SUM($B107:$D107,$F107)/$G107)*100</f>
        <v>60.539373974399311</v>
      </c>
      <c r="V107" s="22">
        <f t="shared" ref="V107:V111" ca="1" si="239">F107/$G107/(SUM($B107:$D107,$F107)/$G107)*100</f>
        <v>14.804143968319138</v>
      </c>
      <c r="X107" s="25">
        <f t="shared" ca="1" si="69"/>
        <v>-0.10539887952899139</v>
      </c>
      <c r="Y107" s="25">
        <f t="shared" ca="1" si="70"/>
        <v>0.97003398313354883</v>
      </c>
      <c r="Z107" s="25">
        <f t="shared" ca="1" si="71"/>
        <v>3.3491720046483167</v>
      </c>
      <c r="AA107" s="25">
        <f t="shared" ref="AA107:AA111" ca="1" si="240">100*(SUM(E104:E107)/SUM(E100:E103)-1)</f>
        <v>4.6032614599401001</v>
      </c>
      <c r="AB107" s="25">
        <f t="shared" ca="1" si="72"/>
        <v>4.8612087206641341</v>
      </c>
      <c r="AC107" s="25">
        <f t="shared" si="73"/>
        <v>4.9101159487542789</v>
      </c>
      <c r="AE107" s="25">
        <f t="shared" ca="1" si="74"/>
        <v>-1.2423813998726607</v>
      </c>
      <c r="AF107" s="25">
        <f t="shared" ca="1" si="75"/>
        <v>4.5430023141791676</v>
      </c>
      <c r="AG107" s="25">
        <f t="shared" ca="1" si="76"/>
        <v>4.7205144508326802</v>
      </c>
      <c r="AH107" s="25">
        <f t="shared" ca="1" si="77"/>
        <v>4.6032614599401001</v>
      </c>
      <c r="AI107" s="25">
        <f t="shared" ca="1" si="78"/>
        <v>4.8612087206641341</v>
      </c>
      <c r="AJ107" s="25">
        <f t="shared" si="79"/>
        <v>4.9101159487542789</v>
      </c>
    </row>
    <row r="108" spans="1:36" x14ac:dyDescent="0.15">
      <c r="A108" s="21">
        <f t="shared" si="65"/>
        <v>44651</v>
      </c>
      <c r="B108" s="24">
        <f t="shared" ca="1" si="228"/>
        <v>20760.260084981779</v>
      </c>
      <c r="C108" s="24">
        <f t="shared" ca="1" si="229"/>
        <v>54314.916915699119</v>
      </c>
      <c r="D108" s="24">
        <f t="shared" ca="1" si="230"/>
        <v>183462.50950299163</v>
      </c>
      <c r="E108" s="24">
        <f t="shared" ca="1" si="231"/>
        <v>258537.68650367251</v>
      </c>
      <c r="F108" s="24">
        <f t="shared" ref="F108:F115" ca="1" si="241">(SUM($F$80:$F$99)/SUM($E$80:$E$99)*0.6+F107/E107*0.4)*E108</f>
        <v>44688.431956965702</v>
      </c>
      <c r="G108" s="24">
        <f t="shared" ca="1" si="232"/>
        <v>303226.11846063822</v>
      </c>
      <c r="H108" s="24">
        <v>314028.78804363927</v>
      </c>
      <c r="I108" s="49">
        <f t="shared" ca="1" si="56"/>
        <v>-3.4400252442778778</v>
      </c>
      <c r="K108" s="22">
        <f ca="1">INDEX(Projeçao!$B$2:$E$50,MATCH(Saídas!$A108,Projeçao!$A$2:$A$50,0),MATCH(Saídas!K$2,Projeçao!$B$2:$E$2,0))</f>
        <v>1.7186038539173758</v>
      </c>
      <c r="L108" s="22">
        <f ca="1">INDEX(Projeçao!$K$2:$N$50,MATCH(Saídas!$A108,Projeçao!$A$2:$A$50,0),MATCH(Saídas!L$2,Projeçao!$K$2:$N$2,0))</f>
        <v>6.8478544203624647E-2</v>
      </c>
      <c r="M108" s="22">
        <f ca="1">INDEX(Projeçao!$T$2:$W$50,MATCH(Saídas!$A108,Projeçao!$A$2:$A$50,0),MATCH(Saídas!M$2,Projeçao!$T$2:$W$2,0))</f>
        <v>4.469118244562087E-2</v>
      </c>
      <c r="N108" s="22">
        <f t="shared" ca="1" si="233"/>
        <v>0.18207696700676124</v>
      </c>
      <c r="O108" s="22">
        <f t="shared" ca="1" si="234"/>
        <v>-0.34560422098802723</v>
      </c>
      <c r="P108" s="22">
        <f t="shared" ca="1" si="235"/>
        <v>0.10395828424227815</v>
      </c>
      <c r="Q108" s="50">
        <f t="shared" si="235"/>
        <v>0.35686843090008136</v>
      </c>
      <c r="S108" s="22">
        <f t="shared" ca="1" si="236"/>
        <v>6.846461706654293</v>
      </c>
      <c r="T108" s="22">
        <f t="shared" ca="1" si="237"/>
        <v>17.912347785683817</v>
      </c>
      <c r="U108" s="22">
        <f t="shared" ca="1" si="238"/>
        <v>60.503531303424609</v>
      </c>
      <c r="V108" s="22">
        <f t="shared" ca="1" si="239"/>
        <v>14.737659204237286</v>
      </c>
      <c r="W108" s="2">
        <f t="shared" ref="W108" si="242">YEAR(A108)</f>
        <v>2022</v>
      </c>
      <c r="X108" s="25">
        <f t="shared" ca="1" si="69"/>
        <v>-0.30390429994940193</v>
      </c>
      <c r="Y108" s="25">
        <f t="shared" ca="1" si="70"/>
        <v>0.65806347863967474</v>
      </c>
      <c r="Z108" s="25">
        <f t="shared" ca="1" si="71"/>
        <v>3.4438886644424906</v>
      </c>
      <c r="AA108" s="25">
        <f t="shared" ca="1" si="240"/>
        <v>4.0228598637960689</v>
      </c>
      <c r="AB108" s="25">
        <f t="shared" ca="1" si="72"/>
        <v>4.15210829003958</v>
      </c>
      <c r="AC108" s="25">
        <f t="shared" si="73"/>
        <v>5.1851112370953523</v>
      </c>
      <c r="AE108" s="25">
        <f t="shared" ca="1" si="74"/>
        <v>-3.5583657956388515</v>
      </c>
      <c r="AF108" s="25">
        <f t="shared" ca="1" si="75"/>
        <v>3.0717420397958106</v>
      </c>
      <c r="AG108" s="25">
        <f t="shared" ca="1" si="76"/>
        <v>4.8764097537149942</v>
      </c>
      <c r="AH108" s="25">
        <f t="shared" ca="1" si="77"/>
        <v>4.0228598637960689</v>
      </c>
      <c r="AI108" s="25">
        <f t="shared" ca="1" si="78"/>
        <v>4.15210829003958</v>
      </c>
      <c r="AJ108" s="25">
        <f t="shared" si="79"/>
        <v>5.1851112370953523</v>
      </c>
    </row>
    <row r="109" spans="1:36" x14ac:dyDescent="0.15">
      <c r="A109" s="21">
        <f t="shared" si="65"/>
        <v>44742</v>
      </c>
      <c r="B109" s="24">
        <f t="shared" ca="1" si="228"/>
        <v>20765.609718756496</v>
      </c>
      <c r="C109" s="24">
        <f t="shared" ca="1" si="229"/>
        <v>54098.639669989701</v>
      </c>
      <c r="D109" s="24">
        <f t="shared" ca="1" si="230"/>
        <v>183603.76100116444</v>
      </c>
      <c r="E109" s="24">
        <f t="shared" ca="1" si="231"/>
        <v>258468.01038991063</v>
      </c>
      <c r="F109" s="24">
        <f t="shared" ca="1" si="241"/>
        <v>44581.761796431842</v>
      </c>
      <c r="G109" s="24">
        <f t="shared" ca="1" si="232"/>
        <v>303049.77218634245</v>
      </c>
      <c r="H109" s="24">
        <v>315145.47255760222</v>
      </c>
      <c r="I109" s="49">
        <f t="shared" ca="1" si="56"/>
        <v>-3.8381323625231278</v>
      </c>
      <c r="K109" s="22">
        <f ca="1">INDEX(Projeçao!$B$2:$E$50,MATCH(Saídas!$A109,Projeçao!$A$2:$A$50,0),MATCH(Saídas!K$2,Projeçao!$B$2:$E$2,0))</f>
        <v>2.5768625984533333E-2</v>
      </c>
      <c r="L109" s="22">
        <f ca="1">INDEX(Projeçao!$K$2:$N$50,MATCH(Saídas!$A109,Projeçao!$A$2:$A$50,0),MATCH(Saídas!L$2,Projeçao!$K$2:$N$2,0))</f>
        <v>-0.39819124835466607</v>
      </c>
      <c r="M109" s="22">
        <f ca="1">INDEX(Projeçao!$T$2:$W$50,MATCH(Saídas!$A109,Projeçao!$A$2:$A$50,0),MATCH(Saídas!M$2,Projeçao!$T$2:$W$2,0))</f>
        <v>7.6992023359692019E-2</v>
      </c>
      <c r="N109" s="22">
        <f t="shared" ca="1" si="233"/>
        <v>-2.6950080162058132E-2</v>
      </c>
      <c r="O109" s="22">
        <f t="shared" ca="1" si="234"/>
        <v>-0.23869747910730821</v>
      </c>
      <c r="P109" s="22">
        <f t="shared" ca="1" si="235"/>
        <v>-5.8156690192456839E-2</v>
      </c>
      <c r="Q109" s="50">
        <f t="shared" si="235"/>
        <v>0.35559940886940034</v>
      </c>
      <c r="S109" s="22">
        <f t="shared" ca="1" si="236"/>
        <v>6.8522109648668268</v>
      </c>
      <c r="T109" s="22">
        <f t="shared" ca="1" si="237"/>
        <v>17.851404170244667</v>
      </c>
      <c r="U109" s="22">
        <f t="shared" ca="1" si="238"/>
        <v>60.585348629883882</v>
      </c>
      <c r="V109" s="22">
        <f t="shared" ca="1" si="239"/>
        <v>14.711036235004638</v>
      </c>
      <c r="X109" s="25">
        <f t="shared" ca="1" si="69"/>
        <v>-0.33102916403103999</v>
      </c>
      <c r="Y109" s="25">
        <f t="shared" ca="1" si="70"/>
        <v>-0.18939443794318164</v>
      </c>
      <c r="Z109" s="25">
        <f t="shared" ca="1" si="71"/>
        <v>1.6824932208874483</v>
      </c>
      <c r="AA109" s="25">
        <f t="shared" ca="1" si="240"/>
        <v>1.4077294841403409</v>
      </c>
      <c r="AB109" s="25">
        <f t="shared" ca="1" si="72"/>
        <v>1.3542294697869828</v>
      </c>
      <c r="AC109" s="25">
        <f t="shared" si="73"/>
        <v>3.1275601183168966</v>
      </c>
      <c r="AE109" s="25">
        <f t="shared" ca="1" si="74"/>
        <v>-3.9776426663939546</v>
      </c>
      <c r="AF109" s="25">
        <f t="shared" ca="1" si="75"/>
        <v>-0.87719447023268948</v>
      </c>
      <c r="AG109" s="25">
        <f t="shared" ca="1" si="76"/>
        <v>2.3849460332036276</v>
      </c>
      <c r="AH109" s="25">
        <f t="shared" ca="1" si="77"/>
        <v>1.4077294841403409</v>
      </c>
      <c r="AI109" s="25">
        <f t="shared" ca="1" si="78"/>
        <v>1.3542294697869828</v>
      </c>
      <c r="AJ109" s="25">
        <f t="shared" si="79"/>
        <v>3.1275601183168966</v>
      </c>
    </row>
    <row r="110" spans="1:36" x14ac:dyDescent="0.15">
      <c r="A110" s="21">
        <f t="shared" si="65"/>
        <v>44834</v>
      </c>
      <c r="B110" s="24">
        <f t="shared" ca="1" si="228"/>
        <v>20997.914103913947</v>
      </c>
      <c r="C110" s="24">
        <f t="shared" ca="1" si="229"/>
        <v>54159.690357932297</v>
      </c>
      <c r="D110" s="24">
        <f t="shared" ca="1" si="230"/>
        <v>184363.85529263702</v>
      </c>
      <c r="E110" s="24">
        <f t="shared" ca="1" si="231"/>
        <v>259521.45975448325</v>
      </c>
      <c r="F110" s="24">
        <f t="shared" ca="1" si="241"/>
        <v>44725.460724720935</v>
      </c>
      <c r="G110" s="24">
        <f t="shared" ca="1" si="232"/>
        <v>304246.92047920416</v>
      </c>
      <c r="H110" s="24">
        <v>316373.34479474596</v>
      </c>
      <c r="I110" s="49">
        <f t="shared" ca="1" si="56"/>
        <v>-3.8329475333672924</v>
      </c>
      <c r="K110" s="22">
        <f ca="1">INDEX(Projeçao!$B$2:$E$50,MATCH(Saídas!$A110,Projeçao!$A$2:$A$50,0),MATCH(Saídas!K$2,Projeçao!$B$2:$E$2,0))</f>
        <v>1.1186976366392112</v>
      </c>
      <c r="L110" s="22">
        <f ca="1">INDEX(Projeçao!$K$2:$N$50,MATCH(Saídas!$A110,Projeçao!$A$2:$A$50,0),MATCH(Saídas!L$2,Projeçao!$K$2:$N$2,0))</f>
        <v>0.11285068961994138</v>
      </c>
      <c r="M110" s="22">
        <f ca="1">INDEX(Projeçao!$T$2:$W$50,MATCH(Saídas!$A110,Projeçao!$A$2:$A$50,0),MATCH(Saídas!M$2,Projeçao!$T$2:$W$2,0))</f>
        <v>0.41398623172416582</v>
      </c>
      <c r="N110" s="22">
        <f t="shared" ca="1" si="233"/>
        <v>0.40757436983533957</v>
      </c>
      <c r="O110" s="22">
        <f t="shared" ca="1" si="234"/>
        <v>0.32232671500342924</v>
      </c>
      <c r="P110" s="22">
        <f t="shared" ca="1" si="235"/>
        <v>0.39503355644352478</v>
      </c>
      <c r="Q110" s="50">
        <f t="shared" si="235"/>
        <v>0.38962077645565696</v>
      </c>
      <c r="S110" s="22">
        <f t="shared" ca="1" si="236"/>
        <v>6.9016028398385023</v>
      </c>
      <c r="T110" s="22">
        <f t="shared" ca="1" si="237"/>
        <v>17.80122877583381</v>
      </c>
      <c r="U110" s="22">
        <f t="shared" ca="1" si="238"/>
        <v>60.596785992855636</v>
      </c>
      <c r="V110" s="22">
        <f t="shared" ca="1" si="239"/>
        <v>14.700382391472061</v>
      </c>
      <c r="X110" s="25">
        <f t="shared" ca="1" si="69"/>
        <v>-2.2125302961189049E-3</v>
      </c>
      <c r="Y110" s="25">
        <f t="shared" ca="1" si="70"/>
        <v>-0.34724550456316194</v>
      </c>
      <c r="Z110" s="25">
        <f t="shared" ca="1" si="71"/>
        <v>0.67537221842073214</v>
      </c>
      <c r="AA110" s="25">
        <f t="shared" ca="1" si="240"/>
        <v>0.77588567230173489</v>
      </c>
      <c r="AB110" s="25">
        <f t="shared" ca="1" si="72"/>
        <v>0.56351100737950244</v>
      </c>
      <c r="AC110" s="25">
        <f t="shared" si="73"/>
        <v>2.180366853484883</v>
      </c>
      <c r="AE110" s="25">
        <f t="shared" ca="1" si="74"/>
        <v>-2.7381369033152581E-2</v>
      </c>
      <c r="AF110" s="25">
        <f t="shared" ca="1" si="75"/>
        <v>-1.617362644469944</v>
      </c>
      <c r="AG110" s="25">
        <f t="shared" ca="1" si="76"/>
        <v>0.95257431045943086</v>
      </c>
      <c r="AH110" s="25">
        <f t="shared" ca="1" si="77"/>
        <v>0.77588567230173489</v>
      </c>
      <c r="AI110" s="25">
        <f t="shared" ca="1" si="78"/>
        <v>0.56351100737950244</v>
      </c>
      <c r="AJ110" s="25">
        <f t="shared" si="79"/>
        <v>2.180366853484883</v>
      </c>
    </row>
    <row r="111" spans="1:36" x14ac:dyDescent="0.15">
      <c r="A111" s="21">
        <f t="shared" si="65"/>
        <v>44926</v>
      </c>
      <c r="B111" s="24">
        <f t="shared" ca="1" si="228"/>
        <v>21186.690697686561</v>
      </c>
      <c r="C111" s="24">
        <f t="shared" ca="1" si="229"/>
        <v>54249.549334092946</v>
      </c>
      <c r="D111" s="24">
        <f t="shared" ca="1" si="230"/>
        <v>185343.09168530928</v>
      </c>
      <c r="E111" s="24">
        <f t="shared" ca="1" si="231"/>
        <v>260779.33171708879</v>
      </c>
      <c r="F111" s="24">
        <f t="shared" ca="1" si="241"/>
        <v>44926.964467305632</v>
      </c>
      <c r="G111" s="24">
        <f t="shared" ca="1" si="232"/>
        <v>305706.29618439439</v>
      </c>
      <c r="H111" s="24">
        <v>317712.40475507063</v>
      </c>
      <c r="I111" s="49">
        <f t="shared" ca="1" si="56"/>
        <v>-3.778923451204852</v>
      </c>
      <c r="K111" s="22">
        <f ca="1">INDEX(Projeçao!$B$2:$E$50,MATCH(Saídas!$A111,Projeçao!$A$2:$A$50,0),MATCH(Saídas!K$2,Projeçao!$B$2:$E$2,0))</f>
        <v>0.89902545956899682</v>
      </c>
      <c r="L111" s="22">
        <f ca="1">INDEX(Projeçao!$K$2:$N$50,MATCH(Saídas!$A111,Projeçao!$A$2:$A$50,0),MATCH(Saídas!L$2,Projeçao!$K$2:$N$2,0))</f>
        <v>0.16591486318844018</v>
      </c>
      <c r="M111" s="22">
        <f ca="1">INDEX(Projeçao!$T$2:$W$50,MATCH(Saídas!$A111,Projeçao!$A$2:$A$50,0),MATCH(Saídas!M$2,Projeçao!$T$2:$W$2,0))</f>
        <v>0.53114336924553829</v>
      </c>
      <c r="N111" s="22">
        <f t="shared" ca="1" si="233"/>
        <v>0.48468899789464448</v>
      </c>
      <c r="O111" s="22">
        <f t="shared" ca="1" si="234"/>
        <v>0.45053474982610364</v>
      </c>
      <c r="P111" s="22">
        <f t="shared" ca="1" si="235"/>
        <v>0.479668192825633</v>
      </c>
      <c r="Q111" s="50">
        <f t="shared" si="235"/>
        <v>0.42325309080428752</v>
      </c>
      <c r="S111" s="22">
        <f t="shared" ca="1" si="236"/>
        <v>6.9304070482432198</v>
      </c>
      <c r="T111" s="22">
        <f t="shared" ca="1" si="237"/>
        <v>17.745643452947064</v>
      </c>
      <c r="U111" s="22">
        <f t="shared" ca="1" si="238"/>
        <v>60.627829390047935</v>
      </c>
      <c r="V111" s="22">
        <f t="shared" ca="1" si="239"/>
        <v>14.696120108761782</v>
      </c>
      <c r="X111" s="25">
        <f t="shared" ca="1" si="69"/>
        <v>0.11775726467386748</v>
      </c>
      <c r="Y111" s="25">
        <f t="shared" ca="1" si="70"/>
        <v>-0.28909114373562494</v>
      </c>
      <c r="Z111" s="25">
        <f t="shared" ca="1" si="71"/>
        <v>0.50295262777466709</v>
      </c>
      <c r="AA111" s="25">
        <f t="shared" ca="1" si="240"/>
        <v>0.70993446962472895</v>
      </c>
      <c r="AB111" s="25">
        <f t="shared" ca="1" si="72"/>
        <v>0.48997648605759725</v>
      </c>
      <c r="AC111" s="25">
        <f t="shared" si="73"/>
        <v>1.9403300622454545</v>
      </c>
      <c r="AE111" s="25">
        <f t="shared" ca="1" si="74"/>
        <v>1.4702164329014611</v>
      </c>
      <c r="AF111" s="25">
        <f t="shared" ca="1" si="75"/>
        <v>-1.3546935211033562</v>
      </c>
      <c r="AG111" s="25">
        <f t="shared" ca="1" si="76"/>
        <v>0.70809645373342001</v>
      </c>
      <c r="AH111" s="25">
        <f t="shared" ca="1" si="77"/>
        <v>0.70993446962472895</v>
      </c>
      <c r="AI111" s="25">
        <f t="shared" ca="1" si="78"/>
        <v>0.48997648605759725</v>
      </c>
      <c r="AJ111" s="25">
        <f t="shared" si="79"/>
        <v>1.9403300622454545</v>
      </c>
    </row>
    <row r="112" spans="1:36" x14ac:dyDescent="0.15">
      <c r="A112" s="21">
        <f t="shared" si="65"/>
        <v>45016</v>
      </c>
      <c r="B112" s="24">
        <f t="shared" ca="1" si="228"/>
        <v>21361.411916596826</v>
      </c>
      <c r="C112" s="24">
        <f t="shared" ref="C112:C115" ca="1" si="243">C111*(1+L112/100)</f>
        <v>54357.352105111975</v>
      </c>
      <c r="D112" s="24">
        <f t="shared" ref="D112:D115" ca="1" si="244">D111*(1+M112/100)</f>
        <v>186427.07349555689</v>
      </c>
      <c r="E112" s="24">
        <f t="shared" ref="E112:E115" ca="1" si="245">SUM(B112:D112)</f>
        <v>262145.8375172657</v>
      </c>
      <c r="F112" s="24">
        <f t="shared" ca="1" si="241"/>
        <v>45156.243292643281</v>
      </c>
      <c r="G112" s="24">
        <f t="shared" ref="G112:G115" ca="1" si="246">E112+F112</f>
        <v>307302.08080990898</v>
      </c>
      <c r="H112" s="24">
        <v>319051.4647153953</v>
      </c>
      <c r="I112" s="49">
        <f t="shared" ref="I112:I127" ca="1" si="247">(G112/H112-1)*100</f>
        <v>-3.6825983281309038</v>
      </c>
      <c r="K112" s="22">
        <f ca="1">INDEX(Projeçao!$B$2:$E$50,MATCH(Saídas!$A112,Projeçao!$A$2:$A$50,0),MATCH(Saídas!K$2,Projeçao!$B$2:$E$2,0))</f>
        <v>0.82467442133066937</v>
      </c>
      <c r="L112" s="22">
        <f ca="1">INDEX(Projeçao!$K$2:$N$50,MATCH(Saídas!$A112,Projeçao!$A$2:$A$50,0),MATCH(Saídas!L$2,Projeçao!$K$2:$N$2,0))</f>
        <v>0.19871643606682593</v>
      </c>
      <c r="M112" s="22">
        <f ca="1">INDEX(Projeçao!$T$2:$W$50,MATCH(Saídas!$A112,Projeçao!$A$2:$A$50,0),MATCH(Saídas!M$2,Projeçao!$T$2:$W$2,0))</f>
        <v>0.5848514775441962</v>
      </c>
      <c r="N112" s="22">
        <f t="shared" ref="N112:N127" ca="1" si="248">100*(E112/E111-1)</f>
        <v>0.52400847535700734</v>
      </c>
      <c r="O112" s="22">
        <f t="shared" ref="O112:O127" ca="1" si="249">100*(F112/F111-1)</f>
        <v>0.51033678339096333</v>
      </c>
      <c r="P112" s="22">
        <f t="shared" ref="P112:P127" ca="1" si="250">100*(G112/G111-1)</f>
        <v>0.52199926708478284</v>
      </c>
      <c r="Q112" s="50">
        <f t="shared" ref="Q112:Q127" si="251">100*(H112/H111-1)</f>
        <v>0.42146920934893473</v>
      </c>
      <c r="S112" s="22">
        <f t="shared" ref="S112:S115" ca="1" si="252">B112/$G112/(SUM($B112:$D112,$F112)/$G112)*100</f>
        <v>6.9512747392721286</v>
      </c>
      <c r="T112" s="22">
        <f t="shared" ref="T112:T115" ca="1" si="253">C112/$G112/(SUM($B112:$D112,$F112)/$G112)*100</f>
        <v>17.688572743097161</v>
      </c>
      <c r="U112" s="22">
        <f t="shared" ref="U112:U115" ca="1" si="254">D112/$G112/(SUM($B112:$D112,$F112)/$G112)*100</f>
        <v>60.665737441223847</v>
      </c>
      <c r="V112" s="22">
        <f t="shared" ref="V112:V115" ca="1" si="255">F112/$G112/(SUM($B112:$D112,$F112)/$G112)*100</f>
        <v>14.69441507640687</v>
      </c>
      <c r="W112" s="2">
        <f t="shared" ref="W112:W160" si="256">YEAR(A112)</f>
        <v>2023</v>
      </c>
      <c r="X112" s="25">
        <f t="shared" ref="X112:X115" ca="1" si="257">(SUM(B109:B112)-SUM(B105:B108))/(SUM($E109:$E112)-SUM($E105:$E108))*$AA112</f>
        <v>0.26399996249577734</v>
      </c>
      <c r="Y112" s="25">
        <f t="shared" ref="Y112:Y115" ca="1" si="258">(SUM(C109:C112)-SUM(C105:C108))/(SUM($E109:$E112)-SUM($E105:$E108))*$AA112</f>
        <v>-0.18132042554508851</v>
      </c>
      <c r="Z112" s="25">
        <f t="shared" ref="Z112:Z115" ca="1" si="259">(SUM(D109:D112)-SUM(D105:D108))/(SUM($E109:$E112)-SUM($E105:$E108))*$AA112</f>
        <v>0.58576450374667333</v>
      </c>
      <c r="AA112" s="25">
        <f t="shared" ref="AA112:AA115" ca="1" si="260">100*(SUM(E109:E112)/SUM(E105:E108)-1)</f>
        <v>1.0167611217858585</v>
      </c>
      <c r="AB112" s="25">
        <f t="shared" ref="AB112:AB115" ca="1" si="261">100*(SUM(G109:G112)/SUM(G105:G108)-1)</f>
        <v>0.83016219088329901</v>
      </c>
      <c r="AC112" s="25">
        <f t="shared" ref="AC112:AC115" si="262">100*(SUM(H109:H112)/SUM(H105:H108)-1)</f>
        <v>1.6267010217047462</v>
      </c>
      <c r="AE112" s="25">
        <f t="shared" ref="AE112:AE115" ca="1" si="263">(SUM(B109:B112)/SUM(B105:B108)-1)*100</f>
        <v>3.3341247069834434</v>
      </c>
      <c r="AF112" s="25">
        <f t="shared" ref="AF112:AF115" ca="1" si="264">(SUM(C109:C112)/SUM(C105:C108)-1)*100</f>
        <v>-0.85418679936891673</v>
      </c>
      <c r="AG112" s="25">
        <f t="shared" ref="AG112:AG115" ca="1" si="265">(SUM(D109:D112)/SUM(D105:D108)-1)*100</f>
        <v>0.82266897046767706</v>
      </c>
      <c r="AH112" s="25">
        <f t="shared" ref="AH112:AH115" ca="1" si="266">(SUM(E109:E112)/SUM(E105:E108)-1)*100</f>
        <v>1.0167611217858585</v>
      </c>
      <c r="AI112" s="25">
        <f t="shared" ref="AI112:AI115" ca="1" si="267">(SUM(G109:G112)/SUM(G105:G108)-1)*100</f>
        <v>0.83016219088329901</v>
      </c>
      <c r="AJ112" s="25">
        <f t="shared" ref="AJ112:AJ115" si="268">(SUM(H109:H112)/SUM(H105:H108)-1)*100</f>
        <v>1.6267010217047462</v>
      </c>
    </row>
    <row r="113" spans="1:36" x14ac:dyDescent="0.15">
      <c r="A113" s="21">
        <f t="shared" si="65"/>
        <v>45107</v>
      </c>
      <c r="B113" s="24">
        <f t="shared" ca="1" si="228"/>
        <v>21550.184995601212</v>
      </c>
      <c r="C113" s="24">
        <f t="shared" ca="1" si="243"/>
        <v>54462.979988125444</v>
      </c>
      <c r="D113" s="24">
        <f t="shared" ca="1" si="244"/>
        <v>187512.63243101508</v>
      </c>
      <c r="E113" s="24">
        <f t="shared" ca="1" si="245"/>
        <v>263525.79741474171</v>
      </c>
      <c r="F113" s="24">
        <f t="shared" ca="1" si="241"/>
        <v>45391.480083568553</v>
      </c>
      <c r="G113" s="24">
        <f t="shared" ca="1" si="246"/>
        <v>308917.27749831026</v>
      </c>
      <c r="H113" s="24">
        <v>320390.52467571996</v>
      </c>
      <c r="I113" s="49">
        <f t="shared" ca="1" si="247"/>
        <v>-3.5810195039388981</v>
      </c>
      <c r="K113" s="22">
        <f ca="1">INDEX(Projeçao!$B$2:$E$50,MATCH(Saídas!$A113,Projeçao!$A$2:$A$50,0),MATCH(Saídas!K$2,Projeçao!$B$2:$E$2,0))</f>
        <v>0.88371068233423067</v>
      </c>
      <c r="L113" s="22">
        <f ca="1">INDEX(Projeçao!$K$2:$N$50,MATCH(Saídas!$A113,Projeçao!$A$2:$A$50,0),MATCH(Saídas!L$2,Projeçao!$K$2:$N$2,0))</f>
        <v>0.19432124436308154</v>
      </c>
      <c r="M113" s="22">
        <f ca="1">INDEX(Projeçao!$T$2:$W$50,MATCH(Saídas!$A113,Projeçao!$A$2:$A$50,0),MATCH(Saídas!M$2,Projeçao!$T$2:$W$2,0))</f>
        <v>0.58229682797873272</v>
      </c>
      <c r="N113" s="22">
        <f t="shared" ca="1" si="248"/>
        <v>0.52640923485391955</v>
      </c>
      <c r="O113" s="22">
        <f t="shared" ca="1" si="249"/>
        <v>0.52093968357991294</v>
      </c>
      <c r="P113" s="22">
        <f t="shared" ca="1" si="250"/>
        <v>0.52560551628688668</v>
      </c>
      <c r="Q113" s="50">
        <f t="shared" si="251"/>
        <v>0.41970030180527029</v>
      </c>
      <c r="S113" s="22">
        <f t="shared" ca="1" si="252"/>
        <v>6.9760374589987411</v>
      </c>
      <c r="T113" s="22">
        <f t="shared" ca="1" si="253"/>
        <v>17.630279675251685</v>
      </c>
      <c r="U113" s="22">
        <f t="shared" ca="1" si="254"/>
        <v>60.699949821369493</v>
      </c>
      <c r="V113" s="22">
        <f t="shared" ca="1" si="255"/>
        <v>14.693733044380089</v>
      </c>
      <c r="X113" s="25">
        <f t="shared" ca="1" si="257"/>
        <v>0.36711070487557368</v>
      </c>
      <c r="Y113" s="25">
        <f t="shared" ca="1" si="258"/>
        <v>-5.0884434174648149E-2</v>
      </c>
      <c r="Z113" s="25">
        <f t="shared" ca="1" si="259"/>
        <v>0.84688691963388363</v>
      </c>
      <c r="AA113" s="25">
        <f t="shared" ca="1" si="260"/>
        <v>1.3740436334068296</v>
      </c>
      <c r="AB113" s="25">
        <f t="shared" ca="1" si="261"/>
        <v>1.2440654904443127</v>
      </c>
      <c r="AC113" s="25">
        <f t="shared" si="262"/>
        <v>1.5668108475903164</v>
      </c>
      <c r="AE113" s="25">
        <f t="shared" ca="1" si="263"/>
        <v>4.6585981746204208</v>
      </c>
      <c r="AF113" s="25">
        <f t="shared" ca="1" si="264"/>
        <v>-0.24110770407699267</v>
      </c>
      <c r="AG113" s="25">
        <f t="shared" ca="1" si="265"/>
        <v>1.189010285826031</v>
      </c>
      <c r="AH113" s="25">
        <f t="shared" ca="1" si="266"/>
        <v>1.3740436334068296</v>
      </c>
      <c r="AI113" s="25">
        <f t="shared" ca="1" si="267"/>
        <v>1.2440654904443127</v>
      </c>
      <c r="AJ113" s="25">
        <f t="shared" si="268"/>
        <v>1.5668108475903164</v>
      </c>
    </row>
    <row r="114" spans="1:36" x14ac:dyDescent="0.15">
      <c r="A114" s="21">
        <f t="shared" si="65"/>
        <v>45199</v>
      </c>
      <c r="B114" s="24">
        <f t="shared" ca="1" si="228"/>
        <v>21737.741816167571</v>
      </c>
      <c r="C114" s="24">
        <f t="shared" ca="1" si="243"/>
        <v>54574.078810849962</v>
      </c>
      <c r="D114" s="24">
        <f t="shared" ca="1" si="244"/>
        <v>188604.74039398163</v>
      </c>
      <c r="E114" s="24">
        <f t="shared" ca="1" si="245"/>
        <v>264916.56102099916</v>
      </c>
      <c r="F114" s="24">
        <f t="shared" ca="1" si="241"/>
        <v>45630.041538015583</v>
      </c>
      <c r="G114" s="24">
        <f t="shared" ca="1" si="246"/>
        <v>310546.60255901475</v>
      </c>
      <c r="H114" s="24">
        <v>321827.93280335772</v>
      </c>
      <c r="I114" s="49">
        <f t="shared" ca="1" si="247"/>
        <v>-3.5053918863021893</v>
      </c>
      <c r="K114" s="22">
        <f ca="1">INDEX(Projeçao!$B$2:$E$50,MATCH(Saídas!$A114,Projeçao!$A$2:$A$50,0),MATCH(Saídas!K$2,Projeçao!$B$2:$E$2,0))</f>
        <v>0.87032580279307137</v>
      </c>
      <c r="L114" s="22">
        <f ca="1">INDEX(Projeçao!$K$2:$N$50,MATCH(Saídas!$A114,Projeçao!$A$2:$A$50,0),MATCH(Saídas!L$2,Projeçao!$K$2:$N$2,0))</f>
        <v>0.20398961413558669</v>
      </c>
      <c r="M114" s="22">
        <f ca="1">INDEX(Projeçao!$T$2:$W$50,MATCH(Saídas!$A114,Projeçao!$A$2:$A$50,0),MATCH(Saídas!M$2,Projeçao!$T$2:$W$2,0))</f>
        <v>0.5824183409980711</v>
      </c>
      <c r="N114" s="22">
        <f t="shared" ca="1" si="248"/>
        <v>0.52775235665776243</v>
      </c>
      <c r="O114" s="22">
        <f t="shared" ca="1" si="249"/>
        <v>0.52556438787152437</v>
      </c>
      <c r="P114" s="22">
        <f t="shared" ca="1" si="250"/>
        <v>0.52743086236521908</v>
      </c>
      <c r="Q114" s="50">
        <f t="shared" si="251"/>
        <v>0.4486425212145706</v>
      </c>
      <c r="S114" s="22">
        <f t="shared" ca="1" si="252"/>
        <v>6.9998324364333158</v>
      </c>
      <c r="T114" s="22">
        <f t="shared" ca="1" si="253"/>
        <v>17.573555260672663</v>
      </c>
      <c r="U114" s="22">
        <f t="shared" ca="1" si="254"/>
        <v>60.733152074378303</v>
      </c>
      <c r="V114" s="22">
        <f t="shared" ca="1" si="255"/>
        <v>14.693460228515709</v>
      </c>
      <c r="X114" s="25">
        <f t="shared" ca="1" si="257"/>
        <v>0.28056814730698604</v>
      </c>
      <c r="Y114" s="25">
        <f t="shared" ca="1" si="258"/>
        <v>7.6644969338168584E-2</v>
      </c>
      <c r="Z114" s="25">
        <f t="shared" ca="1" si="259"/>
        <v>1.2639591468844336</v>
      </c>
      <c r="AA114" s="25">
        <f t="shared" ca="1" si="260"/>
        <v>1.6211722635296022</v>
      </c>
      <c r="AB114" s="25">
        <f t="shared" ca="1" si="261"/>
        <v>1.568954580570181</v>
      </c>
      <c r="AC114" s="25">
        <f t="shared" si="262"/>
        <v>1.6307727516679638</v>
      </c>
      <c r="AE114" s="25">
        <f t="shared" ca="1" si="263"/>
        <v>3.5000951628096688</v>
      </c>
      <c r="AF114" s="25">
        <f t="shared" ca="1" si="264"/>
        <v>0.36567274677259398</v>
      </c>
      <c r="AG114" s="25">
        <f t="shared" ca="1" si="265"/>
        <v>1.7796226965364426</v>
      </c>
      <c r="AH114" s="25">
        <f t="shared" ca="1" si="266"/>
        <v>1.6211722635296022</v>
      </c>
      <c r="AI114" s="25">
        <f t="shared" ca="1" si="267"/>
        <v>1.568954580570181</v>
      </c>
      <c r="AJ114" s="25">
        <f t="shared" si="268"/>
        <v>1.6307727516679638</v>
      </c>
    </row>
    <row r="115" spans="1:36" x14ac:dyDescent="0.15">
      <c r="A115" s="21">
        <f t="shared" si="65"/>
        <v>45291</v>
      </c>
      <c r="B115" s="24">
        <f t="shared" ca="1" si="228"/>
        <v>21926.240984909651</v>
      </c>
      <c r="C115" s="24">
        <f t="shared" ca="1" si="243"/>
        <v>54683.776223827168</v>
      </c>
      <c r="D115" s="24">
        <f t="shared" ca="1" si="244"/>
        <v>189703.19809301404</v>
      </c>
      <c r="E115" s="24">
        <f t="shared" ca="1" si="245"/>
        <v>266313.21530175087</v>
      </c>
      <c r="F115" s="24">
        <f t="shared" ca="1" si="241"/>
        <v>45870.206202923691</v>
      </c>
      <c r="G115" s="24">
        <f t="shared" ca="1" si="246"/>
        <v>312183.42150467454</v>
      </c>
      <c r="H115" s="24">
        <v>323363.68909830844</v>
      </c>
      <c r="I115" s="49">
        <f t="shared" ca="1" si="247"/>
        <v>-3.4574901173381023</v>
      </c>
      <c r="K115" s="22">
        <f ca="1">INDEX(Projeçao!$B$2:$E$50,MATCH(Saídas!$A115,Projeçao!$A$2:$A$50,0),MATCH(Saídas!K$2,Projeçao!$B$2:$E$2,0))</f>
        <v>0.86715156678272343</v>
      </c>
      <c r="L115" s="22">
        <f ca="1">INDEX(Projeçao!$K$2:$N$50,MATCH(Saídas!$A115,Projeçao!$A$2:$A$50,0),MATCH(Saídas!L$2,Projeçao!$K$2:$N$2,0))</f>
        <v>0.20100643999399939</v>
      </c>
      <c r="M115" s="22">
        <f ca="1">INDEX(Projeçao!$T$2:$W$50,MATCH(Saídas!$A115,Projeçao!$A$2:$A$50,0),MATCH(Saídas!M$2,Projeçao!$T$2:$W$2,0))</f>
        <v>0.58241256117837759</v>
      </c>
      <c r="N115" s="22">
        <f t="shared" ca="1" si="248"/>
        <v>0.52720534924994844</v>
      </c>
      <c r="O115" s="22">
        <f t="shared" ca="1" si="249"/>
        <v>0.52633014744907225</v>
      </c>
      <c r="P115" s="22">
        <f t="shared" ca="1" si="250"/>
        <v>0.52707675182139813</v>
      </c>
      <c r="Q115" s="50">
        <f t="shared" si="251"/>
        <v>0.47719794909446556</v>
      </c>
      <c r="S115" s="22">
        <f t="shared" ca="1" si="252"/>
        <v>7.023512292622283</v>
      </c>
      <c r="T115" s="22">
        <f t="shared" ca="1" si="253"/>
        <v>17.516553556963419</v>
      </c>
      <c r="U115" s="22">
        <f t="shared" ca="1" si="254"/>
        <v>60.766583048732933</v>
      </c>
      <c r="V115" s="22">
        <f t="shared" ca="1" si="255"/>
        <v>14.693351101681371</v>
      </c>
      <c r="X115" s="25">
        <f t="shared" ca="1" si="257"/>
        <v>0.27620622642127962</v>
      </c>
      <c r="Y115" s="25">
        <f t="shared" ca="1" si="258"/>
        <v>0.1210241008112351</v>
      </c>
      <c r="Z115" s="25">
        <f t="shared" ca="1" si="259"/>
        <v>1.4917892739544896</v>
      </c>
      <c r="AA115" s="25">
        <f t="shared" ca="1" si="260"/>
        <v>1.8890196011870142</v>
      </c>
      <c r="AB115" s="25">
        <f t="shared" ca="1" si="261"/>
        <v>1.8680917044955558</v>
      </c>
      <c r="AC115" s="25">
        <f t="shared" si="262"/>
        <v>1.691939978307988</v>
      </c>
      <c r="AE115" s="25">
        <f t="shared" ca="1" si="263"/>
        <v>3.4226363205372978</v>
      </c>
      <c r="AF115" s="25">
        <f t="shared" ca="1" si="264"/>
        <v>0.57899393963749546</v>
      </c>
      <c r="AG115" s="25">
        <f t="shared" ca="1" si="265"/>
        <v>2.1002971557989802</v>
      </c>
      <c r="AH115" s="25">
        <f t="shared" ca="1" si="266"/>
        <v>1.8890196011870142</v>
      </c>
      <c r="AI115" s="25">
        <f t="shared" ca="1" si="267"/>
        <v>1.8680917044955558</v>
      </c>
      <c r="AJ115" s="25">
        <f t="shared" si="268"/>
        <v>1.691939978307988</v>
      </c>
    </row>
    <row r="116" spans="1:36" x14ac:dyDescent="0.15">
      <c r="A116" s="21">
        <f t="shared" si="65"/>
        <v>45382</v>
      </c>
      <c r="B116" s="51">
        <f t="shared" ref="B116:F127" ca="1" si="269">B115/$G115*$G116</f>
        <v>22076.696858534273</v>
      </c>
      <c r="C116" s="51">
        <f t="shared" ca="1" si="269"/>
        <v>55059.011328216999</v>
      </c>
      <c r="D116" s="51">
        <f t="shared" ca="1" si="269"/>
        <v>191004.92420366441</v>
      </c>
      <c r="E116" s="51">
        <f t="shared" ca="1" si="269"/>
        <v>268140.6323904157</v>
      </c>
      <c r="F116" s="51">
        <f t="shared" ca="1" si="269"/>
        <v>46184.963390548881</v>
      </c>
      <c r="G116" s="51">
        <f ca="1">G115*(G115/G114*0.6+H115/H114*0.4)-0.05*(G115-H115)</f>
        <v>314325.59578096453</v>
      </c>
      <c r="H116" s="51">
        <v>324899.44539325929</v>
      </c>
      <c r="I116" s="52">
        <f t="shared" ca="1" si="247"/>
        <v>-3.2544991264900847</v>
      </c>
      <c r="K116" s="53">
        <f t="shared" ref="K116:K127" ca="1" si="270">100*(B116/B115-1)</f>
        <v>0.68619091493233864</v>
      </c>
      <c r="L116" s="53">
        <f t="shared" ref="L116:L127" ca="1" si="271">100*(C116/C115-1)</f>
        <v>0.68619091493233864</v>
      </c>
      <c r="M116" s="53">
        <f t="shared" ref="M116:M127" ca="1" si="272">100*(D116/D115-1)</f>
        <v>0.68619091493233864</v>
      </c>
      <c r="N116" s="53">
        <f t="shared" ca="1" si="248"/>
        <v>0.68619091493233864</v>
      </c>
      <c r="O116" s="53">
        <f t="shared" ca="1" si="249"/>
        <v>0.68619091493233864</v>
      </c>
      <c r="P116" s="53">
        <f t="shared" ca="1" si="250"/>
        <v>0.68619091493233864</v>
      </c>
      <c r="Q116" s="53">
        <f t="shared" si="251"/>
        <v>0.47493158530980129</v>
      </c>
      <c r="S116" s="22">
        <f t="shared" ref="S116:S119" ca="1" si="273">B116/$G116/(SUM($B116:$D116,$F116)/$G116)*100</f>
        <v>7.0235122926222822</v>
      </c>
      <c r="T116" s="22">
        <f t="shared" ref="T116:T119" ca="1" si="274">C116/$G116/(SUM($B116:$D116,$F116)/$G116)*100</f>
        <v>17.516553556963416</v>
      </c>
      <c r="U116" s="22">
        <f t="shared" ref="U116:U119" ca="1" si="275">D116/$G116/(SUM($B116:$D116,$F116)/$G116)*100</f>
        <v>60.766583048732926</v>
      </c>
      <c r="V116" s="22">
        <f t="shared" ref="V116:V119" ca="1" si="276">F116/$G116/(SUM($B116:$D116,$F116)/$G116)*100</f>
        <v>14.693351101681367</v>
      </c>
      <c r="W116" s="2">
        <f t="shared" ref="W116" si="277">YEAR(A116)</f>
        <v>2024</v>
      </c>
      <c r="X116" s="25">
        <f t="shared" ref="X116:X123" ca="1" si="278">(SUM(B113:B116)-SUM(B109:B112))/(SUM($E113:$E116)-SUM($E109:$E112))*$AA116</f>
        <v>0.28621349970032006</v>
      </c>
      <c r="Y116" s="25">
        <f t="shared" ref="Y116:Y123" ca="1" si="279">(SUM(C113:C116)-SUM(C109:C112))/(SUM($E113:$E116)-SUM($E109:$E112))*$AA116</f>
        <v>0.18393582061977268</v>
      </c>
      <c r="Z116" s="25">
        <f t="shared" ref="Z116:Z123" ca="1" si="280">(SUM(D113:D116)-SUM(D109:D112))/(SUM($E113:$E116)-SUM($E109:$E112))*$AA116</f>
        <v>1.6416056610757361</v>
      </c>
      <c r="AA116" s="25">
        <f t="shared" ref="AA116:AA123" ca="1" si="281">100*(SUM(E113:E116)/SUM(E109:E112)-1)</f>
        <v>2.1117549813958414</v>
      </c>
      <c r="AB116" s="25">
        <f t="shared" ref="AB116:AB123" ca="1" si="282">100*(SUM(G113:G116)/SUM(G109:G112)-1)</f>
        <v>2.1033943332111837</v>
      </c>
      <c r="AC116" s="25">
        <f t="shared" ref="AC116:AC123" si="283">100*(SUM(H113:H116)/SUM(H109:H112)-1)</f>
        <v>1.7503120856630083</v>
      </c>
      <c r="AE116" s="25">
        <f t="shared" ref="AE116:AE123" ca="1" si="284">(SUM(B113:B116)/SUM(B109:B112)-1)*100</f>
        <v>3.5336030677651342</v>
      </c>
      <c r="AF116" s="25">
        <f t="shared" ref="AF116:AF123" ca="1" si="285">(SUM(C113:C116)/SUM(C109:C112)-1)*100</f>
        <v>0.88285930895422027</v>
      </c>
      <c r="AG116" s="25">
        <f t="shared" ref="AG116:AG123" ca="1" si="286">(SUM(D113:D116)/SUM(D109:D112)-1)*100</f>
        <v>2.3099690288825414</v>
      </c>
      <c r="AH116" s="25">
        <f t="shared" ref="AH116:AH123" ca="1" si="287">(SUM(E113:E116)/SUM(E109:E112)-1)*100</f>
        <v>2.1117549813958414</v>
      </c>
      <c r="AI116" s="25">
        <f t="shared" ref="AI116:AI123" ca="1" si="288">(SUM(G113:G116)/SUM(G109:G112)-1)*100</f>
        <v>2.1033943332111837</v>
      </c>
      <c r="AJ116" s="25">
        <f t="shared" ref="AJ116:AJ123" si="289">(SUM(H113:H116)/SUM(H109:H112)-1)*100</f>
        <v>1.7503120856630083</v>
      </c>
    </row>
    <row r="117" spans="1:36" x14ac:dyDescent="0.15">
      <c r="A117" s="21">
        <f t="shared" si="65"/>
        <v>45473</v>
      </c>
      <c r="B117" s="51">
        <f t="shared" ca="1" si="269"/>
        <v>22246.662295346381</v>
      </c>
      <c r="C117" s="51">
        <f t="shared" ca="1" si="269"/>
        <v>55482.903044029808</v>
      </c>
      <c r="D117" s="51">
        <f t="shared" ca="1" si="269"/>
        <v>192475.44470696108</v>
      </c>
      <c r="E117" s="51">
        <f t="shared" ca="1" si="269"/>
        <v>270205.01004633732</v>
      </c>
      <c r="F117" s="51">
        <f t="shared" ca="1" si="269"/>
        <v>46540.535038206464</v>
      </c>
      <c r="G117" s="51">
        <f t="shared" ref="G117:G163" ca="1" si="290">G116*(G116/G115*0.6+H116/H115*0.4)-0.05*(G116-H116)</f>
        <v>316745.5450845437</v>
      </c>
      <c r="H117" s="51">
        <v>326435.20168821001</v>
      </c>
      <c r="I117" s="52">
        <f t="shared" ca="1" si="247"/>
        <v>-2.9683246639929606</v>
      </c>
      <c r="K117" s="53">
        <f t="shared" ca="1" si="270"/>
        <v>0.76988617410127524</v>
      </c>
      <c r="L117" s="53">
        <f t="shared" ca="1" si="271"/>
        <v>0.76988617410129745</v>
      </c>
      <c r="M117" s="53">
        <f t="shared" ca="1" si="272"/>
        <v>0.76988617410129745</v>
      </c>
      <c r="N117" s="53">
        <f t="shared" ca="1" si="248"/>
        <v>0.76988617410129745</v>
      </c>
      <c r="O117" s="53">
        <f t="shared" ca="1" si="249"/>
        <v>0.76988617410129745</v>
      </c>
      <c r="P117" s="53">
        <f t="shared" ca="1" si="250"/>
        <v>0.76988617410129745</v>
      </c>
      <c r="Q117" s="53">
        <f t="shared" si="251"/>
        <v>0.47268664712303288</v>
      </c>
      <c r="S117" s="22">
        <f t="shared" ca="1" si="273"/>
        <v>7.0235122926222822</v>
      </c>
      <c r="T117" s="22">
        <f t="shared" ca="1" si="274"/>
        <v>17.516553556963416</v>
      </c>
      <c r="U117" s="22">
        <f t="shared" ca="1" si="275"/>
        <v>60.766583048732926</v>
      </c>
      <c r="V117" s="22">
        <f t="shared" ca="1" si="276"/>
        <v>14.693351101681367</v>
      </c>
      <c r="X117" s="25">
        <f t="shared" ca="1" si="278"/>
        <v>0.27640692700667646</v>
      </c>
      <c r="Y117" s="25">
        <f t="shared" ca="1" si="279"/>
        <v>0.24572326734257233</v>
      </c>
      <c r="Z117" s="25">
        <f t="shared" ca="1" si="280"/>
        <v>1.7344295160322725</v>
      </c>
      <c r="AA117" s="25">
        <f t="shared" ca="1" si="281"/>
        <v>2.2565597103815449</v>
      </c>
      <c r="AB117" s="25">
        <f t="shared" ca="1" si="282"/>
        <v>2.2532382897256564</v>
      </c>
      <c r="AC117" s="25">
        <f t="shared" si="283"/>
        <v>1.805891567099227</v>
      </c>
      <c r="AE117" s="25">
        <f t="shared" ca="1" si="284"/>
        <v>3.3974962253697338</v>
      </c>
      <c r="AF117" s="25">
        <f t="shared" ca="1" si="285"/>
        <v>1.1831711495532415</v>
      </c>
      <c r="AG117" s="25">
        <f t="shared" ca="1" si="286"/>
        <v>2.4395530353354511</v>
      </c>
      <c r="AH117" s="25">
        <f t="shared" ca="1" si="287"/>
        <v>2.2565597103815449</v>
      </c>
      <c r="AI117" s="25">
        <f t="shared" ca="1" si="288"/>
        <v>2.2532382897256564</v>
      </c>
      <c r="AJ117" s="25">
        <f t="shared" si="289"/>
        <v>1.805891567099227</v>
      </c>
    </row>
    <row r="118" spans="1:36" x14ac:dyDescent="0.15">
      <c r="A118" s="21">
        <f t="shared" si="65"/>
        <v>45565</v>
      </c>
      <c r="B118" s="51">
        <f t="shared" ca="1" si="269"/>
        <v>22425.517193646741</v>
      </c>
      <c r="C118" s="51">
        <f t="shared" ca="1" si="269"/>
        <v>55928.964967818902</v>
      </c>
      <c r="D118" s="51">
        <f t="shared" ca="1" si="269"/>
        <v>194022.87576117279</v>
      </c>
      <c r="E118" s="51">
        <f t="shared" ca="1" si="269"/>
        <v>272377.35792263848</v>
      </c>
      <c r="F118" s="51">
        <f t="shared" ca="1" si="269"/>
        <v>46914.703646089896</v>
      </c>
      <c r="G118" s="51">
        <f t="shared" ca="1" si="290"/>
        <v>319292.0615687283</v>
      </c>
      <c r="H118" s="51">
        <v>328051.53053568839</v>
      </c>
      <c r="I118" s="52">
        <f t="shared" ca="1" si="247"/>
        <v>-2.6701503122562475</v>
      </c>
      <c r="K118" s="53">
        <f t="shared" ca="1" si="270"/>
        <v>0.80396284137316254</v>
      </c>
      <c r="L118" s="53">
        <f t="shared" ca="1" si="271"/>
        <v>0.80396284137316254</v>
      </c>
      <c r="M118" s="53">
        <f t="shared" ca="1" si="272"/>
        <v>0.80396284137316254</v>
      </c>
      <c r="N118" s="53">
        <f t="shared" ca="1" si="248"/>
        <v>0.80396284137316254</v>
      </c>
      <c r="O118" s="53">
        <f t="shared" ca="1" si="249"/>
        <v>0.80396284137316254</v>
      </c>
      <c r="P118" s="53">
        <f t="shared" ca="1" si="250"/>
        <v>0.80396284137316254</v>
      </c>
      <c r="Q118" s="53">
        <f t="shared" si="251"/>
        <v>0.495145388462781</v>
      </c>
      <c r="S118" s="22">
        <f t="shared" ca="1" si="273"/>
        <v>7.023512292622283</v>
      </c>
      <c r="T118" s="22">
        <f t="shared" ca="1" si="274"/>
        <v>17.516553556963419</v>
      </c>
      <c r="U118" s="22">
        <f t="shared" ca="1" si="275"/>
        <v>60.766583048732933</v>
      </c>
      <c r="V118" s="22">
        <f t="shared" ca="1" si="276"/>
        <v>14.693351101681371</v>
      </c>
      <c r="X118" s="25">
        <f t="shared" ca="1" si="278"/>
        <v>0.27003762544164611</v>
      </c>
      <c r="Y118" s="25">
        <f t="shared" ca="1" si="279"/>
        <v>0.33391703979031029</v>
      </c>
      <c r="Z118" s="25">
        <f t="shared" ca="1" si="280"/>
        <v>1.8375025146307848</v>
      </c>
      <c r="AA118" s="25">
        <f t="shared" ca="1" si="281"/>
        <v>2.4414571798627493</v>
      </c>
      <c r="AB118" s="25">
        <f t="shared" ca="1" si="282"/>
        <v>2.440165830525709</v>
      </c>
      <c r="AC118" s="25">
        <f t="shared" si="283"/>
        <v>1.8583165118950307</v>
      </c>
      <c r="AE118" s="25">
        <f t="shared" ca="1" si="284"/>
        <v>3.3075713373144078</v>
      </c>
      <c r="AF118" s="25">
        <f t="shared" ca="1" si="285"/>
        <v>1.6130451411886737</v>
      </c>
      <c r="AG118" s="25">
        <f t="shared" ca="1" si="286"/>
        <v>2.583129652148064</v>
      </c>
      <c r="AH118" s="25">
        <f t="shared" ca="1" si="287"/>
        <v>2.4414571798627493</v>
      </c>
      <c r="AI118" s="25">
        <f t="shared" ca="1" si="288"/>
        <v>2.440165830525709</v>
      </c>
      <c r="AJ118" s="25">
        <f t="shared" si="289"/>
        <v>1.8583165118950307</v>
      </c>
    </row>
    <row r="119" spans="1:36" x14ac:dyDescent="0.15">
      <c r="A119" s="21">
        <f t="shared" si="65"/>
        <v>45657</v>
      </c>
      <c r="B119" s="51">
        <f t="shared" ca="1" si="269"/>
        <v>22608.869573452794</v>
      </c>
      <c r="C119" s="51">
        <f t="shared" ca="1" si="269"/>
        <v>56386.243555348832</v>
      </c>
      <c r="D119" s="51">
        <f t="shared" ca="1" si="269"/>
        <v>195609.21848408235</v>
      </c>
      <c r="E119" s="51">
        <f t="shared" ca="1" si="269"/>
        <v>274604.33161288401</v>
      </c>
      <c r="F119" s="51">
        <f t="shared" ca="1" si="269"/>
        <v>47298.281089906588</v>
      </c>
      <c r="G119" s="51">
        <f t="shared" ca="1" si="290"/>
        <v>321902.61270279053</v>
      </c>
      <c r="H119" s="51">
        <v>329748.43193569442</v>
      </c>
      <c r="I119" s="52">
        <f t="shared" ca="1" si="247"/>
        <v>-2.3793348119495961</v>
      </c>
      <c r="K119" s="53">
        <f t="shared" ca="1" si="270"/>
        <v>0.81760602541642857</v>
      </c>
      <c r="L119" s="53">
        <f t="shared" ca="1" si="271"/>
        <v>0.81760602541642857</v>
      </c>
      <c r="M119" s="53">
        <f t="shared" ca="1" si="272"/>
        <v>0.81760602541640637</v>
      </c>
      <c r="N119" s="53">
        <f t="shared" ca="1" si="248"/>
        <v>0.81760602541640637</v>
      </c>
      <c r="O119" s="53">
        <f t="shared" ca="1" si="249"/>
        <v>0.81760602541642857</v>
      </c>
      <c r="P119" s="53">
        <f t="shared" ca="1" si="250"/>
        <v>0.81760602541642857</v>
      </c>
      <c r="Q119" s="53">
        <f t="shared" si="251"/>
        <v>0.51726672246736882</v>
      </c>
      <c r="S119" s="22">
        <f t="shared" ca="1" si="273"/>
        <v>7.023512292622283</v>
      </c>
      <c r="T119" s="22">
        <f t="shared" ca="1" si="274"/>
        <v>17.516553556963419</v>
      </c>
      <c r="U119" s="22">
        <f t="shared" ca="1" si="275"/>
        <v>60.766583048732933</v>
      </c>
      <c r="V119" s="22">
        <f t="shared" ca="1" si="276"/>
        <v>14.693351101681371</v>
      </c>
      <c r="X119" s="25">
        <f t="shared" ca="1" si="278"/>
        <v>0.2632380066937306</v>
      </c>
      <c r="Y119" s="25">
        <f t="shared" ca="1" si="279"/>
        <v>0.45216476358248031</v>
      </c>
      <c r="Z119" s="25">
        <f t="shared" ca="1" si="280"/>
        <v>1.9741499557222011</v>
      </c>
      <c r="AA119" s="25">
        <f t="shared" ca="1" si="281"/>
        <v>2.6895527259984231</v>
      </c>
      <c r="AB119" s="25">
        <f t="shared" ca="1" si="282"/>
        <v>2.6890874832461664</v>
      </c>
      <c r="AC119" s="25">
        <f t="shared" si="283"/>
        <v>1.9072362769190221</v>
      </c>
      <c r="AE119" s="25">
        <f t="shared" ca="1" si="284"/>
        <v>3.2135692500345092</v>
      </c>
      <c r="AF119" s="25">
        <f t="shared" ca="1" si="285"/>
        <v>2.1913864153212392</v>
      </c>
      <c r="AG119" s="25">
        <f t="shared" ca="1" si="286"/>
        <v>2.7736635531213638</v>
      </c>
      <c r="AH119" s="25">
        <f t="shared" ca="1" si="287"/>
        <v>2.6895527259984231</v>
      </c>
      <c r="AI119" s="25">
        <f t="shared" ca="1" si="288"/>
        <v>2.6890874832461664</v>
      </c>
      <c r="AJ119" s="25">
        <f t="shared" si="289"/>
        <v>1.9072362769190221</v>
      </c>
    </row>
    <row r="120" spans="1:36" x14ac:dyDescent="0.15">
      <c r="A120" s="21">
        <f t="shared" si="65"/>
        <v>45747</v>
      </c>
      <c r="B120" s="51">
        <f t="shared" ca="1" si="269"/>
        <v>22794.112328765252</v>
      </c>
      <c r="C120" s="51">
        <f t="shared" ca="1" si="269"/>
        <v>56848.23671621774</v>
      </c>
      <c r="D120" s="51">
        <f t="shared" ca="1" si="269"/>
        <v>197211.91650835931</v>
      </c>
      <c r="E120" s="51">
        <f t="shared" ca="1" si="269"/>
        <v>276854.26555334235</v>
      </c>
      <c r="F120" s="51">
        <f t="shared" ca="1" si="269"/>
        <v>47685.813243257828</v>
      </c>
      <c r="G120" s="51">
        <f t="shared" ca="1" si="290"/>
        <v>324540.07879660011</v>
      </c>
      <c r="H120" s="51">
        <v>331445.33333570033</v>
      </c>
      <c r="I120" s="52">
        <f t="shared" ca="1" si="247"/>
        <v>-2.0833766068162785</v>
      </c>
      <c r="K120" s="53">
        <f t="shared" ca="1" si="270"/>
        <v>0.81933665330162775</v>
      </c>
      <c r="L120" s="53">
        <f t="shared" ca="1" si="271"/>
        <v>0.81933665330164995</v>
      </c>
      <c r="M120" s="53">
        <f t="shared" ca="1" si="272"/>
        <v>0.81933665330162775</v>
      </c>
      <c r="N120" s="53">
        <f t="shared" ca="1" si="248"/>
        <v>0.81933665330164995</v>
      </c>
      <c r="O120" s="53">
        <f t="shared" ca="1" si="249"/>
        <v>0.81933665330162775</v>
      </c>
      <c r="P120" s="53">
        <f t="shared" ca="1" si="250"/>
        <v>0.81933665330162775</v>
      </c>
      <c r="Q120" s="53">
        <f t="shared" si="251"/>
        <v>0.514604842863009</v>
      </c>
      <c r="S120" s="22">
        <f t="shared" ref="S120:S127" ca="1" si="291">B120/$G120/(SUM($B120:$D120,$F120)/$G120)*100</f>
        <v>7.023512292622283</v>
      </c>
      <c r="T120" s="22">
        <f t="shared" ref="T120:T127" ca="1" si="292">C120/$G120/(SUM($B120:$D120,$F120)/$G120)*100</f>
        <v>17.516553556963419</v>
      </c>
      <c r="U120" s="22">
        <f t="shared" ref="U120:U127" ca="1" si="293">D120/$G120/(SUM($B120:$D120,$F120)/$G120)*100</f>
        <v>60.766583048732933</v>
      </c>
      <c r="V120" s="22">
        <f t="shared" ref="V120:V127" ca="1" si="294">F120/$G120/(SUM($B120:$D120,$F120)/$G120)*100</f>
        <v>14.693351101681371</v>
      </c>
      <c r="W120" s="2">
        <f t="shared" ref="W120" si="295">YEAR(A120)</f>
        <v>2025</v>
      </c>
      <c r="X120" s="25">
        <f t="shared" ca="1" si="278"/>
        <v>0.26195377497315075</v>
      </c>
      <c r="Y120" s="25">
        <f t="shared" ca="1" si="279"/>
        <v>0.55193554164307179</v>
      </c>
      <c r="Z120" s="25">
        <f t="shared" ca="1" si="280"/>
        <v>2.1162894560368413</v>
      </c>
      <c r="AA120" s="25">
        <f t="shared" ca="1" si="281"/>
        <v>2.9301787726530693</v>
      </c>
      <c r="AB120" s="25">
        <f t="shared" ca="1" si="282"/>
        <v>2.9300316955168437</v>
      </c>
      <c r="AC120" s="25">
        <f t="shared" si="283"/>
        <v>1.952674542700561</v>
      </c>
      <c r="AE120" s="25">
        <f t="shared" ca="1" si="284"/>
        <v>3.1896771179848571</v>
      </c>
      <c r="AF120" s="25">
        <f t="shared" ca="1" si="285"/>
        <v>2.6814635946782905</v>
      </c>
      <c r="AG120" s="25">
        <f t="shared" ca="1" si="286"/>
        <v>2.9721462191603543</v>
      </c>
      <c r="AH120" s="25">
        <f t="shared" ca="1" si="287"/>
        <v>2.9301787726530693</v>
      </c>
      <c r="AI120" s="25">
        <f t="shared" ca="1" si="288"/>
        <v>2.9300316955168437</v>
      </c>
      <c r="AJ120" s="25">
        <f t="shared" si="289"/>
        <v>1.952674542700561</v>
      </c>
    </row>
    <row r="121" spans="1:36" x14ac:dyDescent="0.15">
      <c r="A121" s="21">
        <f t="shared" si="65"/>
        <v>45838</v>
      </c>
      <c r="B121" s="51">
        <f t="shared" ca="1" si="269"/>
        <v>22977.338051469949</v>
      </c>
      <c r="C121" s="51">
        <f t="shared" ca="1" si="269"/>
        <v>57305.199422489568</v>
      </c>
      <c r="D121" s="51">
        <f t="shared" ca="1" si="269"/>
        <v>198797.16340927163</v>
      </c>
      <c r="E121" s="51">
        <f t="shared" ca="1" si="269"/>
        <v>279079.70088323118</v>
      </c>
      <c r="F121" s="51">
        <f t="shared" ca="1" si="269"/>
        <v>48069.125717472103</v>
      </c>
      <c r="G121" s="51">
        <f t="shared" ca="1" si="290"/>
        <v>327148.82660070324</v>
      </c>
      <c r="H121" s="51">
        <v>333142.2347357063</v>
      </c>
      <c r="I121" s="52">
        <f t="shared" ca="1" si="247"/>
        <v>-1.7990538304931025</v>
      </c>
      <c r="K121" s="53">
        <f t="shared" ca="1" si="270"/>
        <v>0.80382916457542031</v>
      </c>
      <c r="L121" s="53">
        <f t="shared" ca="1" si="271"/>
        <v>0.80382916457542031</v>
      </c>
      <c r="M121" s="53">
        <f t="shared" ca="1" si="272"/>
        <v>0.80382916457542031</v>
      </c>
      <c r="N121" s="53">
        <f t="shared" ca="1" si="248"/>
        <v>0.80382916457542031</v>
      </c>
      <c r="O121" s="53">
        <f t="shared" ca="1" si="249"/>
        <v>0.80382916457542031</v>
      </c>
      <c r="P121" s="53">
        <f t="shared" ca="1" si="250"/>
        <v>0.80382916457542031</v>
      </c>
      <c r="Q121" s="53">
        <f t="shared" si="251"/>
        <v>0.51197021932039011</v>
      </c>
      <c r="S121" s="22">
        <f t="shared" ca="1" si="291"/>
        <v>7.023512292622283</v>
      </c>
      <c r="T121" s="22">
        <f t="shared" ca="1" si="292"/>
        <v>17.516553556963419</v>
      </c>
      <c r="U121" s="22">
        <f t="shared" ca="1" si="293"/>
        <v>60.766583048732933</v>
      </c>
      <c r="V121" s="22">
        <f t="shared" ca="1" si="294"/>
        <v>14.693351101681371</v>
      </c>
      <c r="X121" s="25">
        <f t="shared" ca="1" si="278"/>
        <v>0.26351532981617964</v>
      </c>
      <c r="Y121" s="25">
        <f t="shared" ca="1" si="279"/>
        <v>0.62350678016569372</v>
      </c>
      <c r="Z121" s="25">
        <f t="shared" ca="1" si="280"/>
        <v>2.2301248090508263</v>
      </c>
      <c r="AA121" s="25">
        <f t="shared" ca="1" si="281"/>
        <v>3.1171469190327095</v>
      </c>
      <c r="AB121" s="25">
        <f t="shared" ca="1" si="282"/>
        <v>3.1171142468855217</v>
      </c>
      <c r="AC121" s="25">
        <f t="shared" si="283"/>
        <v>1.9946577387851105</v>
      </c>
      <c r="AE121" s="25">
        <f t="shared" ca="1" si="284"/>
        <v>3.2032962125617015</v>
      </c>
      <c r="AF121" s="25">
        <f t="shared" ca="1" si="285"/>
        <v>3.0340683581904671</v>
      </c>
      <c r="AG121" s="25">
        <f t="shared" ca="1" si="286"/>
        <v>3.1311673510387328</v>
      </c>
      <c r="AH121" s="25">
        <f t="shared" ca="1" si="287"/>
        <v>3.1171469190327095</v>
      </c>
      <c r="AI121" s="25">
        <f t="shared" ca="1" si="288"/>
        <v>3.1171142468855217</v>
      </c>
      <c r="AJ121" s="25">
        <f t="shared" si="289"/>
        <v>1.9946577387851105</v>
      </c>
    </row>
    <row r="122" spans="1:36" x14ac:dyDescent="0.15">
      <c r="A122" s="21">
        <f t="shared" si="65"/>
        <v>45930</v>
      </c>
      <c r="B122" s="51">
        <f t="shared" ca="1" si="269"/>
        <v>23156.259417232319</v>
      </c>
      <c r="C122" s="51">
        <f t="shared" ca="1" si="269"/>
        <v>57751.427115314102</v>
      </c>
      <c r="D122" s="51">
        <f t="shared" ca="1" si="269"/>
        <v>200345.16953196508</v>
      </c>
      <c r="E122" s="51">
        <f t="shared" ca="1" si="269"/>
        <v>281252.85606451152</v>
      </c>
      <c r="F122" s="51">
        <f t="shared" ca="1" si="269"/>
        <v>48443.433376832283</v>
      </c>
      <c r="G122" s="51">
        <f t="shared" ca="1" si="290"/>
        <v>329696.28944134375</v>
      </c>
      <c r="H122" s="51">
        <v>334899.48016422288</v>
      </c>
      <c r="I122" s="52">
        <f t="shared" ca="1" si="247"/>
        <v>-1.5536574497899136</v>
      </c>
      <c r="K122" s="53">
        <f t="shared" ca="1" si="270"/>
        <v>0.7786862227538327</v>
      </c>
      <c r="L122" s="53">
        <f t="shared" ca="1" si="271"/>
        <v>0.7786862227538327</v>
      </c>
      <c r="M122" s="53">
        <f t="shared" ca="1" si="272"/>
        <v>0.77868622275385491</v>
      </c>
      <c r="N122" s="53">
        <f t="shared" ca="1" si="248"/>
        <v>0.7786862227538327</v>
      </c>
      <c r="O122" s="53">
        <f t="shared" ca="1" si="249"/>
        <v>0.7786862227538327</v>
      </c>
      <c r="P122" s="53">
        <f t="shared" ca="1" si="250"/>
        <v>0.7786862227538327</v>
      </c>
      <c r="Q122" s="53">
        <f t="shared" si="251"/>
        <v>0.52747602834286589</v>
      </c>
      <c r="S122" s="22">
        <f t="shared" ca="1" si="291"/>
        <v>7.023512292622283</v>
      </c>
      <c r="T122" s="22">
        <f t="shared" ca="1" si="292"/>
        <v>17.516553556963419</v>
      </c>
      <c r="U122" s="22">
        <f t="shared" ca="1" si="293"/>
        <v>60.766583048732933</v>
      </c>
      <c r="V122" s="22">
        <f t="shared" ca="1" si="294"/>
        <v>14.693351101681371</v>
      </c>
      <c r="X122" s="25">
        <f t="shared" ca="1" si="278"/>
        <v>0.26567927771367988</v>
      </c>
      <c r="Y122" s="25">
        <f t="shared" ca="1" si="279"/>
        <v>0.66260086167080468</v>
      </c>
      <c r="Z122" s="25">
        <f t="shared" ca="1" si="280"/>
        <v>2.2986251352438321</v>
      </c>
      <c r="AA122" s="25">
        <f t="shared" ca="1" si="281"/>
        <v>3.2269052746283222</v>
      </c>
      <c r="AB122" s="25">
        <f t="shared" ca="1" si="282"/>
        <v>3.2269052746283</v>
      </c>
      <c r="AC122" s="25">
        <f t="shared" si="283"/>
        <v>2.0330543976668558</v>
      </c>
      <c r="AE122" s="25">
        <f t="shared" ca="1" si="284"/>
        <v>3.2269052746283222</v>
      </c>
      <c r="AF122" s="25">
        <f t="shared" ca="1" si="285"/>
        <v>3.2269052746283222</v>
      </c>
      <c r="AG122" s="25">
        <f t="shared" ca="1" si="286"/>
        <v>3.2269052746283</v>
      </c>
      <c r="AH122" s="25">
        <f t="shared" ca="1" si="287"/>
        <v>3.2269052746283222</v>
      </c>
      <c r="AI122" s="25">
        <f t="shared" ca="1" si="288"/>
        <v>3.2269052746283</v>
      </c>
      <c r="AJ122" s="25">
        <f t="shared" si="289"/>
        <v>2.0330543976668558</v>
      </c>
    </row>
    <row r="123" spans="1:36" x14ac:dyDescent="0.15">
      <c r="A123" s="21">
        <f t="shared" si="65"/>
        <v>46022</v>
      </c>
      <c r="B123" s="51">
        <f t="shared" ca="1" si="269"/>
        <v>23331.578002300808</v>
      </c>
      <c r="C123" s="51">
        <f t="shared" ca="1" si="269"/>
        <v>58188.669517254377</v>
      </c>
      <c r="D123" s="51">
        <f t="shared" ca="1" si="269"/>
        <v>201862.00482970368</v>
      </c>
      <c r="E123" s="51">
        <f t="shared" ca="1" si="269"/>
        <v>283382.25234925892</v>
      </c>
      <c r="F123" s="51">
        <f t="shared" ca="1" si="269"/>
        <v>48810.203935170626</v>
      </c>
      <c r="G123" s="51">
        <f t="shared" ca="1" si="290"/>
        <v>332192.45628442947</v>
      </c>
      <c r="H123" s="51">
        <v>336717.06962125027</v>
      </c>
      <c r="I123" s="52">
        <f t="shared" ca="1" si="247"/>
        <v>-1.3437433813231481</v>
      </c>
      <c r="K123" s="53">
        <f t="shared" ca="1" si="270"/>
        <v>0.75711099063791032</v>
      </c>
      <c r="L123" s="53">
        <f t="shared" ca="1" si="271"/>
        <v>0.75711099063788811</v>
      </c>
      <c r="M123" s="53">
        <f t="shared" ca="1" si="272"/>
        <v>0.75711099063788811</v>
      </c>
      <c r="N123" s="53">
        <f t="shared" ca="1" si="248"/>
        <v>0.75711099063788811</v>
      </c>
      <c r="O123" s="53">
        <f t="shared" ca="1" si="249"/>
        <v>0.75711099063788811</v>
      </c>
      <c r="P123" s="53">
        <f t="shared" ca="1" si="250"/>
        <v>0.75711099063788811</v>
      </c>
      <c r="Q123" s="53">
        <f t="shared" si="251"/>
        <v>0.54272686721881236</v>
      </c>
      <c r="S123" s="22">
        <f t="shared" ca="1" si="291"/>
        <v>7.023512292622283</v>
      </c>
      <c r="T123" s="22">
        <f t="shared" ca="1" si="292"/>
        <v>17.516553556963419</v>
      </c>
      <c r="U123" s="22">
        <f t="shared" ca="1" si="293"/>
        <v>60.766583048732933</v>
      </c>
      <c r="V123" s="22">
        <f t="shared" ca="1" si="294"/>
        <v>14.693351101681371</v>
      </c>
      <c r="X123" s="25">
        <f t="shared" ca="1" si="278"/>
        <v>0.26734256047117233</v>
      </c>
      <c r="Y123" s="25">
        <f t="shared" ca="1" si="279"/>
        <v>0.66674906847790105</v>
      </c>
      <c r="Z123" s="25">
        <f t="shared" ca="1" si="280"/>
        <v>2.313015657479109</v>
      </c>
      <c r="AA123" s="25">
        <f t="shared" ca="1" si="281"/>
        <v>3.2471072864281636</v>
      </c>
      <c r="AB123" s="25">
        <f t="shared" ca="1" si="282"/>
        <v>3.247107286428208</v>
      </c>
      <c r="AC123" s="25">
        <f t="shared" si="283"/>
        <v>2.0677406361805373</v>
      </c>
      <c r="AE123" s="25">
        <f t="shared" ca="1" si="284"/>
        <v>3.247107286428208</v>
      </c>
      <c r="AF123" s="25">
        <f t="shared" ca="1" si="285"/>
        <v>3.2471072864281858</v>
      </c>
      <c r="AG123" s="25">
        <f t="shared" ca="1" si="286"/>
        <v>3.2471072864281858</v>
      </c>
      <c r="AH123" s="25">
        <f t="shared" ca="1" si="287"/>
        <v>3.2471072864281636</v>
      </c>
      <c r="AI123" s="25">
        <f t="shared" ca="1" si="288"/>
        <v>3.247107286428208</v>
      </c>
      <c r="AJ123" s="25">
        <f t="shared" si="289"/>
        <v>2.0677406361805373</v>
      </c>
    </row>
    <row r="124" spans="1:36" x14ac:dyDescent="0.15">
      <c r="A124" s="21">
        <f t="shared" si="65"/>
        <v>46112</v>
      </c>
      <c r="B124" s="51">
        <f t="shared" ca="1" si="269"/>
        <v>23504.105602748714</v>
      </c>
      <c r="C124" s="51">
        <f t="shared" ca="1" si="269"/>
        <v>58618.951237765446</v>
      </c>
      <c r="D124" s="51">
        <f t="shared" ca="1" si="269"/>
        <v>203354.6928644109</v>
      </c>
      <c r="E124" s="51">
        <f t="shared" ca="1" si="269"/>
        <v>285477.74970492511</v>
      </c>
      <c r="F124" s="51">
        <f t="shared" ca="1" si="269"/>
        <v>49171.135688757007</v>
      </c>
      <c r="G124" s="51">
        <f t="shared" ca="1" si="290"/>
        <v>334648.88539368205</v>
      </c>
      <c r="H124" s="51">
        <v>338534.65907827765</v>
      </c>
      <c r="I124" s="52">
        <f t="shared" ca="1" si="247"/>
        <v>-1.147821524441639</v>
      </c>
      <c r="K124" s="53">
        <f t="shared" ca="1" si="270"/>
        <v>0.73945963033830164</v>
      </c>
      <c r="L124" s="53">
        <f t="shared" ca="1" si="271"/>
        <v>0.73945963033830164</v>
      </c>
      <c r="M124" s="53">
        <f t="shared" ca="1" si="272"/>
        <v>0.73945963033830164</v>
      </c>
      <c r="N124" s="53">
        <f t="shared" ca="1" si="248"/>
        <v>0.73945963033830164</v>
      </c>
      <c r="O124" s="53">
        <f t="shared" ca="1" si="249"/>
        <v>0.73945963033830164</v>
      </c>
      <c r="P124" s="53">
        <f t="shared" ca="1" si="250"/>
        <v>0.73945963033830164</v>
      </c>
      <c r="Q124" s="53">
        <f t="shared" si="251"/>
        <v>0.53979724255495132</v>
      </c>
      <c r="S124" s="22">
        <f t="shared" ca="1" si="291"/>
        <v>7.023512292622283</v>
      </c>
      <c r="T124" s="22">
        <f t="shared" ca="1" si="292"/>
        <v>17.516553556963419</v>
      </c>
      <c r="U124" s="22">
        <f t="shared" ca="1" si="293"/>
        <v>60.766583048732933</v>
      </c>
      <c r="V124" s="22">
        <f t="shared" ca="1" si="294"/>
        <v>14.693351101681371</v>
      </c>
      <c r="W124" s="2">
        <f t="shared" si="256"/>
        <v>2026</v>
      </c>
      <c r="X124" s="25">
        <f t="shared" ref="X124:X163" ca="1" si="296">(SUM(B121:B124)-SUM(B117:B120))/(SUM($E121:$E124)-SUM($E117:$E120))*$AA124</f>
        <v>0.264534855162667</v>
      </c>
      <c r="Y124" s="25">
        <f t="shared" ref="Y124:Y163" ca="1" si="297">(SUM(C121:C124)-SUM(C117:C120))/(SUM($E121:$E124)-SUM($E117:$E120))*$AA124</f>
        <v>0.65974668585798635</v>
      </c>
      <c r="Z124" s="25">
        <f t="shared" ref="Z124:Z163" ca="1" si="298">(SUM(D121:D124)-SUM(D117:D120))/(SUM($E121:$E124)-SUM($E117:$E120))*$AA124</f>
        <v>2.2887237290681584</v>
      </c>
      <c r="AA124" s="25">
        <f t="shared" ref="AA124:AA163" ca="1" si="299">100*(SUM(E121:E124)/SUM(E117:E120)-1)</f>
        <v>3.213005270088809</v>
      </c>
      <c r="AB124" s="25">
        <f t="shared" ref="AB124:AB163" ca="1" si="300">100*(SUM(G121:G124)/SUM(G117:G120)-1)</f>
        <v>3.2130052700888312</v>
      </c>
      <c r="AC124" s="25">
        <f t="shared" ref="AC124:AC163" si="301">100*(SUM(H121:H124)/SUM(H117:H120)-1)</f>
        <v>2.0987577270265678</v>
      </c>
      <c r="AE124" s="25">
        <f t="shared" ref="AE124:AE163" ca="1" si="302">(SUM(B121:B124)/SUM(B117:B120)-1)*100</f>
        <v>3.2130052700888534</v>
      </c>
      <c r="AF124" s="25">
        <f t="shared" ref="AF124:AF163" ca="1" si="303">(SUM(C121:C124)/SUM(C117:C120)-1)*100</f>
        <v>3.2130052700888312</v>
      </c>
      <c r="AG124" s="25">
        <f t="shared" ref="AG124:AG163" ca="1" si="304">(SUM(D121:D124)/SUM(D117:D120)-1)*100</f>
        <v>3.213005270088809</v>
      </c>
      <c r="AH124" s="25">
        <f t="shared" ref="AH124:AH163" ca="1" si="305">(SUM(E121:E124)/SUM(E117:E120)-1)*100</f>
        <v>3.213005270088809</v>
      </c>
      <c r="AI124" s="25">
        <f t="shared" ref="AI124:AI163" ca="1" si="306">(SUM(G121:G124)/SUM(G117:G120)-1)*100</f>
        <v>3.2130052700888312</v>
      </c>
      <c r="AJ124" s="25">
        <f t="shared" si="79"/>
        <v>2.0987577270265678</v>
      </c>
    </row>
    <row r="125" spans="1:36" x14ac:dyDescent="0.15">
      <c r="A125" s="21">
        <f t="shared" si="65"/>
        <v>46203</v>
      </c>
      <c r="B125" s="51">
        <f t="shared" ca="1" si="269"/>
        <v>23672.783321383748</v>
      </c>
      <c r="C125" s="51">
        <f t="shared" ca="1" si="269"/>
        <v>59039.63140023069</v>
      </c>
      <c r="D125" s="51">
        <f t="shared" ca="1" si="269"/>
        <v>204814.07218502142</v>
      </c>
      <c r="E125" s="51">
        <f t="shared" ca="1" si="269"/>
        <v>287526.48690663587</v>
      </c>
      <c r="F125" s="51">
        <f t="shared" ca="1" si="269"/>
        <v>49524.013400032411</v>
      </c>
      <c r="G125" s="51">
        <f t="shared" ca="1" si="290"/>
        <v>337050.50030666823</v>
      </c>
      <c r="H125" s="51">
        <v>340352.24853530497</v>
      </c>
      <c r="I125" s="52">
        <f t="shared" ca="1" si="247"/>
        <v>-0.97009737495366011</v>
      </c>
      <c r="K125" s="53">
        <f t="shared" ca="1" si="270"/>
        <v>0.71765214761163598</v>
      </c>
      <c r="L125" s="53">
        <f t="shared" ca="1" si="271"/>
        <v>0.71765214761163598</v>
      </c>
      <c r="M125" s="53">
        <f t="shared" ca="1" si="272"/>
        <v>0.71765214761165819</v>
      </c>
      <c r="N125" s="53">
        <f t="shared" ca="1" si="248"/>
        <v>0.71765214761163598</v>
      </c>
      <c r="O125" s="53">
        <f t="shared" ca="1" si="249"/>
        <v>0.71765214761165819</v>
      </c>
      <c r="P125" s="53">
        <f t="shared" ca="1" si="250"/>
        <v>0.71765214761163598</v>
      </c>
      <c r="Q125" s="53">
        <f t="shared" si="251"/>
        <v>0.53689907614660193</v>
      </c>
      <c r="S125" s="22">
        <f t="shared" ca="1" si="291"/>
        <v>7.0235122926222822</v>
      </c>
      <c r="T125" s="22">
        <f t="shared" ca="1" si="292"/>
        <v>17.516553556963416</v>
      </c>
      <c r="U125" s="22">
        <f t="shared" ca="1" si="293"/>
        <v>60.766583048732926</v>
      </c>
      <c r="V125" s="22">
        <f t="shared" ca="1" si="294"/>
        <v>14.693351101681367</v>
      </c>
      <c r="X125" s="25">
        <f t="shared" ca="1" si="296"/>
        <v>0.25921195159851518</v>
      </c>
      <c r="Y125" s="25">
        <f t="shared" ca="1" si="297"/>
        <v>0.64647142962217741</v>
      </c>
      <c r="Z125" s="25">
        <f t="shared" ca="1" si="298"/>
        <v>2.2426706080633463</v>
      </c>
      <c r="AA125" s="25">
        <f t="shared" ca="1" si="299"/>
        <v>3.1483539892840362</v>
      </c>
      <c r="AB125" s="25">
        <f t="shared" ca="1" si="300"/>
        <v>3.148353989284014</v>
      </c>
      <c r="AC125" s="25">
        <f t="shared" si="301"/>
        <v>2.1261488184727284</v>
      </c>
      <c r="AE125" s="25">
        <f t="shared" ca="1" si="302"/>
        <v>3.1483539892839696</v>
      </c>
      <c r="AF125" s="25">
        <f t="shared" ca="1" si="303"/>
        <v>3.148353989284014</v>
      </c>
      <c r="AG125" s="25">
        <f t="shared" ca="1" si="304"/>
        <v>3.1483539892840362</v>
      </c>
      <c r="AH125" s="25">
        <f t="shared" ca="1" si="305"/>
        <v>3.1483539892840362</v>
      </c>
      <c r="AI125" s="25">
        <f t="shared" ca="1" si="306"/>
        <v>3.148353989284014</v>
      </c>
      <c r="AJ125" s="25">
        <f t="shared" si="79"/>
        <v>2.1261488184727284</v>
      </c>
    </row>
    <row r="126" spans="1:36" x14ac:dyDescent="0.15">
      <c r="A126" s="21">
        <f t="shared" si="65"/>
        <v>46295</v>
      </c>
      <c r="B126" s="51">
        <f t="shared" ca="1" si="269"/>
        <v>23837.15078074273</v>
      </c>
      <c r="C126" s="51">
        <f t="shared" ca="1" si="269"/>
        <v>59449.561828900674</v>
      </c>
      <c r="D126" s="51">
        <f t="shared" ca="1" si="269"/>
        <v>206236.15966113197</v>
      </c>
      <c r="E126" s="51">
        <f t="shared" ca="1" si="269"/>
        <v>289522.87227077538</v>
      </c>
      <c r="F126" s="51">
        <f t="shared" ca="1" si="269"/>
        <v>49867.873948634238</v>
      </c>
      <c r="G126" s="51">
        <f t="shared" ca="1" si="290"/>
        <v>339390.74621940957</v>
      </c>
      <c r="H126" s="51">
        <v>342209.33482249471</v>
      </c>
      <c r="I126" s="52">
        <f t="shared" ca="1" si="247"/>
        <v>-0.82364456964540977</v>
      </c>
      <c r="K126" s="53">
        <f t="shared" ca="1" si="270"/>
        <v>0.69433094168740439</v>
      </c>
      <c r="L126" s="53">
        <f t="shared" ca="1" si="271"/>
        <v>0.69433094168738219</v>
      </c>
      <c r="M126" s="53">
        <f t="shared" ca="1" si="272"/>
        <v>0.69433094168738219</v>
      </c>
      <c r="N126" s="53">
        <f t="shared" ca="1" si="248"/>
        <v>0.69433094168738219</v>
      </c>
      <c r="O126" s="53">
        <f t="shared" ca="1" si="249"/>
        <v>0.69433094168738219</v>
      </c>
      <c r="P126" s="53">
        <f t="shared" ca="1" si="250"/>
        <v>0.69433094168738219</v>
      </c>
      <c r="Q126" s="53">
        <f t="shared" si="251"/>
        <v>0.54563655600385896</v>
      </c>
      <c r="S126" s="22">
        <f t="shared" ca="1" si="291"/>
        <v>7.0235122926222822</v>
      </c>
      <c r="T126" s="22">
        <f t="shared" ca="1" si="292"/>
        <v>17.516553556963416</v>
      </c>
      <c r="U126" s="22">
        <f t="shared" ca="1" si="293"/>
        <v>60.766583048732926</v>
      </c>
      <c r="V126" s="22">
        <f t="shared" ca="1" si="294"/>
        <v>14.693351101681367</v>
      </c>
      <c r="X126" s="25">
        <f t="shared" ca="1" si="296"/>
        <v>0.25265881329073114</v>
      </c>
      <c r="Y126" s="25">
        <f t="shared" ca="1" si="297"/>
        <v>0.63012798301710882</v>
      </c>
      <c r="Z126" s="25">
        <f t="shared" ca="1" si="298"/>
        <v>2.1859736441200632</v>
      </c>
      <c r="AA126" s="25">
        <f t="shared" ca="1" si="299"/>
        <v>3.0687604404278979</v>
      </c>
      <c r="AB126" s="25">
        <f t="shared" ca="1" si="300"/>
        <v>3.0687604404279201</v>
      </c>
      <c r="AC126" s="25">
        <f t="shared" si="301"/>
        <v>2.1499450106703621</v>
      </c>
      <c r="AE126" s="25">
        <f t="shared" ca="1" si="302"/>
        <v>3.0687604404278757</v>
      </c>
      <c r="AF126" s="25">
        <f t="shared" ca="1" si="303"/>
        <v>3.0687604404279201</v>
      </c>
      <c r="AG126" s="25">
        <f t="shared" ca="1" si="304"/>
        <v>3.0687604404278979</v>
      </c>
      <c r="AH126" s="25">
        <f t="shared" ca="1" si="305"/>
        <v>3.0687604404278979</v>
      </c>
      <c r="AI126" s="25">
        <f t="shared" ca="1" si="306"/>
        <v>3.0687604404279201</v>
      </c>
      <c r="AJ126" s="25">
        <f t="shared" si="79"/>
        <v>2.1499450106703621</v>
      </c>
    </row>
    <row r="127" spans="1:36" x14ac:dyDescent="0.15">
      <c r="A127" s="21">
        <f t="shared" si="65"/>
        <v>46387</v>
      </c>
      <c r="B127" s="51">
        <f t="shared" ca="1" si="269"/>
        <v>23998.379888113755</v>
      </c>
      <c r="C127" s="51">
        <f t="shared" ca="1" si="269"/>
        <v>59851.665246185585</v>
      </c>
      <c r="D127" s="51">
        <f t="shared" ca="1" si="269"/>
        <v>207631.0944935556</v>
      </c>
      <c r="E127" s="51">
        <f t="shared" ca="1" si="269"/>
        <v>291481.13962785492</v>
      </c>
      <c r="F127" s="51">
        <f t="shared" ca="1" si="269"/>
        <v>50205.168991870887</v>
      </c>
      <c r="G127" s="51">
        <f t="shared" ca="1" si="290"/>
        <v>341686.30861972581</v>
      </c>
      <c r="H127" s="51">
        <v>344105.91793984681</v>
      </c>
      <c r="I127" s="52">
        <f t="shared" ca="1" si="247"/>
        <v>-0.70315829922575901</v>
      </c>
      <c r="K127" s="53">
        <f t="shared" ca="1" si="270"/>
        <v>0.67637742804931289</v>
      </c>
      <c r="L127" s="53">
        <f t="shared" ca="1" si="271"/>
        <v>0.67637742804931289</v>
      </c>
      <c r="M127" s="53">
        <f t="shared" ca="1" si="272"/>
        <v>0.67637742804931289</v>
      </c>
      <c r="N127" s="53">
        <f t="shared" ca="1" si="248"/>
        <v>0.67637742804931289</v>
      </c>
      <c r="O127" s="53">
        <f t="shared" ca="1" si="249"/>
        <v>0.67637742804931289</v>
      </c>
      <c r="P127" s="53">
        <f t="shared" ca="1" si="250"/>
        <v>0.67637742804931289</v>
      </c>
      <c r="Q127" s="53">
        <f t="shared" si="251"/>
        <v>0.55421723616506657</v>
      </c>
      <c r="S127" s="22">
        <f t="shared" ca="1" si="291"/>
        <v>7.023512292622283</v>
      </c>
      <c r="T127" s="22">
        <f t="shared" ca="1" si="292"/>
        <v>17.516553556963419</v>
      </c>
      <c r="U127" s="22">
        <f t="shared" ca="1" si="293"/>
        <v>60.766583048732933</v>
      </c>
      <c r="V127" s="22">
        <f t="shared" ca="1" si="294"/>
        <v>14.693351101681371</v>
      </c>
      <c r="X127" s="25">
        <f t="shared" ca="1" si="296"/>
        <v>0.24569050271071452</v>
      </c>
      <c r="Y127" s="25">
        <f t="shared" ca="1" si="297"/>
        <v>0.61274910185466636</v>
      </c>
      <c r="Z127" s="25">
        <f t="shared" ca="1" si="298"/>
        <v>2.1256846596450436</v>
      </c>
      <c r="AA127" s="25">
        <f t="shared" ca="1" si="299"/>
        <v>2.9841242642104193</v>
      </c>
      <c r="AB127" s="25">
        <f t="shared" ca="1" si="300"/>
        <v>2.9841242642103971</v>
      </c>
      <c r="AC127" s="25">
        <f t="shared" si="301"/>
        <v>2.1701805982722311</v>
      </c>
      <c r="AE127" s="25">
        <f t="shared" ca="1" si="302"/>
        <v>2.9841242642104193</v>
      </c>
      <c r="AF127" s="25">
        <f t="shared" ca="1" si="303"/>
        <v>2.9841242642104415</v>
      </c>
      <c r="AG127" s="25">
        <f t="shared" ca="1" si="304"/>
        <v>2.9841242642104193</v>
      </c>
      <c r="AH127" s="25">
        <f t="shared" ca="1" si="305"/>
        <v>2.9841242642104193</v>
      </c>
      <c r="AI127" s="25">
        <f t="shared" ca="1" si="306"/>
        <v>2.9841242642103971</v>
      </c>
      <c r="AJ127" s="25">
        <f t="shared" si="79"/>
        <v>2.1701805982722311</v>
      </c>
    </row>
    <row r="128" spans="1:36" x14ac:dyDescent="0.15">
      <c r="A128" s="21">
        <f t="shared" si="65"/>
        <v>46477</v>
      </c>
      <c r="B128" s="51">
        <f t="shared" ref="B128:B163" ca="1" si="307">B127/$G127*$G128</f>
        <v>24157.470003907911</v>
      </c>
      <c r="C128" s="51">
        <f t="shared" ref="C128:C163" ca="1" si="308">C127/$G127*$G128</f>
        <v>60248.434044699556</v>
      </c>
      <c r="D128" s="51">
        <f t="shared" ref="D128:D163" ca="1" si="309">D127/$G127*$G128</f>
        <v>209007.52302829214</v>
      </c>
      <c r="E128" s="51">
        <f t="shared" ref="E128:E163" ca="1" si="310">E127/$G127*$G128</f>
        <v>293413.42707689956</v>
      </c>
      <c r="F128" s="51">
        <f t="shared" ref="F128:F163" ca="1" si="311">F127/$G127*$G128</f>
        <v>50537.989214970112</v>
      </c>
      <c r="G128" s="51">
        <f t="shared" ca="1" si="290"/>
        <v>343951.41629186971</v>
      </c>
      <c r="H128" s="51">
        <v>346002.50105719891</v>
      </c>
      <c r="I128" s="52">
        <f t="shared" ca="1" si="56"/>
        <v>-0.59279478011349251</v>
      </c>
      <c r="K128" s="53">
        <f t="shared" ref="K128:K163" ca="1" si="312">100*(B128/B127-1)</f>
        <v>0.66292023268184064</v>
      </c>
      <c r="L128" s="53">
        <f t="shared" ref="L128:L163" ca="1" si="313">100*(C128/C127-1)</f>
        <v>0.66292023268184064</v>
      </c>
      <c r="M128" s="53">
        <f t="shared" ref="M128:M163" ca="1" si="314">100*(D128/D127-1)</f>
        <v>0.66292023268184064</v>
      </c>
      <c r="N128" s="53">
        <f t="shared" ref="N128:N163" ca="1" si="315">100*(E128/E127-1)</f>
        <v>0.66292023268184064</v>
      </c>
      <c r="O128" s="53">
        <f t="shared" ref="O128:O163" ca="1" si="316">100*(F128/F127-1)</f>
        <v>0.66292023268184064</v>
      </c>
      <c r="P128" s="53">
        <f t="shared" ref="P128:P163" ca="1" si="317">100*(G128/G127-1)</f>
        <v>0.66292023268184064</v>
      </c>
      <c r="Q128" s="53">
        <f t="shared" ref="Q128:Q163" si="318">100*(H128/H127-1)</f>
        <v>0.55116259804739443</v>
      </c>
      <c r="S128" s="22">
        <f t="shared" ref="S128:S163" ca="1" si="319">B128/$G128/(SUM($B128:$D128,$F128)/$G128)*100</f>
        <v>7.023512292622283</v>
      </c>
      <c r="T128" s="22">
        <f t="shared" ref="T128:T163" ca="1" si="320">C128/$G128/(SUM($B128:$D128,$F128)/$G128)*100</f>
        <v>17.516553556963419</v>
      </c>
      <c r="U128" s="22">
        <f t="shared" ref="U128:U163" ca="1" si="321">D128/$G128/(SUM($B128:$D128,$F128)/$G128)*100</f>
        <v>60.766583048732933</v>
      </c>
      <c r="V128" s="22">
        <f t="shared" ref="V128:V163" ca="1" si="322">F128/$G128/(SUM($B128:$D128,$F128)/$G128)*100</f>
        <v>14.693351101681371</v>
      </c>
      <c r="W128" s="2">
        <f t="shared" si="256"/>
        <v>2027</v>
      </c>
      <c r="X128" s="25">
        <f t="shared" ca="1" si="296"/>
        <v>0.23879921089629966</v>
      </c>
      <c r="Y128" s="25">
        <f t="shared" ca="1" si="297"/>
        <v>0.59556230454947012</v>
      </c>
      <c r="Z128" s="25">
        <f t="shared" ca="1" si="298"/>
        <v>2.0660620322605201</v>
      </c>
      <c r="AA128" s="25">
        <f t="shared" ca="1" si="299"/>
        <v>2.9004235477062768</v>
      </c>
      <c r="AB128" s="25">
        <f t="shared" ca="1" si="300"/>
        <v>2.9004235477062768</v>
      </c>
      <c r="AC128" s="25">
        <f t="shared" si="301"/>
        <v>2.1869055414036387</v>
      </c>
      <c r="AE128" s="25">
        <f t="shared" ca="1" si="302"/>
        <v>2.9004235477062768</v>
      </c>
      <c r="AF128" s="25">
        <f t="shared" ca="1" si="303"/>
        <v>2.900423547706299</v>
      </c>
      <c r="AG128" s="25">
        <f t="shared" ca="1" si="304"/>
        <v>2.900423547706299</v>
      </c>
      <c r="AH128" s="25">
        <f t="shared" ca="1" si="305"/>
        <v>2.9004235477062768</v>
      </c>
      <c r="AI128" s="25">
        <f t="shared" ca="1" si="306"/>
        <v>2.9004235477062768</v>
      </c>
      <c r="AJ128" s="25">
        <f t="shared" si="79"/>
        <v>2.1869055414036387</v>
      </c>
    </row>
    <row r="129" spans="1:36" x14ac:dyDescent="0.15">
      <c r="A129" s="21">
        <f t="shared" si="65"/>
        <v>46568</v>
      </c>
      <c r="B129" s="51">
        <f t="shared" ca="1" si="307"/>
        <v>24314.018542973557</v>
      </c>
      <c r="C129" s="51">
        <f t="shared" ca="1" si="308"/>
        <v>60638.864182009667</v>
      </c>
      <c r="D129" s="51">
        <f t="shared" ca="1" si="309"/>
        <v>210361.96214706227</v>
      </c>
      <c r="E129" s="51">
        <f t="shared" ca="1" si="310"/>
        <v>295314.84487204545</v>
      </c>
      <c r="F129" s="51">
        <f t="shared" ca="1" si="311"/>
        <v>50865.492400429481</v>
      </c>
      <c r="G129" s="51">
        <f t="shared" ca="1" si="290"/>
        <v>346180.33727247495</v>
      </c>
      <c r="H129" s="51">
        <v>347899.08417455101</v>
      </c>
      <c r="I129" s="52">
        <f t="shared" ca="1" si="56"/>
        <v>-0.49403605248173887</v>
      </c>
      <c r="K129" s="53">
        <f t="shared" ca="1" si="312"/>
        <v>0.64803366842769439</v>
      </c>
      <c r="L129" s="53">
        <f t="shared" ca="1" si="313"/>
        <v>0.64803366842769439</v>
      </c>
      <c r="M129" s="53">
        <f t="shared" ca="1" si="314"/>
        <v>0.64803366842771659</v>
      </c>
      <c r="N129" s="53">
        <f t="shared" ca="1" si="315"/>
        <v>0.64803366842771659</v>
      </c>
      <c r="O129" s="53">
        <f t="shared" ca="1" si="316"/>
        <v>0.64803366842771659</v>
      </c>
      <c r="P129" s="53">
        <f t="shared" ca="1" si="317"/>
        <v>0.64803366842769439</v>
      </c>
      <c r="Q129" s="53">
        <f t="shared" si="318"/>
        <v>0.54814144740491511</v>
      </c>
      <c r="S129" s="22">
        <f t="shared" ca="1" si="319"/>
        <v>7.0235122926222822</v>
      </c>
      <c r="T129" s="22">
        <f t="shared" ca="1" si="320"/>
        <v>17.516553556963416</v>
      </c>
      <c r="U129" s="22">
        <f t="shared" ca="1" si="321"/>
        <v>60.766583048732926</v>
      </c>
      <c r="V129" s="22">
        <f t="shared" ca="1" si="322"/>
        <v>14.693351101681367</v>
      </c>
      <c r="X129" s="25">
        <f t="shared" ca="1" si="296"/>
        <v>0.23226103102240678</v>
      </c>
      <c r="Y129" s="25">
        <f t="shared" ca="1" si="297"/>
        <v>0.57925616409514646</v>
      </c>
      <c r="Z129" s="25">
        <f t="shared" ca="1" si="298"/>
        <v>2.0094944868869553</v>
      </c>
      <c r="AA129" s="25">
        <f t="shared" ca="1" si="299"/>
        <v>2.8210116820044817</v>
      </c>
      <c r="AB129" s="25">
        <f t="shared" ca="1" si="300"/>
        <v>2.8210116820045039</v>
      </c>
      <c r="AC129" s="25">
        <f t="shared" si="301"/>
        <v>2.2001706424551459</v>
      </c>
      <c r="AE129" s="25">
        <f t="shared" ca="1" si="302"/>
        <v>2.8210116820045261</v>
      </c>
      <c r="AF129" s="25">
        <f t="shared" ca="1" si="303"/>
        <v>2.8210116820045039</v>
      </c>
      <c r="AG129" s="25">
        <f t="shared" ca="1" si="304"/>
        <v>2.8210116820045039</v>
      </c>
      <c r="AH129" s="25">
        <f t="shared" ca="1" si="305"/>
        <v>2.8210116820044817</v>
      </c>
      <c r="AI129" s="25">
        <f t="shared" ca="1" si="306"/>
        <v>2.8210116820045039</v>
      </c>
      <c r="AJ129" s="25">
        <f t="shared" si="79"/>
        <v>2.2001706424551459</v>
      </c>
    </row>
    <row r="130" spans="1:36" x14ac:dyDescent="0.15">
      <c r="A130" s="21">
        <f t="shared" si="65"/>
        <v>46660</v>
      </c>
      <c r="B130" s="51">
        <f t="shared" ca="1" si="307"/>
        <v>24467.902264020115</v>
      </c>
      <c r="C130" s="51">
        <f t="shared" ca="1" si="308"/>
        <v>61022.648295848026</v>
      </c>
      <c r="D130" s="51">
        <f t="shared" ca="1" si="309"/>
        <v>211693.34558105245</v>
      </c>
      <c r="E130" s="51">
        <f t="shared" ca="1" si="310"/>
        <v>297183.89614092058</v>
      </c>
      <c r="F130" s="51">
        <f t="shared" ca="1" si="311"/>
        <v>51187.420724602191</v>
      </c>
      <c r="G130" s="51">
        <f t="shared" ca="1" si="290"/>
        <v>348371.31686552276</v>
      </c>
      <c r="H130" s="51">
        <v>349815.11455467145</v>
      </c>
      <c r="I130" s="52">
        <f t="shared" ca="1" si="56"/>
        <v>-0.41273164854146449</v>
      </c>
      <c r="K130" s="53">
        <f t="shared" ca="1" si="312"/>
        <v>0.63290122434749296</v>
      </c>
      <c r="L130" s="53">
        <f t="shared" ca="1" si="313"/>
        <v>0.63290122434749296</v>
      </c>
      <c r="M130" s="53">
        <f t="shared" ca="1" si="314"/>
        <v>0.63290122434749296</v>
      </c>
      <c r="N130" s="53">
        <f t="shared" ca="1" si="315"/>
        <v>0.63290122434751517</v>
      </c>
      <c r="O130" s="53">
        <f t="shared" ca="1" si="316"/>
        <v>0.63290122434751517</v>
      </c>
      <c r="P130" s="53">
        <f t="shared" ca="1" si="317"/>
        <v>0.63290122434751517</v>
      </c>
      <c r="Q130" s="53">
        <f t="shared" si="318"/>
        <v>0.55074315147065622</v>
      </c>
      <c r="S130" s="22">
        <f t="shared" ca="1" si="319"/>
        <v>7.023512292622283</v>
      </c>
      <c r="T130" s="22">
        <f t="shared" ca="1" si="320"/>
        <v>17.516553556963419</v>
      </c>
      <c r="U130" s="22">
        <f t="shared" ca="1" si="321"/>
        <v>60.766583048732933</v>
      </c>
      <c r="V130" s="22">
        <f t="shared" ca="1" si="322"/>
        <v>14.693351101681371</v>
      </c>
      <c r="X130" s="25">
        <f t="shared" ca="1" si="296"/>
        <v>0.22620925175559831</v>
      </c>
      <c r="Y130" s="25">
        <f t="shared" ca="1" si="297"/>
        <v>0.56416310079214349</v>
      </c>
      <c r="Z130" s="25">
        <f t="shared" ca="1" si="298"/>
        <v>1.9571352210257336</v>
      </c>
      <c r="AA130" s="25">
        <f t="shared" ca="1" si="299"/>
        <v>2.7475075735734489</v>
      </c>
      <c r="AB130" s="25">
        <f t="shared" ca="1" si="300"/>
        <v>2.7475075735734489</v>
      </c>
      <c r="AC130" s="25">
        <f t="shared" si="301"/>
        <v>2.2101201544026061</v>
      </c>
      <c r="AE130" s="25">
        <f t="shared" ca="1" si="302"/>
        <v>2.7475075735734933</v>
      </c>
      <c r="AF130" s="25">
        <f t="shared" ca="1" si="303"/>
        <v>2.7475075735734711</v>
      </c>
      <c r="AG130" s="25">
        <f t="shared" ca="1" si="304"/>
        <v>2.7475075735734711</v>
      </c>
      <c r="AH130" s="25">
        <f t="shared" ca="1" si="305"/>
        <v>2.7475075735734489</v>
      </c>
      <c r="AI130" s="25">
        <f t="shared" ca="1" si="306"/>
        <v>2.7475075735734489</v>
      </c>
      <c r="AJ130" s="25">
        <f t="shared" si="79"/>
        <v>2.2101201544026061</v>
      </c>
    </row>
    <row r="131" spans="1:36" x14ac:dyDescent="0.15">
      <c r="A131" s="21">
        <f t="shared" si="65"/>
        <v>46752</v>
      </c>
      <c r="B131" s="51">
        <f t="shared" ca="1" si="307"/>
        <v>24619.789239640751</v>
      </c>
      <c r="C131" s="51">
        <f t="shared" ca="1" si="308"/>
        <v>61401.452551072129</v>
      </c>
      <c r="D131" s="51">
        <f t="shared" ca="1" si="309"/>
        <v>213007.45341393366</v>
      </c>
      <c r="E131" s="51">
        <f t="shared" ca="1" si="310"/>
        <v>299028.6952046465</v>
      </c>
      <c r="F131" s="51">
        <f t="shared" ca="1" si="311"/>
        <v>51505.171810894273</v>
      </c>
      <c r="G131" s="51">
        <f t="shared" ca="1" si="290"/>
        <v>350533.86701554077</v>
      </c>
      <c r="H131" s="51">
        <v>351750.59219756012</v>
      </c>
      <c r="I131" s="52">
        <f t="shared" ca="1" si="56"/>
        <v>-0.34590565275750551</v>
      </c>
      <c r="K131" s="53">
        <f t="shared" ca="1" si="312"/>
        <v>0.62076010432650097</v>
      </c>
      <c r="L131" s="53">
        <f t="shared" ca="1" si="313"/>
        <v>0.62076010432650097</v>
      </c>
      <c r="M131" s="53">
        <f t="shared" ca="1" si="314"/>
        <v>0.62076010432650097</v>
      </c>
      <c r="N131" s="53">
        <f t="shared" ca="1" si="315"/>
        <v>0.62076010432650097</v>
      </c>
      <c r="O131" s="53">
        <f t="shared" ca="1" si="316"/>
        <v>0.62076010432650097</v>
      </c>
      <c r="P131" s="53">
        <f t="shared" ca="1" si="317"/>
        <v>0.62076010432650097</v>
      </c>
      <c r="Q131" s="53">
        <f t="shared" si="318"/>
        <v>0.55328588227314679</v>
      </c>
      <c r="S131" s="22">
        <f t="shared" ca="1" si="319"/>
        <v>7.0235122926222822</v>
      </c>
      <c r="T131" s="22">
        <f t="shared" ca="1" si="320"/>
        <v>17.516553556963416</v>
      </c>
      <c r="U131" s="22">
        <f t="shared" ca="1" si="321"/>
        <v>60.766583048732926</v>
      </c>
      <c r="V131" s="22">
        <f t="shared" ca="1" si="322"/>
        <v>14.693351101681367</v>
      </c>
      <c r="X131" s="25">
        <f t="shared" ca="1" si="296"/>
        <v>0.22068823692042397</v>
      </c>
      <c r="Y131" s="25">
        <f t="shared" ca="1" si="297"/>
        <v>0.5503937574750245</v>
      </c>
      <c r="Z131" s="25">
        <f t="shared" ca="1" si="298"/>
        <v>1.9093680651474134</v>
      </c>
      <c r="AA131" s="25">
        <f t="shared" ca="1" si="299"/>
        <v>2.6804500595428493</v>
      </c>
      <c r="AB131" s="25">
        <f t="shared" ca="1" si="300"/>
        <v>2.6804500595428715</v>
      </c>
      <c r="AC131" s="25">
        <f t="shared" si="301"/>
        <v>2.2168974300277533</v>
      </c>
      <c r="AE131" s="25">
        <f t="shared" ca="1" si="302"/>
        <v>2.6804500595428937</v>
      </c>
      <c r="AF131" s="25">
        <f t="shared" ca="1" si="303"/>
        <v>2.6804500595428493</v>
      </c>
      <c r="AG131" s="25">
        <f t="shared" ca="1" si="304"/>
        <v>2.6804500595428715</v>
      </c>
      <c r="AH131" s="25">
        <f t="shared" ca="1" si="305"/>
        <v>2.6804500595428493</v>
      </c>
      <c r="AI131" s="25">
        <f t="shared" ca="1" si="306"/>
        <v>2.6804500595428715</v>
      </c>
      <c r="AJ131" s="25">
        <f t="shared" si="79"/>
        <v>2.2168974300277533</v>
      </c>
    </row>
    <row r="132" spans="1:36" x14ac:dyDescent="0.15">
      <c r="A132" s="21">
        <f t="shared" si="65"/>
        <v>46843</v>
      </c>
      <c r="B132" s="51">
        <f t="shared" ca="1" si="307"/>
        <v>24770.247106641793</v>
      </c>
      <c r="C132" s="51">
        <f t="shared" ca="1" si="308"/>
        <v>61776.69262691831</v>
      </c>
      <c r="D132" s="51">
        <f t="shared" ca="1" si="309"/>
        <v>214309.19677103686</v>
      </c>
      <c r="E132" s="51">
        <f t="shared" ca="1" si="310"/>
        <v>300856.13650459691</v>
      </c>
      <c r="F132" s="51">
        <f t="shared" ca="1" si="311"/>
        <v>51819.9331687093</v>
      </c>
      <c r="G132" s="51">
        <f t="shared" ca="1" si="290"/>
        <v>352676.06967330625</v>
      </c>
      <c r="H132" s="51">
        <v>353686.06984044885</v>
      </c>
      <c r="I132" s="52">
        <f t="shared" ca="1" si="56"/>
        <v>-0.28556402224102495</v>
      </c>
      <c r="K132" s="53">
        <f t="shared" ca="1" si="312"/>
        <v>0.61112573116095525</v>
      </c>
      <c r="L132" s="53">
        <f t="shared" ca="1" si="313"/>
        <v>0.61112573116095525</v>
      </c>
      <c r="M132" s="53">
        <f t="shared" ca="1" si="314"/>
        <v>0.61112573116093305</v>
      </c>
      <c r="N132" s="53">
        <f t="shared" ca="1" si="315"/>
        <v>0.61112573116093305</v>
      </c>
      <c r="O132" s="53">
        <f t="shared" ca="1" si="316"/>
        <v>0.61112573116093305</v>
      </c>
      <c r="P132" s="53">
        <f t="shared" ca="1" si="317"/>
        <v>0.61112573116095525</v>
      </c>
      <c r="Q132" s="53">
        <f t="shared" si="318"/>
        <v>0.55024147387978672</v>
      </c>
      <c r="S132" s="22">
        <f t="shared" ca="1" si="319"/>
        <v>7.023512292622283</v>
      </c>
      <c r="T132" s="22">
        <f t="shared" ca="1" si="320"/>
        <v>17.516553556963419</v>
      </c>
      <c r="U132" s="22">
        <f t="shared" ca="1" si="321"/>
        <v>60.766583048732933</v>
      </c>
      <c r="V132" s="22">
        <f t="shared" ca="1" si="322"/>
        <v>14.693351101681371</v>
      </c>
      <c r="W132" s="2">
        <f t="shared" si="256"/>
        <v>2028</v>
      </c>
      <c r="X132" s="25">
        <f t="shared" ca="1" si="296"/>
        <v>0.21568796077877567</v>
      </c>
      <c r="Y132" s="25">
        <f t="shared" ca="1" si="297"/>
        <v>0.53792313007585613</v>
      </c>
      <c r="Z132" s="25">
        <f t="shared" ca="1" si="298"/>
        <v>1.8661062777725741</v>
      </c>
      <c r="AA132" s="25">
        <f t="shared" ca="1" si="299"/>
        <v>2.6197173686272057</v>
      </c>
      <c r="AB132" s="25">
        <f t="shared" ca="1" si="300"/>
        <v>2.6197173686272057</v>
      </c>
      <c r="AC132" s="25">
        <f t="shared" si="301"/>
        <v>2.2205525261057124</v>
      </c>
      <c r="AE132" s="25">
        <f t="shared" ca="1" si="302"/>
        <v>2.6197173686272057</v>
      </c>
      <c r="AF132" s="25">
        <f t="shared" ca="1" si="303"/>
        <v>2.6197173686271835</v>
      </c>
      <c r="AG132" s="25">
        <f t="shared" ca="1" si="304"/>
        <v>2.6197173686272057</v>
      </c>
      <c r="AH132" s="25">
        <f t="shared" ca="1" si="305"/>
        <v>2.6197173686272057</v>
      </c>
      <c r="AI132" s="25">
        <f t="shared" ca="1" si="306"/>
        <v>2.6197173686272057</v>
      </c>
      <c r="AJ132" s="25">
        <f t="shared" si="79"/>
        <v>2.2205525261057124</v>
      </c>
    </row>
    <row r="133" spans="1:36" x14ac:dyDescent="0.15">
      <c r="A133" s="21">
        <f t="shared" si="65"/>
        <v>46934</v>
      </c>
      <c r="B133" s="51">
        <f t="shared" ca="1" si="307"/>
        <v>24919.138862286331</v>
      </c>
      <c r="C133" s="51">
        <f t="shared" ca="1" si="308"/>
        <v>62148.026840240251</v>
      </c>
      <c r="D133" s="51">
        <f t="shared" ca="1" si="309"/>
        <v>215597.39032117123</v>
      </c>
      <c r="E133" s="51">
        <f t="shared" ca="1" si="310"/>
        <v>302664.55602369778</v>
      </c>
      <c r="F133" s="51">
        <f t="shared" ca="1" si="311"/>
        <v>52131.418185134629</v>
      </c>
      <c r="G133" s="51">
        <f t="shared" ca="1" si="290"/>
        <v>354795.97420883243</v>
      </c>
      <c r="H133" s="51">
        <v>355621.54748333758</v>
      </c>
      <c r="I133" s="52">
        <f t="shared" ref="I133:I163" ca="1" si="323">(G133/H133-1)*100</f>
        <v>-0.23214939599345286</v>
      </c>
      <c r="K133" s="53">
        <f t="shared" ca="1" si="312"/>
        <v>0.60109111953354777</v>
      </c>
      <c r="L133" s="53">
        <f t="shared" ca="1" si="313"/>
        <v>0.60109111953354777</v>
      </c>
      <c r="M133" s="53">
        <f t="shared" ca="1" si="314"/>
        <v>0.60109111953354777</v>
      </c>
      <c r="N133" s="53">
        <f t="shared" ca="1" si="315"/>
        <v>0.60109111953354777</v>
      </c>
      <c r="O133" s="53">
        <f t="shared" ca="1" si="316"/>
        <v>0.60109111953354777</v>
      </c>
      <c r="P133" s="53">
        <f t="shared" ca="1" si="317"/>
        <v>0.60109111953354777</v>
      </c>
      <c r="Q133" s="53">
        <f t="shared" si="318"/>
        <v>0.547230385341968</v>
      </c>
      <c r="S133" s="22">
        <f t="shared" ca="1" si="319"/>
        <v>7.0235122926222822</v>
      </c>
      <c r="T133" s="22">
        <f t="shared" ca="1" si="320"/>
        <v>17.516553556963416</v>
      </c>
      <c r="U133" s="22">
        <f t="shared" ca="1" si="321"/>
        <v>60.766583048732926</v>
      </c>
      <c r="V133" s="22">
        <f t="shared" ca="1" si="322"/>
        <v>14.693351101681367</v>
      </c>
      <c r="X133" s="25">
        <f t="shared" ca="1" si="296"/>
        <v>0.21116440838294318</v>
      </c>
      <c r="Y133" s="25">
        <f t="shared" ca="1" si="297"/>
        <v>0.52664144585462602</v>
      </c>
      <c r="Z133" s="25">
        <f t="shared" ca="1" si="298"/>
        <v>1.8269690468709723</v>
      </c>
      <c r="AA133" s="25">
        <f t="shared" ca="1" si="299"/>
        <v>2.5647749011085352</v>
      </c>
      <c r="AB133" s="25">
        <f t="shared" ca="1" si="300"/>
        <v>2.5647749011085574</v>
      </c>
      <c r="AC133" s="25">
        <f t="shared" si="301"/>
        <v>2.221135493933013</v>
      </c>
      <c r="AE133" s="25">
        <f t="shared" ca="1" si="302"/>
        <v>2.5647749011085352</v>
      </c>
      <c r="AF133" s="25">
        <f t="shared" ca="1" si="303"/>
        <v>2.5647749011085574</v>
      </c>
      <c r="AG133" s="25">
        <f t="shared" ca="1" si="304"/>
        <v>2.5647749011085574</v>
      </c>
      <c r="AH133" s="25">
        <f t="shared" ca="1" si="305"/>
        <v>2.5647749011085352</v>
      </c>
      <c r="AI133" s="25">
        <f t="shared" ca="1" si="306"/>
        <v>2.5647749011085574</v>
      </c>
      <c r="AJ133" s="25">
        <f t="shared" si="79"/>
        <v>2.221135493933013</v>
      </c>
    </row>
    <row r="134" spans="1:36" x14ac:dyDescent="0.15">
      <c r="A134" s="21">
        <f t="shared" ref="A134:A163" si="324">EOMONTH(A133,3)</f>
        <v>47026</v>
      </c>
      <c r="B134" s="51">
        <f t="shared" ca="1" si="307"/>
        <v>25066.456152614563</v>
      </c>
      <c r="C134" s="51">
        <f t="shared" ca="1" si="308"/>
        <v>62515.434356364596</v>
      </c>
      <c r="D134" s="51">
        <f t="shared" ca="1" si="309"/>
        <v>216871.96178688196</v>
      </c>
      <c r="E134" s="51">
        <f t="shared" ca="1" si="310"/>
        <v>304453.85229586106</v>
      </c>
      <c r="F134" s="51">
        <f t="shared" ca="1" si="311"/>
        <v>52439.60938349201</v>
      </c>
      <c r="G134" s="51">
        <f t="shared" ca="1" si="290"/>
        <v>356893.46167935309</v>
      </c>
      <c r="H134" s="51">
        <v>357558.27969591611</v>
      </c>
      <c r="I134" s="52">
        <f t="shared" ca="1" si="323"/>
        <v>-0.18593277077191273</v>
      </c>
      <c r="K134" s="53">
        <f t="shared" ca="1" si="312"/>
        <v>0.59118130502970878</v>
      </c>
      <c r="L134" s="53">
        <f t="shared" ca="1" si="313"/>
        <v>0.59118130502970878</v>
      </c>
      <c r="M134" s="53">
        <f t="shared" ca="1" si="314"/>
        <v>0.59118130502973099</v>
      </c>
      <c r="N134" s="53">
        <f t="shared" ca="1" si="315"/>
        <v>0.59118130502970878</v>
      </c>
      <c r="O134" s="53">
        <f t="shared" ca="1" si="316"/>
        <v>0.59118130502973099</v>
      </c>
      <c r="P134" s="53">
        <f t="shared" ca="1" si="317"/>
        <v>0.59118130502970878</v>
      </c>
      <c r="Q134" s="53">
        <f t="shared" si="318"/>
        <v>0.54460485487575205</v>
      </c>
      <c r="S134" s="22">
        <f t="shared" ca="1" si="319"/>
        <v>7.0235122926222822</v>
      </c>
      <c r="T134" s="22">
        <f t="shared" ca="1" si="320"/>
        <v>17.516553556963416</v>
      </c>
      <c r="U134" s="22">
        <f t="shared" ca="1" si="321"/>
        <v>60.766583048732926</v>
      </c>
      <c r="V134" s="22">
        <f t="shared" ca="1" si="322"/>
        <v>14.693351101681367</v>
      </c>
      <c r="X134" s="25">
        <f t="shared" ca="1" si="296"/>
        <v>0.20705576005809781</v>
      </c>
      <c r="Y134" s="25">
        <f t="shared" ca="1" si="297"/>
        <v>0.5163945273001439</v>
      </c>
      <c r="Z134" s="25">
        <f t="shared" ca="1" si="298"/>
        <v>1.7914215160562155</v>
      </c>
      <c r="AA134" s="25">
        <f t="shared" ca="1" si="299"/>
        <v>2.5148718034144535</v>
      </c>
      <c r="AB134" s="25">
        <f t="shared" ca="1" si="300"/>
        <v>2.5148718034144757</v>
      </c>
      <c r="AC134" s="25">
        <f t="shared" si="301"/>
        <v>2.2188622016728221</v>
      </c>
      <c r="AE134" s="25">
        <f t="shared" ca="1" si="302"/>
        <v>2.5148718034144757</v>
      </c>
      <c r="AF134" s="25">
        <f t="shared" ca="1" si="303"/>
        <v>2.5148718034144757</v>
      </c>
      <c r="AG134" s="25">
        <f t="shared" ca="1" si="304"/>
        <v>2.5148718034144535</v>
      </c>
      <c r="AH134" s="25">
        <f t="shared" ca="1" si="305"/>
        <v>2.5148718034144535</v>
      </c>
      <c r="AI134" s="25">
        <f t="shared" ca="1" si="306"/>
        <v>2.5148718034144757</v>
      </c>
      <c r="AJ134" s="25">
        <f t="shared" si="79"/>
        <v>2.2188622016728221</v>
      </c>
    </row>
    <row r="135" spans="1:36" x14ac:dyDescent="0.15">
      <c r="A135" s="21">
        <f t="shared" si="324"/>
        <v>47118</v>
      </c>
      <c r="B135" s="51">
        <f t="shared" ca="1" si="307"/>
        <v>25212.309007796019</v>
      </c>
      <c r="C135" s="51">
        <f t="shared" ca="1" si="308"/>
        <v>62879.18958918532</v>
      </c>
      <c r="D135" s="51">
        <f t="shared" ca="1" si="309"/>
        <v>218133.86313595323</v>
      </c>
      <c r="E135" s="51">
        <f t="shared" ca="1" si="310"/>
        <v>306225.36173293454</v>
      </c>
      <c r="F135" s="51">
        <f t="shared" ca="1" si="311"/>
        <v>52744.736949455692</v>
      </c>
      <c r="G135" s="51">
        <f t="shared" ca="1" si="290"/>
        <v>358970.09868239023</v>
      </c>
      <c r="H135" s="51">
        <v>359496.26647818438</v>
      </c>
      <c r="I135" s="52">
        <f t="shared" ca="1" si="323"/>
        <v>-0.14636252024221585</v>
      </c>
      <c r="K135" s="53">
        <f t="shared" ca="1" si="312"/>
        <v>0.58186468120362544</v>
      </c>
      <c r="L135" s="53">
        <f t="shared" ca="1" si="313"/>
        <v>0.58186468120362544</v>
      </c>
      <c r="M135" s="53">
        <f t="shared" ca="1" si="314"/>
        <v>0.58186468120362544</v>
      </c>
      <c r="N135" s="53">
        <f t="shared" ca="1" si="315"/>
        <v>0.58186468120362544</v>
      </c>
      <c r="O135" s="53">
        <f t="shared" ca="1" si="316"/>
        <v>0.58186468120362544</v>
      </c>
      <c r="P135" s="53">
        <f t="shared" ca="1" si="317"/>
        <v>0.58186468120362544</v>
      </c>
      <c r="Q135" s="53">
        <f t="shared" si="318"/>
        <v>0.5420058469675082</v>
      </c>
      <c r="S135" s="22">
        <f t="shared" ca="1" si="319"/>
        <v>7.0235122926222822</v>
      </c>
      <c r="T135" s="22">
        <f t="shared" ca="1" si="320"/>
        <v>17.516553556963416</v>
      </c>
      <c r="U135" s="22">
        <f t="shared" ca="1" si="321"/>
        <v>60.766583048732926</v>
      </c>
      <c r="V135" s="22">
        <f t="shared" ca="1" si="322"/>
        <v>14.693351101681367</v>
      </c>
      <c r="X135" s="25">
        <f t="shared" ca="1" si="296"/>
        <v>0.20329884413798258</v>
      </c>
      <c r="Y135" s="25">
        <f t="shared" ca="1" si="297"/>
        <v>0.5070248250511955</v>
      </c>
      <c r="Z135" s="25">
        <f t="shared" ca="1" si="298"/>
        <v>1.758917131674824</v>
      </c>
      <c r="AA135" s="25">
        <f t="shared" ca="1" si="299"/>
        <v>2.4692408008640143</v>
      </c>
      <c r="AB135" s="25">
        <f t="shared" ca="1" si="300"/>
        <v>2.4692408008639921</v>
      </c>
      <c r="AC135" s="25">
        <f t="shared" si="301"/>
        <v>2.2139445110161526</v>
      </c>
      <c r="AE135" s="25">
        <f t="shared" ca="1" si="302"/>
        <v>2.4692408008640143</v>
      </c>
      <c r="AF135" s="25">
        <f t="shared" ca="1" si="303"/>
        <v>2.4692408008640143</v>
      </c>
      <c r="AG135" s="25">
        <f t="shared" ca="1" si="304"/>
        <v>2.4692408008639921</v>
      </c>
      <c r="AH135" s="25">
        <f t="shared" ca="1" si="305"/>
        <v>2.4692408008640143</v>
      </c>
      <c r="AI135" s="25">
        <f t="shared" ca="1" si="306"/>
        <v>2.4692408008639921</v>
      </c>
      <c r="AJ135" s="25">
        <f t="shared" si="79"/>
        <v>2.2139445110161526</v>
      </c>
    </row>
    <row r="136" spans="1:36" x14ac:dyDescent="0.15">
      <c r="A136" s="21">
        <f t="shared" si="324"/>
        <v>47208</v>
      </c>
      <c r="B136" s="51">
        <f t="shared" ca="1" si="307"/>
        <v>25356.838569237367</v>
      </c>
      <c r="C136" s="51">
        <f t="shared" ca="1" si="308"/>
        <v>63239.644543640396</v>
      </c>
      <c r="D136" s="51">
        <f t="shared" ca="1" si="309"/>
        <v>219384.31550684865</v>
      </c>
      <c r="E136" s="51">
        <f t="shared" ca="1" si="310"/>
        <v>307980.79861972638</v>
      </c>
      <c r="F136" s="51">
        <f t="shared" ca="1" si="311"/>
        <v>53047.096154131745</v>
      </c>
      <c r="G136" s="51">
        <f t="shared" ca="1" si="290"/>
        <v>361027.89477385813</v>
      </c>
      <c r="H136" s="51">
        <v>361434.25326045277</v>
      </c>
      <c r="I136" s="52">
        <f t="shared" ca="1" si="323"/>
        <v>-0.11242943437953512</v>
      </c>
      <c r="K136" s="53">
        <f t="shared" ca="1" si="312"/>
        <v>0.57325000021479777</v>
      </c>
      <c r="L136" s="53">
        <f t="shared" ca="1" si="313"/>
        <v>0.57325000021481998</v>
      </c>
      <c r="M136" s="53">
        <f t="shared" ca="1" si="314"/>
        <v>0.57325000021479777</v>
      </c>
      <c r="N136" s="53">
        <f t="shared" ca="1" si="315"/>
        <v>0.57325000021479777</v>
      </c>
      <c r="O136" s="53">
        <f t="shared" ca="1" si="316"/>
        <v>0.57325000021479777</v>
      </c>
      <c r="P136" s="53">
        <f t="shared" ca="1" si="317"/>
        <v>0.57325000021479777</v>
      </c>
      <c r="Q136" s="53">
        <f t="shared" si="318"/>
        <v>0.53908398027437965</v>
      </c>
      <c r="S136" s="22">
        <f t="shared" ca="1" si="319"/>
        <v>7.0235122926222822</v>
      </c>
      <c r="T136" s="22">
        <f t="shared" ca="1" si="320"/>
        <v>17.516553556963416</v>
      </c>
      <c r="U136" s="22">
        <f t="shared" ca="1" si="321"/>
        <v>60.766583048732926</v>
      </c>
      <c r="V136" s="22">
        <f t="shared" ca="1" si="322"/>
        <v>14.693351101681367</v>
      </c>
      <c r="W136" s="2">
        <f t="shared" si="256"/>
        <v>2029</v>
      </c>
      <c r="X136" s="25">
        <f t="shared" ca="1" si="296"/>
        <v>0.19983380291110278</v>
      </c>
      <c r="Y136" s="25">
        <f t="shared" ca="1" si="297"/>
        <v>0.4983830547091011</v>
      </c>
      <c r="Z136" s="25">
        <f t="shared" ca="1" si="298"/>
        <v>1.7289380120110598</v>
      </c>
      <c r="AA136" s="25">
        <f t="shared" ca="1" si="299"/>
        <v>2.4271548696312539</v>
      </c>
      <c r="AB136" s="25">
        <f t="shared" ca="1" si="300"/>
        <v>2.4271548696312539</v>
      </c>
      <c r="AC136" s="25">
        <f t="shared" si="301"/>
        <v>2.2064260527005164</v>
      </c>
      <c r="AE136" s="25">
        <f t="shared" ca="1" si="302"/>
        <v>2.4271548696312539</v>
      </c>
      <c r="AF136" s="25">
        <f t="shared" ca="1" si="303"/>
        <v>2.4271548696312761</v>
      </c>
      <c r="AG136" s="25">
        <f t="shared" ca="1" si="304"/>
        <v>2.4271548696312539</v>
      </c>
      <c r="AH136" s="25">
        <f t="shared" ca="1" si="305"/>
        <v>2.4271548696312539</v>
      </c>
      <c r="AI136" s="25">
        <f t="shared" ca="1" si="306"/>
        <v>2.4271548696312539</v>
      </c>
      <c r="AJ136" s="25">
        <f t="shared" si="79"/>
        <v>2.2064260527005164</v>
      </c>
    </row>
    <row r="137" spans="1:36" x14ac:dyDescent="0.15">
      <c r="A137" s="21">
        <f t="shared" si="324"/>
        <v>47299</v>
      </c>
      <c r="B137" s="51">
        <f t="shared" ca="1" si="307"/>
        <v>25500.158309294162</v>
      </c>
      <c r="C137" s="51">
        <f t="shared" ca="1" si="308"/>
        <v>63597.082218393523</v>
      </c>
      <c r="D137" s="51">
        <f t="shared" ca="1" si="309"/>
        <v>220624.30064873165</v>
      </c>
      <c r="E137" s="51">
        <f t="shared" ca="1" si="310"/>
        <v>309721.5411764193</v>
      </c>
      <c r="F137" s="51">
        <f t="shared" ca="1" si="311"/>
        <v>53346.924384327664</v>
      </c>
      <c r="G137" s="51">
        <f t="shared" ca="1" si="290"/>
        <v>363068.46556074696</v>
      </c>
      <c r="H137" s="51">
        <v>363372.2400427211</v>
      </c>
      <c r="I137" s="52">
        <f t="shared" ca="1" si="323"/>
        <v>-8.3598703615450631E-2</v>
      </c>
      <c r="K137" s="53">
        <f t="shared" ca="1" si="312"/>
        <v>0.56521139126022302</v>
      </c>
      <c r="L137" s="53">
        <f t="shared" ca="1" si="313"/>
        <v>0.56521139126022302</v>
      </c>
      <c r="M137" s="53">
        <f t="shared" ca="1" si="314"/>
        <v>0.56521139126022302</v>
      </c>
      <c r="N137" s="53">
        <f t="shared" ca="1" si="315"/>
        <v>0.56521139126022302</v>
      </c>
      <c r="O137" s="53">
        <f t="shared" ca="1" si="316"/>
        <v>0.56521139126022302</v>
      </c>
      <c r="P137" s="53">
        <f t="shared" ca="1" si="317"/>
        <v>0.56521139126022302</v>
      </c>
      <c r="Q137" s="53">
        <f t="shared" si="318"/>
        <v>0.5361934472966956</v>
      </c>
      <c r="S137" s="22">
        <f t="shared" ca="1" si="319"/>
        <v>7.0235122926222822</v>
      </c>
      <c r="T137" s="22">
        <f t="shared" ca="1" si="320"/>
        <v>17.516553556963416</v>
      </c>
      <c r="U137" s="22">
        <f t="shared" ca="1" si="321"/>
        <v>60.766583048732926</v>
      </c>
      <c r="V137" s="22">
        <f t="shared" ca="1" si="322"/>
        <v>14.693351101681367</v>
      </c>
      <c r="X137" s="25">
        <f t="shared" ca="1" si="296"/>
        <v>0.19660074435353464</v>
      </c>
      <c r="Y137" s="25">
        <f t="shared" ca="1" si="297"/>
        <v>0.49031984630040332</v>
      </c>
      <c r="Z137" s="25">
        <f t="shared" ca="1" si="298"/>
        <v>1.7009659784821713</v>
      </c>
      <c r="AA137" s="25">
        <f t="shared" ca="1" si="299"/>
        <v>2.3878865691361106</v>
      </c>
      <c r="AB137" s="25">
        <f t="shared" ca="1" si="300"/>
        <v>2.3878865691361106</v>
      </c>
      <c r="AC137" s="25">
        <f t="shared" si="301"/>
        <v>2.1963499396056907</v>
      </c>
      <c r="AE137" s="25">
        <f t="shared" ca="1" si="302"/>
        <v>2.3878865691361106</v>
      </c>
      <c r="AF137" s="25">
        <f t="shared" ca="1" si="303"/>
        <v>2.3878865691360884</v>
      </c>
      <c r="AG137" s="25">
        <f t="shared" ca="1" si="304"/>
        <v>2.3878865691361106</v>
      </c>
      <c r="AH137" s="25">
        <f t="shared" ca="1" si="305"/>
        <v>2.3878865691361106</v>
      </c>
      <c r="AI137" s="25">
        <f t="shared" ca="1" si="306"/>
        <v>2.3878865691361106</v>
      </c>
      <c r="AJ137" s="25">
        <f t="shared" si="79"/>
        <v>2.1963499396056907</v>
      </c>
    </row>
    <row r="138" spans="1:36" x14ac:dyDescent="0.15">
      <c r="A138" s="21">
        <f t="shared" si="324"/>
        <v>47391</v>
      </c>
      <c r="B138" s="51">
        <f t="shared" ca="1" si="307"/>
        <v>25642.395042092328</v>
      </c>
      <c r="C138" s="51">
        <f t="shared" ca="1" si="308"/>
        <v>63951.818886320158</v>
      </c>
      <c r="D138" s="51">
        <f t="shared" ca="1" si="309"/>
        <v>221854.91574215709</v>
      </c>
      <c r="E138" s="51">
        <f t="shared" ca="1" si="310"/>
        <v>311449.12967056956</v>
      </c>
      <c r="F138" s="51">
        <f t="shared" ca="1" si="311"/>
        <v>53644.486938144903</v>
      </c>
      <c r="G138" s="51">
        <f t="shared" ca="1" si="290"/>
        <v>365093.61660871445</v>
      </c>
      <c r="H138" s="51">
        <v>365295.86445484939</v>
      </c>
      <c r="I138" s="52">
        <f t="shared" ca="1" si="323"/>
        <v>-5.5365490227154979E-2</v>
      </c>
      <c r="K138" s="53">
        <f t="shared" ca="1" si="312"/>
        <v>0.55778764615090903</v>
      </c>
      <c r="L138" s="53">
        <f t="shared" ca="1" si="313"/>
        <v>0.55778764615090903</v>
      </c>
      <c r="M138" s="53">
        <f t="shared" ca="1" si="314"/>
        <v>0.55778764615088683</v>
      </c>
      <c r="N138" s="53">
        <f t="shared" ca="1" si="315"/>
        <v>0.55778764615090903</v>
      </c>
      <c r="O138" s="53">
        <f t="shared" ca="1" si="316"/>
        <v>0.55778764615088683</v>
      </c>
      <c r="P138" s="53">
        <f t="shared" ca="1" si="317"/>
        <v>0.55778764615090903</v>
      </c>
      <c r="Q138" s="53">
        <f t="shared" si="318"/>
        <v>0.52938122403134447</v>
      </c>
      <c r="S138" s="22">
        <f t="shared" ca="1" si="319"/>
        <v>7.023512292622283</v>
      </c>
      <c r="T138" s="22">
        <f t="shared" ca="1" si="320"/>
        <v>17.516553556963419</v>
      </c>
      <c r="U138" s="22">
        <f t="shared" ca="1" si="321"/>
        <v>60.766583048732933</v>
      </c>
      <c r="V138" s="22">
        <f t="shared" ca="1" si="322"/>
        <v>14.693351101681371</v>
      </c>
      <c r="X138" s="25">
        <f t="shared" ca="1" si="296"/>
        <v>0.19354294087733256</v>
      </c>
      <c r="Y138" s="25">
        <f t="shared" ca="1" si="297"/>
        <v>0.48269372191619569</v>
      </c>
      <c r="Z138" s="25">
        <f t="shared" ca="1" si="298"/>
        <v>1.6745102308246103</v>
      </c>
      <c r="AA138" s="25">
        <f t="shared" ca="1" si="299"/>
        <v>2.3507468936181386</v>
      </c>
      <c r="AB138" s="25">
        <f t="shared" ca="1" si="300"/>
        <v>2.3507468936181608</v>
      </c>
      <c r="AC138" s="25">
        <f t="shared" si="301"/>
        <v>2.183968342003384</v>
      </c>
      <c r="AE138" s="25">
        <f t="shared" ca="1" si="302"/>
        <v>2.3507468936181386</v>
      </c>
      <c r="AF138" s="25">
        <f t="shared" ca="1" si="303"/>
        <v>2.3507468936181386</v>
      </c>
      <c r="AG138" s="25">
        <f t="shared" ca="1" si="304"/>
        <v>2.3507468936181386</v>
      </c>
      <c r="AH138" s="25">
        <f t="shared" ca="1" si="305"/>
        <v>2.3507468936181386</v>
      </c>
      <c r="AI138" s="25">
        <f t="shared" ca="1" si="306"/>
        <v>2.3507468936181608</v>
      </c>
      <c r="AJ138" s="25">
        <f t="shared" si="79"/>
        <v>2.183968342003384</v>
      </c>
    </row>
    <row r="139" spans="1:36" x14ac:dyDescent="0.15">
      <c r="A139" s="21">
        <f t="shared" si="324"/>
        <v>47483</v>
      </c>
      <c r="B139" s="51">
        <f t="shared" ca="1" si="307"/>
        <v>25783.221764140184</v>
      </c>
      <c r="C139" s="51">
        <f t="shared" ca="1" si="308"/>
        <v>64303.039004720755</v>
      </c>
      <c r="D139" s="51">
        <f t="shared" ca="1" si="309"/>
        <v>223073.33159227113</v>
      </c>
      <c r="E139" s="51">
        <f t="shared" ca="1" si="310"/>
        <v>313159.59236113203</v>
      </c>
      <c r="F139" s="51">
        <f t="shared" ca="1" si="311"/>
        <v>53939.09971667191</v>
      </c>
      <c r="G139" s="51">
        <f t="shared" ca="1" si="290"/>
        <v>367098.69207780395</v>
      </c>
      <c r="H139" s="51">
        <v>367205.12649683753</v>
      </c>
      <c r="I139" s="52">
        <f t="shared" ca="1" si="323"/>
        <v>-2.8985003572523649E-2</v>
      </c>
      <c r="K139" s="53">
        <f t="shared" ca="1" si="312"/>
        <v>0.54919488533222705</v>
      </c>
      <c r="L139" s="53">
        <f t="shared" ca="1" si="313"/>
        <v>0.54919488533222705</v>
      </c>
      <c r="M139" s="53">
        <f t="shared" ca="1" si="314"/>
        <v>0.54919488533222705</v>
      </c>
      <c r="N139" s="53">
        <f t="shared" ca="1" si="315"/>
        <v>0.54919488533222705</v>
      </c>
      <c r="O139" s="53">
        <f t="shared" ca="1" si="316"/>
        <v>0.54919488533222705</v>
      </c>
      <c r="P139" s="53">
        <f t="shared" ca="1" si="317"/>
        <v>0.54919488533222705</v>
      </c>
      <c r="Q139" s="53">
        <f t="shared" si="318"/>
        <v>0.52266182778648584</v>
      </c>
      <c r="S139" s="22">
        <f t="shared" ca="1" si="319"/>
        <v>7.0235122926222822</v>
      </c>
      <c r="T139" s="22">
        <f t="shared" ca="1" si="320"/>
        <v>17.516553556963416</v>
      </c>
      <c r="U139" s="22">
        <f t="shared" ca="1" si="321"/>
        <v>60.766583048732926</v>
      </c>
      <c r="V139" s="22">
        <f t="shared" ca="1" si="322"/>
        <v>14.693351101681367</v>
      </c>
      <c r="X139" s="25">
        <f t="shared" ca="1" si="296"/>
        <v>0.19061626861659589</v>
      </c>
      <c r="Y139" s="25">
        <f t="shared" ca="1" si="297"/>
        <v>0.47539463717582936</v>
      </c>
      <c r="Z139" s="25">
        <f t="shared" ca="1" si="298"/>
        <v>1.6491890146611297</v>
      </c>
      <c r="AA139" s="25">
        <f t="shared" ca="1" si="299"/>
        <v>2.3151999204535478</v>
      </c>
      <c r="AB139" s="25">
        <f t="shared" ca="1" si="300"/>
        <v>2.31519992045357</v>
      </c>
      <c r="AC139" s="25">
        <f t="shared" si="301"/>
        <v>2.1695275960690319</v>
      </c>
      <c r="AE139" s="25">
        <f t="shared" ca="1" si="302"/>
        <v>2.3151999204535478</v>
      </c>
      <c r="AF139" s="25">
        <f t="shared" ca="1" si="303"/>
        <v>2.31519992045357</v>
      </c>
      <c r="AG139" s="25">
        <f t="shared" ca="1" si="304"/>
        <v>2.31519992045357</v>
      </c>
      <c r="AH139" s="25">
        <f t="shared" ca="1" si="305"/>
        <v>2.3151999204535478</v>
      </c>
      <c r="AI139" s="25">
        <f t="shared" ca="1" si="306"/>
        <v>2.31519992045357</v>
      </c>
      <c r="AJ139" s="25">
        <f t="shared" si="79"/>
        <v>2.1695275960690319</v>
      </c>
    </row>
    <row r="140" spans="1:36" x14ac:dyDescent="0.15">
      <c r="A140" s="21">
        <f t="shared" si="324"/>
        <v>47573</v>
      </c>
      <c r="B140" s="51">
        <f t="shared" ca="1" si="307"/>
        <v>25922.459240240798</v>
      </c>
      <c r="C140" s="51">
        <f t="shared" ca="1" si="308"/>
        <v>64650.29556321141</v>
      </c>
      <c r="D140" s="51">
        <f t="shared" ca="1" si="309"/>
        <v>224277.99747772157</v>
      </c>
      <c r="E140" s="51">
        <f t="shared" ca="1" si="310"/>
        <v>314850.75228117377</v>
      </c>
      <c r="F140" s="51">
        <f t="shared" ca="1" si="311"/>
        <v>54230.387755707212</v>
      </c>
      <c r="G140" s="51">
        <f t="shared" ca="1" si="290"/>
        <v>369081.14003688097</v>
      </c>
      <c r="H140" s="51">
        <v>369114.38853882573</v>
      </c>
      <c r="I140" s="52">
        <f t="shared" ca="1" si="323"/>
        <v>-9.007641798086663E-3</v>
      </c>
      <c r="K140" s="53">
        <f t="shared" ca="1" si="312"/>
        <v>0.54003133267956915</v>
      </c>
      <c r="L140" s="53">
        <f t="shared" ca="1" si="313"/>
        <v>0.54003133267956915</v>
      </c>
      <c r="M140" s="53">
        <f t="shared" ca="1" si="314"/>
        <v>0.54003133267956915</v>
      </c>
      <c r="N140" s="53">
        <f t="shared" ca="1" si="315"/>
        <v>0.54003133267956915</v>
      </c>
      <c r="O140" s="53">
        <f t="shared" ca="1" si="316"/>
        <v>0.54003133267956915</v>
      </c>
      <c r="P140" s="53">
        <f t="shared" ca="1" si="317"/>
        <v>0.54003133267956915</v>
      </c>
      <c r="Q140" s="53">
        <f t="shared" si="318"/>
        <v>0.51994427752213301</v>
      </c>
      <c r="S140" s="22">
        <f t="shared" ca="1" si="319"/>
        <v>7.023512292622283</v>
      </c>
      <c r="T140" s="22">
        <f t="shared" ca="1" si="320"/>
        <v>17.516553556963419</v>
      </c>
      <c r="U140" s="22">
        <f t="shared" ca="1" si="321"/>
        <v>60.766583048732933</v>
      </c>
      <c r="V140" s="22">
        <f t="shared" ca="1" si="322"/>
        <v>14.693351101681371</v>
      </c>
      <c r="W140" s="2">
        <f t="shared" si="256"/>
        <v>2030</v>
      </c>
      <c r="X140" s="25">
        <f t="shared" ca="1" si="296"/>
        <v>0.18778724531240681</v>
      </c>
      <c r="Y140" s="25">
        <f t="shared" ca="1" si="297"/>
        <v>0.4683390877360108</v>
      </c>
      <c r="Z140" s="25">
        <f t="shared" ca="1" si="298"/>
        <v>1.6247126455172392</v>
      </c>
      <c r="AA140" s="25">
        <f t="shared" ca="1" si="299"/>
        <v>2.280838978565658</v>
      </c>
      <c r="AB140" s="25">
        <f t="shared" ca="1" si="300"/>
        <v>2.280838978565658</v>
      </c>
      <c r="AC140" s="25">
        <f t="shared" si="301"/>
        <v>2.1530611421709978</v>
      </c>
      <c r="AE140" s="25">
        <f t="shared" ca="1" si="302"/>
        <v>2.280838978565658</v>
      </c>
      <c r="AF140" s="25">
        <f t="shared" ca="1" si="303"/>
        <v>2.2808389785656358</v>
      </c>
      <c r="AG140" s="25">
        <f t="shared" ca="1" si="304"/>
        <v>2.280838978565658</v>
      </c>
      <c r="AH140" s="25">
        <f t="shared" ca="1" si="305"/>
        <v>2.280838978565658</v>
      </c>
      <c r="AI140" s="25">
        <f t="shared" ca="1" si="306"/>
        <v>2.280838978565658</v>
      </c>
      <c r="AJ140" s="25">
        <f t="shared" ref="AJ140:AJ163" si="325">(SUM(H137:H140)/SUM(H133:H136)-1)*100</f>
        <v>2.1530611421709978</v>
      </c>
    </row>
    <row r="141" spans="1:36" x14ac:dyDescent="0.15">
      <c r="A141" s="21">
        <f t="shared" si="324"/>
        <v>47664</v>
      </c>
      <c r="B141" s="51">
        <f t="shared" ca="1" si="307"/>
        <v>26060.482579495951</v>
      </c>
      <c r="C141" s="51">
        <f t="shared" ca="1" si="308"/>
        <v>64994.524079293515</v>
      </c>
      <c r="D141" s="51">
        <f t="shared" ca="1" si="309"/>
        <v>225472.15879731119</v>
      </c>
      <c r="E141" s="51">
        <f t="shared" ca="1" si="310"/>
        <v>316527.16545610066</v>
      </c>
      <c r="F141" s="51">
        <f t="shared" ca="1" si="311"/>
        <v>54519.13579221777</v>
      </c>
      <c r="G141" s="51">
        <f t="shared" ca="1" si="290"/>
        <v>371046.3012483184</v>
      </c>
      <c r="H141" s="51">
        <v>371023.65058081388</v>
      </c>
      <c r="I141" s="52">
        <f t="shared" ca="1" si="323"/>
        <v>6.1049120370304522E-3</v>
      </c>
      <c r="K141" s="53">
        <f t="shared" ca="1" si="312"/>
        <v>0.53244693327896275</v>
      </c>
      <c r="L141" s="53">
        <f t="shared" ca="1" si="313"/>
        <v>0.53244693327896275</v>
      </c>
      <c r="M141" s="53">
        <f t="shared" ca="1" si="314"/>
        <v>0.53244693327896275</v>
      </c>
      <c r="N141" s="53">
        <f t="shared" ca="1" si="315"/>
        <v>0.53244693327896275</v>
      </c>
      <c r="O141" s="53">
        <f t="shared" ca="1" si="316"/>
        <v>0.53244693327896275</v>
      </c>
      <c r="P141" s="53">
        <f t="shared" ca="1" si="317"/>
        <v>0.53244693327896275</v>
      </c>
      <c r="Q141" s="53">
        <f t="shared" si="318"/>
        <v>0.51725484057831839</v>
      </c>
      <c r="S141" s="22">
        <f t="shared" ca="1" si="319"/>
        <v>7.023512292622283</v>
      </c>
      <c r="T141" s="22">
        <f t="shared" ca="1" si="320"/>
        <v>17.516553556963419</v>
      </c>
      <c r="U141" s="22">
        <f t="shared" ca="1" si="321"/>
        <v>60.766583048732933</v>
      </c>
      <c r="V141" s="22">
        <f t="shared" ca="1" si="322"/>
        <v>14.693351101681371</v>
      </c>
      <c r="X141" s="25">
        <f t="shared" ca="1" si="296"/>
        <v>0.18502366629896902</v>
      </c>
      <c r="Y141" s="25">
        <f t="shared" ca="1" si="297"/>
        <v>0.46144675555505582</v>
      </c>
      <c r="Z141" s="25">
        <f t="shared" ca="1" si="298"/>
        <v>1.6008024925004449</v>
      </c>
      <c r="AA141" s="25">
        <f t="shared" ca="1" si="299"/>
        <v>2.2472729143544923</v>
      </c>
      <c r="AB141" s="25">
        <f t="shared" ca="1" si="300"/>
        <v>2.2472729143544701</v>
      </c>
      <c r="AC141" s="25">
        <f t="shared" si="301"/>
        <v>2.1346017231459458</v>
      </c>
      <c r="AE141" s="25">
        <f t="shared" ca="1" si="302"/>
        <v>2.2472729143544923</v>
      </c>
      <c r="AF141" s="25">
        <f t="shared" ca="1" si="303"/>
        <v>2.2472729143544923</v>
      </c>
      <c r="AG141" s="25">
        <f t="shared" ca="1" si="304"/>
        <v>2.2472729143544701</v>
      </c>
      <c r="AH141" s="25">
        <f t="shared" ca="1" si="305"/>
        <v>2.2472729143544923</v>
      </c>
      <c r="AI141" s="25">
        <f t="shared" ca="1" si="306"/>
        <v>2.2472729143544701</v>
      </c>
      <c r="AJ141" s="25">
        <f t="shared" si="325"/>
        <v>2.1346017231459458</v>
      </c>
    </row>
    <row r="142" spans="1:36" x14ac:dyDescent="0.15">
      <c r="A142" s="21">
        <f t="shared" si="324"/>
        <v>47756</v>
      </c>
      <c r="B142" s="51">
        <f t="shared" ca="1" si="307"/>
        <v>26197.577623098659</v>
      </c>
      <c r="C142" s="51">
        <f t="shared" ca="1" si="308"/>
        <v>65336.437437398359</v>
      </c>
      <c r="D142" s="51">
        <f t="shared" ca="1" si="309"/>
        <v>226658.28861463987</v>
      </c>
      <c r="E142" s="51">
        <f t="shared" ca="1" si="310"/>
        <v>318192.30367513688</v>
      </c>
      <c r="F142" s="51">
        <f t="shared" ca="1" si="311"/>
        <v>54805.941812628793</v>
      </c>
      <c r="G142" s="51">
        <f t="shared" ca="1" si="290"/>
        <v>372998.24548776564</v>
      </c>
      <c r="H142" s="51">
        <v>372905.91955853056</v>
      </c>
      <c r="I142" s="52">
        <f t="shared" ca="1" si="323"/>
        <v>2.4758504596644748E-2</v>
      </c>
      <c r="K142" s="53">
        <f t="shared" ca="1" si="312"/>
        <v>0.52606486923068019</v>
      </c>
      <c r="L142" s="53">
        <f t="shared" ca="1" si="313"/>
        <v>0.52606486923068019</v>
      </c>
      <c r="M142" s="53">
        <f t="shared" ca="1" si="314"/>
        <v>0.52606486923068019</v>
      </c>
      <c r="N142" s="53">
        <f t="shared" ca="1" si="315"/>
        <v>0.52606486923068019</v>
      </c>
      <c r="O142" s="53">
        <f t="shared" ca="1" si="316"/>
        <v>0.52606486923068019</v>
      </c>
      <c r="P142" s="53">
        <f t="shared" ca="1" si="317"/>
        <v>0.52606486923068019</v>
      </c>
      <c r="Q142" s="53">
        <f t="shared" si="318"/>
        <v>0.50731778817068029</v>
      </c>
      <c r="S142" s="22">
        <f t="shared" ca="1" si="319"/>
        <v>7.023512292622283</v>
      </c>
      <c r="T142" s="22">
        <f t="shared" ca="1" si="320"/>
        <v>17.516553556963419</v>
      </c>
      <c r="U142" s="22">
        <f t="shared" ca="1" si="321"/>
        <v>60.766583048732933</v>
      </c>
      <c r="V142" s="22">
        <f t="shared" ca="1" si="322"/>
        <v>14.693351101681371</v>
      </c>
      <c r="X142" s="25">
        <f t="shared" ca="1" si="296"/>
        <v>0.18229581627889191</v>
      </c>
      <c r="Y142" s="25">
        <f t="shared" ca="1" si="297"/>
        <v>0.45464353104554522</v>
      </c>
      <c r="Z142" s="25">
        <f t="shared" ca="1" si="298"/>
        <v>1.5772014624341215</v>
      </c>
      <c r="AA142" s="25">
        <f t="shared" ca="1" si="299"/>
        <v>2.2141408097585469</v>
      </c>
      <c r="AB142" s="25">
        <f t="shared" ca="1" si="300"/>
        <v>2.2141408097585469</v>
      </c>
      <c r="AC142" s="25">
        <f t="shared" si="301"/>
        <v>2.1144101840569585</v>
      </c>
      <c r="AE142" s="25">
        <f t="shared" ca="1" si="302"/>
        <v>2.2141408097585469</v>
      </c>
      <c r="AF142" s="25">
        <f t="shared" ca="1" si="303"/>
        <v>2.2141408097585469</v>
      </c>
      <c r="AG142" s="25">
        <f t="shared" ca="1" si="304"/>
        <v>2.2141408097585691</v>
      </c>
      <c r="AH142" s="25">
        <f t="shared" ca="1" si="305"/>
        <v>2.2141408097585469</v>
      </c>
      <c r="AI142" s="25">
        <f t="shared" ca="1" si="306"/>
        <v>2.2141408097585469</v>
      </c>
      <c r="AJ142" s="25">
        <f t="shared" si="325"/>
        <v>2.1144101840569585</v>
      </c>
    </row>
    <row r="143" spans="1:36" x14ac:dyDescent="0.15">
      <c r="A143" s="21">
        <f t="shared" si="324"/>
        <v>47848</v>
      </c>
      <c r="B143" s="51">
        <f t="shared" ca="1" si="307"/>
        <v>26333.105136968665</v>
      </c>
      <c r="C143" s="51">
        <f t="shared" ca="1" si="308"/>
        <v>65674.441395566086</v>
      </c>
      <c r="D143" s="51">
        <f t="shared" ca="1" si="309"/>
        <v>227830.85635337944</v>
      </c>
      <c r="E143" s="51">
        <f t="shared" ca="1" si="310"/>
        <v>319838.4028859142</v>
      </c>
      <c r="F143" s="51">
        <f t="shared" ca="1" si="311"/>
        <v>55089.468524374104</v>
      </c>
      <c r="G143" s="51">
        <f t="shared" ca="1" si="290"/>
        <v>374927.87141028827</v>
      </c>
      <c r="H143" s="51">
        <v>374761.19547197584</v>
      </c>
      <c r="I143" s="52">
        <f t="shared" ca="1" si="323"/>
        <v>4.4475239252705911E-2</v>
      </c>
      <c r="K143" s="53">
        <f t="shared" ca="1" si="312"/>
        <v>0.51732841799276841</v>
      </c>
      <c r="L143" s="53">
        <f t="shared" ca="1" si="313"/>
        <v>0.51732841799276841</v>
      </c>
      <c r="M143" s="53">
        <f t="shared" ca="1" si="314"/>
        <v>0.5173284179927462</v>
      </c>
      <c r="N143" s="53">
        <f t="shared" ca="1" si="315"/>
        <v>0.51732841799276841</v>
      </c>
      <c r="O143" s="53">
        <f t="shared" ca="1" si="316"/>
        <v>0.51732841799276841</v>
      </c>
      <c r="P143" s="53">
        <f t="shared" ca="1" si="317"/>
        <v>0.51732841799276841</v>
      </c>
      <c r="Q143" s="53">
        <f t="shared" si="318"/>
        <v>0.49751849357653199</v>
      </c>
      <c r="S143" s="22">
        <f t="shared" ca="1" si="319"/>
        <v>7.0235122926222822</v>
      </c>
      <c r="T143" s="22">
        <f t="shared" ca="1" si="320"/>
        <v>17.516553556963416</v>
      </c>
      <c r="U143" s="22">
        <f t="shared" ca="1" si="321"/>
        <v>60.766583048732926</v>
      </c>
      <c r="V143" s="22">
        <f t="shared" ca="1" si="322"/>
        <v>14.693351101681367</v>
      </c>
      <c r="X143" s="25">
        <f t="shared" ca="1" si="296"/>
        <v>0.17958552922787929</v>
      </c>
      <c r="Y143" s="25">
        <f t="shared" ca="1" si="297"/>
        <v>0.44788410836557263</v>
      </c>
      <c r="Z143" s="25">
        <f t="shared" ca="1" si="298"/>
        <v>1.5537523850623478</v>
      </c>
      <c r="AA143" s="25">
        <f t="shared" ca="1" si="299"/>
        <v>2.1812220226558043</v>
      </c>
      <c r="AB143" s="25">
        <f t="shared" ca="1" si="300"/>
        <v>2.1812220226558043</v>
      </c>
      <c r="AC143" s="25">
        <f t="shared" si="301"/>
        <v>2.0927409091622939</v>
      </c>
      <c r="AE143" s="25">
        <f t="shared" ca="1" si="302"/>
        <v>2.1812220226558043</v>
      </c>
      <c r="AF143" s="25">
        <f t="shared" ca="1" si="303"/>
        <v>2.1812220226558043</v>
      </c>
      <c r="AG143" s="25">
        <f t="shared" ca="1" si="304"/>
        <v>2.1812220226558043</v>
      </c>
      <c r="AH143" s="25">
        <f t="shared" ca="1" si="305"/>
        <v>2.1812220226558043</v>
      </c>
      <c r="AI143" s="25">
        <f t="shared" ca="1" si="306"/>
        <v>2.1812220226558043</v>
      </c>
      <c r="AJ143" s="25">
        <f t="shared" si="325"/>
        <v>2.0927409091622939</v>
      </c>
    </row>
    <row r="144" spans="1:36" x14ac:dyDescent="0.15">
      <c r="A144" s="21">
        <f t="shared" si="324"/>
        <v>47938</v>
      </c>
      <c r="B144" s="51">
        <f t="shared" ca="1" si="307"/>
        <v>26466.661820641672</v>
      </c>
      <c r="C144" s="51">
        <f t="shared" ca="1" si="308"/>
        <v>66007.530127382794</v>
      </c>
      <c r="D144" s="51">
        <f t="shared" ca="1" si="309"/>
        <v>228986.37270645174</v>
      </c>
      <c r="E144" s="51">
        <f t="shared" ca="1" si="310"/>
        <v>321460.56465447618</v>
      </c>
      <c r="F144" s="51">
        <f t="shared" ca="1" si="311"/>
        <v>55368.872213500566</v>
      </c>
      <c r="G144" s="51">
        <f t="shared" ca="1" si="290"/>
        <v>376829.43686797674</v>
      </c>
      <c r="H144" s="51">
        <v>376616.47138542123</v>
      </c>
      <c r="I144" s="52">
        <f t="shared" ca="1" si="323"/>
        <v>5.6547044204435792E-2</v>
      </c>
      <c r="K144" s="53">
        <f t="shared" ca="1" si="312"/>
        <v>0.50718167484740118</v>
      </c>
      <c r="L144" s="53">
        <f t="shared" ca="1" si="313"/>
        <v>0.50718167484740118</v>
      </c>
      <c r="M144" s="53">
        <f t="shared" ca="1" si="314"/>
        <v>0.50718167484742338</v>
      </c>
      <c r="N144" s="53">
        <f t="shared" ca="1" si="315"/>
        <v>0.50718167484740118</v>
      </c>
      <c r="O144" s="53">
        <f t="shared" ca="1" si="316"/>
        <v>0.50718167484742338</v>
      </c>
      <c r="P144" s="53">
        <f t="shared" ca="1" si="317"/>
        <v>0.50718167484742338</v>
      </c>
      <c r="Q144" s="53">
        <f t="shared" si="318"/>
        <v>0.49505550090607198</v>
      </c>
      <c r="S144" s="22">
        <f t="shared" ca="1" si="319"/>
        <v>7.0235122926222822</v>
      </c>
      <c r="T144" s="22">
        <f t="shared" ca="1" si="320"/>
        <v>17.516553556963416</v>
      </c>
      <c r="U144" s="22">
        <f t="shared" ca="1" si="321"/>
        <v>60.766583048732926</v>
      </c>
      <c r="V144" s="22">
        <f t="shared" ca="1" si="322"/>
        <v>14.693351101681367</v>
      </c>
      <c r="W144" s="2">
        <f t="shared" si="256"/>
        <v>2031</v>
      </c>
      <c r="X144" s="25">
        <f t="shared" ca="1" si="296"/>
        <v>0.17688331611187544</v>
      </c>
      <c r="Y144" s="25">
        <f t="shared" ca="1" si="297"/>
        <v>0.44114482198053345</v>
      </c>
      <c r="Z144" s="25">
        <f t="shared" ca="1" si="298"/>
        <v>1.5303731624045376</v>
      </c>
      <c r="AA144" s="25">
        <f t="shared" ca="1" si="299"/>
        <v>2.1484013004969604</v>
      </c>
      <c r="AB144" s="25">
        <f t="shared" ca="1" si="300"/>
        <v>2.1484013004969604</v>
      </c>
      <c r="AC144" s="25">
        <f t="shared" si="301"/>
        <v>2.0696159516466084</v>
      </c>
      <c r="AE144" s="25">
        <f t="shared" ca="1" si="302"/>
        <v>2.1484013004969604</v>
      </c>
      <c r="AF144" s="25">
        <f t="shared" ca="1" si="303"/>
        <v>2.1484013004969604</v>
      </c>
      <c r="AG144" s="25">
        <f t="shared" ca="1" si="304"/>
        <v>2.1484013004969604</v>
      </c>
      <c r="AH144" s="25">
        <f t="shared" ca="1" si="305"/>
        <v>2.1484013004969604</v>
      </c>
      <c r="AI144" s="25">
        <f t="shared" ca="1" si="306"/>
        <v>2.1484013004969604</v>
      </c>
      <c r="AJ144" s="25">
        <f t="shared" si="325"/>
        <v>2.0696159516466084</v>
      </c>
    </row>
    <row r="145" spans="1:36" x14ac:dyDescent="0.15">
      <c r="A145" s="21">
        <f t="shared" si="324"/>
        <v>48029</v>
      </c>
      <c r="B145" s="51">
        <f t="shared" ca="1" si="307"/>
        <v>26598.864239117949</v>
      </c>
      <c r="C145" s="51">
        <f t="shared" ca="1" si="308"/>
        <v>66337.241338400723</v>
      </c>
      <c r="D145" s="51">
        <f t="shared" ca="1" si="309"/>
        <v>230130.17212003298</v>
      </c>
      <c r="E145" s="51">
        <f t="shared" ca="1" si="310"/>
        <v>323066.27769755165</v>
      </c>
      <c r="F145" s="51">
        <f t="shared" ca="1" si="311"/>
        <v>55645.442748331661</v>
      </c>
      <c r="G145" s="51">
        <f t="shared" ca="1" si="290"/>
        <v>378711.72044588329</v>
      </c>
      <c r="H145" s="51">
        <v>378471.74729886651</v>
      </c>
      <c r="I145" s="52">
        <f t="shared" ca="1" si="323"/>
        <v>6.3405828500928685E-2</v>
      </c>
      <c r="K145" s="53">
        <f t="shared" ca="1" si="312"/>
        <v>0.49950545094119558</v>
      </c>
      <c r="L145" s="53">
        <f t="shared" ca="1" si="313"/>
        <v>0.49950545094119558</v>
      </c>
      <c r="M145" s="53">
        <f t="shared" ca="1" si="314"/>
        <v>0.49950545094119558</v>
      </c>
      <c r="N145" s="53">
        <f t="shared" ca="1" si="315"/>
        <v>0.49950545094119558</v>
      </c>
      <c r="O145" s="53">
        <f t="shared" ca="1" si="316"/>
        <v>0.49950545094119558</v>
      </c>
      <c r="P145" s="53">
        <f t="shared" ca="1" si="317"/>
        <v>0.49950545094119558</v>
      </c>
      <c r="Q145" s="53">
        <f t="shared" si="318"/>
        <v>0.49261677446565955</v>
      </c>
      <c r="S145" s="22">
        <f t="shared" ca="1" si="319"/>
        <v>7.023512292622283</v>
      </c>
      <c r="T145" s="22">
        <f t="shared" ca="1" si="320"/>
        <v>17.516553556963419</v>
      </c>
      <c r="U145" s="22">
        <f t="shared" ca="1" si="321"/>
        <v>60.766583048732933</v>
      </c>
      <c r="V145" s="22">
        <f t="shared" ca="1" si="322"/>
        <v>14.693351101681371</v>
      </c>
      <c r="X145" s="25">
        <f t="shared" ca="1" si="296"/>
        <v>0.17417782360010445</v>
      </c>
      <c r="Y145" s="25">
        <f t="shared" ca="1" si="297"/>
        <v>0.43439735682265529</v>
      </c>
      <c r="Z145" s="25">
        <f t="shared" ca="1" si="298"/>
        <v>1.5069655668092556</v>
      </c>
      <c r="AA145" s="25">
        <f t="shared" ca="1" si="299"/>
        <v>2.1155407472320142</v>
      </c>
      <c r="AB145" s="25">
        <f t="shared" ca="1" si="300"/>
        <v>2.1155407472320142</v>
      </c>
      <c r="AC145" s="25">
        <f t="shared" si="301"/>
        <v>2.0450567334215686</v>
      </c>
      <c r="AE145" s="25">
        <f t="shared" ca="1" si="302"/>
        <v>2.1155407472320142</v>
      </c>
      <c r="AF145" s="25">
        <f t="shared" ca="1" si="303"/>
        <v>2.1155407472320142</v>
      </c>
      <c r="AG145" s="25">
        <f t="shared" ca="1" si="304"/>
        <v>2.1155407472320142</v>
      </c>
      <c r="AH145" s="25">
        <f t="shared" ca="1" si="305"/>
        <v>2.1155407472320142</v>
      </c>
      <c r="AI145" s="25">
        <f t="shared" ca="1" si="306"/>
        <v>2.1155407472320142</v>
      </c>
      <c r="AJ145" s="25">
        <f t="shared" si="325"/>
        <v>2.0450567334215686</v>
      </c>
    </row>
    <row r="146" spans="1:36" x14ac:dyDescent="0.15">
      <c r="A146" s="21">
        <f t="shared" si="324"/>
        <v>48121</v>
      </c>
      <c r="B146" s="51">
        <f t="shared" ca="1" si="307"/>
        <v>26730.151364825368</v>
      </c>
      <c r="C146" s="51">
        <f t="shared" ca="1" si="308"/>
        <v>66664.669820473646</v>
      </c>
      <c r="D146" s="51">
        <f t="shared" ca="1" si="309"/>
        <v>231266.0525307371</v>
      </c>
      <c r="E146" s="51">
        <f t="shared" ca="1" si="310"/>
        <v>324660.87371603609</v>
      </c>
      <c r="F146" s="51">
        <f t="shared" ca="1" si="311"/>
        <v>55920.098469398174</v>
      </c>
      <c r="G146" s="51">
        <f t="shared" ca="1" si="290"/>
        <v>380580.97218543425</v>
      </c>
      <c r="H146" s="51">
        <v>380290.53944706498</v>
      </c>
      <c r="I146" s="52">
        <f t="shared" ca="1" si="323"/>
        <v>7.6371276233055951E-2</v>
      </c>
      <c r="K146" s="53">
        <f t="shared" ca="1" si="312"/>
        <v>0.49358169780173711</v>
      </c>
      <c r="L146" s="53">
        <f t="shared" ca="1" si="313"/>
        <v>0.49358169780175931</v>
      </c>
      <c r="M146" s="53">
        <f t="shared" ca="1" si="314"/>
        <v>0.49358169780173711</v>
      </c>
      <c r="N146" s="53">
        <f t="shared" ca="1" si="315"/>
        <v>0.49358169780173711</v>
      </c>
      <c r="O146" s="53">
        <f t="shared" ca="1" si="316"/>
        <v>0.49358169780173711</v>
      </c>
      <c r="P146" s="53">
        <f t="shared" ca="1" si="317"/>
        <v>0.49358169780173711</v>
      </c>
      <c r="Q146" s="53">
        <f t="shared" si="318"/>
        <v>0.48056219815060253</v>
      </c>
      <c r="S146" s="22">
        <f t="shared" ca="1" si="319"/>
        <v>7.023512292622283</v>
      </c>
      <c r="T146" s="22">
        <f t="shared" ca="1" si="320"/>
        <v>17.516553556963419</v>
      </c>
      <c r="U146" s="22">
        <f t="shared" ca="1" si="321"/>
        <v>60.766583048732933</v>
      </c>
      <c r="V146" s="22">
        <f t="shared" ca="1" si="322"/>
        <v>14.693351101681371</v>
      </c>
      <c r="X146" s="25">
        <f t="shared" ca="1" si="296"/>
        <v>0.17145721364636526</v>
      </c>
      <c r="Y146" s="25">
        <f t="shared" ca="1" si="297"/>
        <v>0.42761218894983249</v>
      </c>
      <c r="Z146" s="25">
        <f t="shared" ca="1" si="298"/>
        <v>1.4834271769255079</v>
      </c>
      <c r="AA146" s="25">
        <f t="shared" ca="1" si="299"/>
        <v>2.082496579521731</v>
      </c>
      <c r="AB146" s="25">
        <f t="shared" ca="1" si="300"/>
        <v>2.0824965795216865</v>
      </c>
      <c r="AC146" s="25">
        <f t="shared" si="301"/>
        <v>2.0193134201320628</v>
      </c>
      <c r="AE146" s="25">
        <f t="shared" ca="1" si="302"/>
        <v>2.0824965795216865</v>
      </c>
      <c r="AF146" s="25">
        <f t="shared" ca="1" si="303"/>
        <v>2.0824965795216865</v>
      </c>
      <c r="AG146" s="25">
        <f t="shared" ca="1" si="304"/>
        <v>2.0824965795217087</v>
      </c>
      <c r="AH146" s="25">
        <f t="shared" ca="1" si="305"/>
        <v>2.082496579521731</v>
      </c>
      <c r="AI146" s="25">
        <f t="shared" ca="1" si="306"/>
        <v>2.0824965795216865</v>
      </c>
      <c r="AJ146" s="25">
        <f t="shared" si="325"/>
        <v>2.0193134201320628</v>
      </c>
    </row>
    <row r="147" spans="1:36" x14ac:dyDescent="0.15">
      <c r="A147" s="21">
        <f t="shared" si="324"/>
        <v>48213</v>
      </c>
      <c r="B147" s="51">
        <f t="shared" ca="1" si="307"/>
        <v>26859.674518017306</v>
      </c>
      <c r="C147" s="51">
        <f t="shared" ca="1" si="308"/>
        <v>66987.698976717395</v>
      </c>
      <c r="D147" s="51">
        <f t="shared" ca="1" si="309"/>
        <v>232386.67126353827</v>
      </c>
      <c r="E147" s="51">
        <f t="shared" ca="1" si="310"/>
        <v>326234.044758273</v>
      </c>
      <c r="F147" s="51">
        <f t="shared" ca="1" si="311"/>
        <v>56191.063918927626</v>
      </c>
      <c r="G147" s="51">
        <f t="shared" ca="1" si="290"/>
        <v>382425.10867720057</v>
      </c>
      <c r="H147" s="51">
        <v>382072.84783001675</v>
      </c>
      <c r="I147" s="52">
        <f t="shared" ca="1" si="323"/>
        <v>9.2197299332963389E-2</v>
      </c>
      <c r="K147" s="53">
        <f t="shared" ca="1" si="312"/>
        <v>0.48455824819002569</v>
      </c>
      <c r="L147" s="53">
        <f t="shared" ca="1" si="313"/>
        <v>0.48455824819002569</v>
      </c>
      <c r="M147" s="53">
        <f t="shared" ca="1" si="314"/>
        <v>0.48455824819002569</v>
      </c>
      <c r="N147" s="53">
        <f t="shared" ca="1" si="315"/>
        <v>0.48455824819004789</v>
      </c>
      <c r="O147" s="53">
        <f t="shared" ca="1" si="316"/>
        <v>0.48455824819002569</v>
      </c>
      <c r="P147" s="53">
        <f t="shared" ca="1" si="317"/>
        <v>0.48455824819002569</v>
      </c>
      <c r="Q147" s="53">
        <f t="shared" si="318"/>
        <v>0.46867018715301967</v>
      </c>
      <c r="S147" s="22">
        <f t="shared" ca="1" si="319"/>
        <v>7.023512292622283</v>
      </c>
      <c r="T147" s="22">
        <f t="shared" ca="1" si="320"/>
        <v>17.516553556963419</v>
      </c>
      <c r="U147" s="22">
        <f t="shared" ca="1" si="321"/>
        <v>60.766583048732933</v>
      </c>
      <c r="V147" s="22">
        <f t="shared" ca="1" si="322"/>
        <v>14.693351101681371</v>
      </c>
      <c r="X147" s="25">
        <f t="shared" ca="1" si="296"/>
        <v>0.16871851362929347</v>
      </c>
      <c r="Y147" s="25">
        <f t="shared" ca="1" si="297"/>
        <v>0.42078190468082471</v>
      </c>
      <c r="Z147" s="25">
        <f t="shared" ca="1" si="298"/>
        <v>1.4597322739910126</v>
      </c>
      <c r="AA147" s="25">
        <f t="shared" ca="1" si="299"/>
        <v>2.0492326923011284</v>
      </c>
      <c r="AB147" s="25">
        <f t="shared" ca="1" si="300"/>
        <v>2.0492326923011284</v>
      </c>
      <c r="AC147" s="25">
        <f t="shared" si="301"/>
        <v>1.9926299978546336</v>
      </c>
      <c r="AE147" s="25">
        <f t="shared" ca="1" si="302"/>
        <v>2.0492326923011284</v>
      </c>
      <c r="AF147" s="25">
        <f t="shared" ca="1" si="303"/>
        <v>2.0492326923011284</v>
      </c>
      <c r="AG147" s="25">
        <f t="shared" ca="1" si="304"/>
        <v>2.0492326923011506</v>
      </c>
      <c r="AH147" s="25">
        <f t="shared" ca="1" si="305"/>
        <v>2.0492326923011284</v>
      </c>
      <c r="AI147" s="25">
        <f t="shared" ca="1" si="306"/>
        <v>2.0492326923011284</v>
      </c>
      <c r="AJ147" s="25">
        <f t="shared" si="325"/>
        <v>1.9926299978546336</v>
      </c>
    </row>
    <row r="148" spans="1:36" x14ac:dyDescent="0.15">
      <c r="A148" s="21">
        <f t="shared" si="324"/>
        <v>48304</v>
      </c>
      <c r="B148" s="51">
        <f t="shared" ca="1" si="307"/>
        <v>26986.881239543451</v>
      </c>
      <c r="C148" s="51">
        <f t="shared" ca="1" si="308"/>
        <v>67304.950980783658</v>
      </c>
      <c r="D148" s="51">
        <f t="shared" ca="1" si="309"/>
        <v>233487.24850835852</v>
      </c>
      <c r="E148" s="51">
        <f t="shared" ca="1" si="310"/>
        <v>327779.08072868566</v>
      </c>
      <c r="F148" s="51">
        <f t="shared" ca="1" si="311"/>
        <v>56457.183339525895</v>
      </c>
      <c r="G148" s="51">
        <f t="shared" ca="1" si="290"/>
        <v>384236.26406821149</v>
      </c>
      <c r="H148" s="51">
        <v>383855.1562129684</v>
      </c>
      <c r="I148" s="52">
        <f t="shared" ca="1" si="323"/>
        <v>9.9284287074064004E-2</v>
      </c>
      <c r="K148" s="53">
        <f t="shared" ca="1" si="312"/>
        <v>0.47359740506467407</v>
      </c>
      <c r="L148" s="53">
        <f t="shared" ca="1" si="313"/>
        <v>0.47359740506467407</v>
      </c>
      <c r="M148" s="53">
        <f t="shared" ca="1" si="314"/>
        <v>0.47359740506465187</v>
      </c>
      <c r="N148" s="53">
        <f t="shared" ca="1" si="315"/>
        <v>0.47359740506465187</v>
      </c>
      <c r="O148" s="53">
        <f t="shared" ca="1" si="316"/>
        <v>0.47359740506467407</v>
      </c>
      <c r="P148" s="53">
        <f t="shared" ca="1" si="317"/>
        <v>0.47359740506465187</v>
      </c>
      <c r="Q148" s="53">
        <f t="shared" si="318"/>
        <v>0.46648391611030515</v>
      </c>
      <c r="S148" s="22">
        <f t="shared" ca="1" si="319"/>
        <v>7.023512292622283</v>
      </c>
      <c r="T148" s="22">
        <f t="shared" ca="1" si="320"/>
        <v>17.516553556963423</v>
      </c>
      <c r="U148" s="22">
        <f t="shared" ca="1" si="321"/>
        <v>60.766583048732933</v>
      </c>
      <c r="V148" s="22">
        <f t="shared" ca="1" si="322"/>
        <v>14.693351101681371</v>
      </c>
      <c r="W148" s="2">
        <f t="shared" si="256"/>
        <v>2032</v>
      </c>
      <c r="X148" s="25">
        <f t="shared" ca="1" si="296"/>
        <v>0.16596501589922669</v>
      </c>
      <c r="Y148" s="25">
        <f t="shared" ca="1" si="297"/>
        <v>0.41391471509701389</v>
      </c>
      <c r="Z148" s="25">
        <f t="shared" ca="1" si="298"/>
        <v>1.4359093430246346</v>
      </c>
      <c r="AA148" s="25">
        <f t="shared" ca="1" si="299"/>
        <v>2.0157890740208684</v>
      </c>
      <c r="AB148" s="25">
        <f t="shared" ca="1" si="300"/>
        <v>2.0157890740208462</v>
      </c>
      <c r="AC148" s="25">
        <f t="shared" si="301"/>
        <v>1.9650178281213515</v>
      </c>
      <c r="AE148" s="25">
        <f t="shared" ca="1" si="302"/>
        <v>2.0157890740208462</v>
      </c>
      <c r="AF148" s="25">
        <f t="shared" ca="1" si="303"/>
        <v>2.0157890740208684</v>
      </c>
      <c r="AG148" s="25">
        <f t="shared" ca="1" si="304"/>
        <v>2.0157890740208684</v>
      </c>
      <c r="AH148" s="25">
        <f t="shared" ca="1" si="305"/>
        <v>2.0157890740208684</v>
      </c>
      <c r="AI148" s="25">
        <f t="shared" ca="1" si="306"/>
        <v>2.0157890740208462</v>
      </c>
      <c r="AJ148" s="25">
        <f t="shared" si="325"/>
        <v>1.9650178281213515</v>
      </c>
    </row>
    <row r="149" spans="1:36" x14ac:dyDescent="0.15">
      <c r="A149" s="21">
        <f t="shared" si="324"/>
        <v>48395</v>
      </c>
      <c r="B149" s="51">
        <f t="shared" ca="1" si="307"/>
        <v>27112.584167422312</v>
      </c>
      <c r="C149" s="51">
        <f t="shared" ca="1" si="308"/>
        <v>67618.45254192852</v>
      </c>
      <c r="D149" s="51">
        <f t="shared" ca="1" si="309"/>
        <v>234574.81511152993</v>
      </c>
      <c r="E149" s="51">
        <f t="shared" ca="1" si="310"/>
        <v>329305.85182088078</v>
      </c>
      <c r="F149" s="51">
        <f t="shared" ca="1" si="311"/>
        <v>56720.156788831817</v>
      </c>
      <c r="G149" s="51">
        <f t="shared" ca="1" si="290"/>
        <v>386026.00860971253</v>
      </c>
      <c r="H149" s="51">
        <v>385637.46459592017</v>
      </c>
      <c r="I149" s="52">
        <f t="shared" ca="1" si="323"/>
        <v>0.10075369990296679</v>
      </c>
      <c r="K149" s="53">
        <f t="shared" ca="1" si="312"/>
        <v>0.46579271892548402</v>
      </c>
      <c r="L149" s="53">
        <f t="shared" ca="1" si="313"/>
        <v>0.46579271892548402</v>
      </c>
      <c r="M149" s="53">
        <f t="shared" ca="1" si="314"/>
        <v>0.46579271892548402</v>
      </c>
      <c r="N149" s="53">
        <f t="shared" ca="1" si="315"/>
        <v>0.46579271892548402</v>
      </c>
      <c r="O149" s="53">
        <f t="shared" ca="1" si="316"/>
        <v>0.46579271892548402</v>
      </c>
      <c r="P149" s="53">
        <f t="shared" ca="1" si="317"/>
        <v>0.46579271892548402</v>
      </c>
      <c r="Q149" s="53">
        <f t="shared" si="318"/>
        <v>0.46431794756534028</v>
      </c>
      <c r="S149" s="22">
        <f t="shared" ca="1" si="319"/>
        <v>7.0235122926222822</v>
      </c>
      <c r="T149" s="22">
        <f t="shared" ca="1" si="320"/>
        <v>17.516553556963419</v>
      </c>
      <c r="U149" s="22">
        <f t="shared" ca="1" si="321"/>
        <v>60.766583048732926</v>
      </c>
      <c r="V149" s="22">
        <f t="shared" ca="1" si="322"/>
        <v>14.693351101681367</v>
      </c>
      <c r="X149" s="25">
        <f t="shared" ca="1" si="296"/>
        <v>0.163195988496212</v>
      </c>
      <c r="Y149" s="25">
        <f t="shared" ca="1" si="297"/>
        <v>0.40700879469924206</v>
      </c>
      <c r="Z149" s="25">
        <f t="shared" ca="1" si="298"/>
        <v>1.4119520511969756</v>
      </c>
      <c r="AA149" s="25">
        <f t="shared" ca="1" si="299"/>
        <v>1.9821568343924456</v>
      </c>
      <c r="AB149" s="25">
        <f t="shared" ca="1" si="300"/>
        <v>1.9821568343924234</v>
      </c>
      <c r="AC149" s="25">
        <f t="shared" si="301"/>
        <v>1.9364878445807587</v>
      </c>
      <c r="AE149" s="25">
        <f t="shared" ca="1" si="302"/>
        <v>1.9821568343924234</v>
      </c>
      <c r="AF149" s="25">
        <f t="shared" ca="1" si="303"/>
        <v>1.9821568343924234</v>
      </c>
      <c r="AG149" s="25">
        <f t="shared" ca="1" si="304"/>
        <v>1.9821568343924234</v>
      </c>
      <c r="AH149" s="25">
        <f t="shared" ca="1" si="305"/>
        <v>1.9821568343924456</v>
      </c>
      <c r="AI149" s="25">
        <f t="shared" ca="1" si="306"/>
        <v>1.9821568343924234</v>
      </c>
      <c r="AJ149" s="25">
        <f t="shared" si="325"/>
        <v>1.9364878445807587</v>
      </c>
    </row>
    <row r="150" spans="1:36" x14ac:dyDescent="0.15">
      <c r="A150" s="21">
        <f t="shared" si="324"/>
        <v>48487</v>
      </c>
      <c r="B150" s="51">
        <f t="shared" ca="1" si="307"/>
        <v>27237.348199107641</v>
      </c>
      <c r="C150" s="51">
        <f t="shared" ca="1" si="308"/>
        <v>67929.612507476588</v>
      </c>
      <c r="D150" s="51">
        <f t="shared" ca="1" si="309"/>
        <v>235654.25849783467</v>
      </c>
      <c r="E150" s="51">
        <f t="shared" ca="1" si="310"/>
        <v>330821.21920441894</v>
      </c>
      <c r="F150" s="51">
        <f t="shared" ca="1" si="311"/>
        <v>56981.166045459657</v>
      </c>
      <c r="G150" s="51">
        <f t="shared" ca="1" si="290"/>
        <v>387802.38524987851</v>
      </c>
      <c r="H150" s="51">
        <v>387376.85146243614</v>
      </c>
      <c r="I150" s="52">
        <f t="shared" ca="1" si="323"/>
        <v>0.10985008160293575</v>
      </c>
      <c r="K150" s="53">
        <f t="shared" ca="1" si="312"/>
        <v>0.46017019593154185</v>
      </c>
      <c r="L150" s="53">
        <f t="shared" ca="1" si="313"/>
        <v>0.46017019593154185</v>
      </c>
      <c r="M150" s="53">
        <f t="shared" ca="1" si="314"/>
        <v>0.46017019593151964</v>
      </c>
      <c r="N150" s="53">
        <f t="shared" ca="1" si="315"/>
        <v>0.46017019593154185</v>
      </c>
      <c r="O150" s="53">
        <f t="shared" ca="1" si="316"/>
        <v>0.46017019593154185</v>
      </c>
      <c r="P150" s="53">
        <f t="shared" ca="1" si="317"/>
        <v>0.46017019593151964</v>
      </c>
      <c r="Q150" s="53">
        <f t="shared" si="318"/>
        <v>0.45104198274370511</v>
      </c>
      <c r="S150" s="22">
        <f t="shared" ca="1" si="319"/>
        <v>7.023512292622283</v>
      </c>
      <c r="T150" s="22">
        <f t="shared" ca="1" si="320"/>
        <v>17.516553556963423</v>
      </c>
      <c r="U150" s="22">
        <f t="shared" ca="1" si="321"/>
        <v>60.766583048732933</v>
      </c>
      <c r="V150" s="22">
        <f t="shared" ca="1" si="322"/>
        <v>14.693351101681371</v>
      </c>
      <c r="X150" s="25">
        <f t="shared" ca="1" si="296"/>
        <v>0.16040835264183562</v>
      </c>
      <c r="Y150" s="25">
        <f t="shared" ca="1" si="297"/>
        <v>0.40005646505189613</v>
      </c>
      <c r="Z150" s="25">
        <f t="shared" ca="1" si="298"/>
        <v>1.3878337612877203</v>
      </c>
      <c r="AA150" s="25">
        <f t="shared" ca="1" si="299"/>
        <v>1.9482985789814666</v>
      </c>
      <c r="AB150" s="25">
        <f t="shared" ca="1" si="300"/>
        <v>1.9482985789814444</v>
      </c>
      <c r="AC150" s="25">
        <f t="shared" si="301"/>
        <v>1.9072647160475187</v>
      </c>
      <c r="AE150" s="25">
        <f t="shared" ca="1" si="302"/>
        <v>1.9482985789814444</v>
      </c>
      <c r="AF150" s="25">
        <f t="shared" ca="1" si="303"/>
        <v>1.9482985789814666</v>
      </c>
      <c r="AG150" s="25">
        <f t="shared" ca="1" si="304"/>
        <v>1.9482985789814444</v>
      </c>
      <c r="AH150" s="25">
        <f t="shared" ca="1" si="305"/>
        <v>1.9482985789814666</v>
      </c>
      <c r="AI150" s="25">
        <f t="shared" ca="1" si="306"/>
        <v>1.9482985789814444</v>
      </c>
      <c r="AJ150" s="25">
        <f t="shared" si="325"/>
        <v>1.9072647160475187</v>
      </c>
    </row>
    <row r="151" spans="1:36" x14ac:dyDescent="0.15">
      <c r="A151" s="21">
        <f t="shared" si="324"/>
        <v>48579</v>
      </c>
      <c r="B151" s="51">
        <f t="shared" ca="1" si="307"/>
        <v>27360.19747350438</v>
      </c>
      <c r="C151" s="51">
        <f t="shared" ca="1" si="308"/>
        <v>68235.997091819794</v>
      </c>
      <c r="D151" s="51">
        <f t="shared" ca="1" si="309"/>
        <v>236717.13563452702</v>
      </c>
      <c r="E151" s="51">
        <f t="shared" ca="1" si="310"/>
        <v>332313.33019985125</v>
      </c>
      <c r="F151" s="51">
        <f t="shared" ca="1" si="311"/>
        <v>57238.16958529743</v>
      </c>
      <c r="G151" s="51">
        <f t="shared" ca="1" si="290"/>
        <v>389551.4997851486</v>
      </c>
      <c r="H151" s="51">
        <v>389073.31681251642</v>
      </c>
      <c r="I151" s="52">
        <f t="shared" ca="1" si="323"/>
        <v>0.12290304988007428</v>
      </c>
      <c r="K151" s="53">
        <f t="shared" ca="1" si="312"/>
        <v>0.45103243347590638</v>
      </c>
      <c r="L151" s="53">
        <f t="shared" ca="1" si="313"/>
        <v>0.45103243347588418</v>
      </c>
      <c r="M151" s="53">
        <f t="shared" ca="1" si="314"/>
        <v>0.45103243347588418</v>
      </c>
      <c r="N151" s="53">
        <f t="shared" ca="1" si="315"/>
        <v>0.45103243347588418</v>
      </c>
      <c r="O151" s="53">
        <f t="shared" ca="1" si="316"/>
        <v>0.45103243347588418</v>
      </c>
      <c r="P151" s="53">
        <f t="shared" ca="1" si="317"/>
        <v>0.45103243347588418</v>
      </c>
      <c r="Q151" s="53">
        <f t="shared" si="318"/>
        <v>0.43793668714993128</v>
      </c>
      <c r="S151" s="22">
        <f t="shared" ca="1" si="319"/>
        <v>7.023512292622283</v>
      </c>
      <c r="T151" s="22">
        <f t="shared" ca="1" si="320"/>
        <v>17.516553556963419</v>
      </c>
      <c r="U151" s="22">
        <f t="shared" ca="1" si="321"/>
        <v>60.766583048732933</v>
      </c>
      <c r="V151" s="22">
        <f t="shared" ca="1" si="322"/>
        <v>14.693351101681371</v>
      </c>
      <c r="X151" s="25">
        <f t="shared" ca="1" si="296"/>
        <v>0.15760574653872911</v>
      </c>
      <c r="Y151" s="25">
        <f t="shared" ca="1" si="297"/>
        <v>0.39306679978773224</v>
      </c>
      <c r="Z151" s="25">
        <f t="shared" ca="1" si="298"/>
        <v>1.3635859505881764</v>
      </c>
      <c r="AA151" s="25">
        <f t="shared" ca="1" si="299"/>
        <v>1.914258496914667</v>
      </c>
      <c r="AB151" s="25">
        <f t="shared" ca="1" si="300"/>
        <v>1.9142584969146448</v>
      </c>
      <c r="AC151" s="25">
        <f t="shared" si="301"/>
        <v>1.8775678255927852</v>
      </c>
      <c r="AE151" s="25">
        <f t="shared" ca="1" si="302"/>
        <v>1.914258496914667</v>
      </c>
      <c r="AF151" s="25">
        <f t="shared" ca="1" si="303"/>
        <v>1.914258496914667</v>
      </c>
      <c r="AG151" s="25">
        <f t="shared" ca="1" si="304"/>
        <v>1.9142584969146448</v>
      </c>
      <c r="AH151" s="25">
        <f t="shared" ca="1" si="305"/>
        <v>1.914258496914667</v>
      </c>
      <c r="AI151" s="25">
        <f t="shared" ca="1" si="306"/>
        <v>1.9142584969146448</v>
      </c>
      <c r="AJ151" s="25">
        <f t="shared" si="325"/>
        <v>1.8775678255927852</v>
      </c>
    </row>
    <row r="152" spans="1:36" x14ac:dyDescent="0.15">
      <c r="A152" s="21">
        <f t="shared" si="324"/>
        <v>48669</v>
      </c>
      <c r="B152" s="51">
        <f t="shared" ca="1" si="307"/>
        <v>27480.488367157566</v>
      </c>
      <c r="C152" s="51">
        <f t="shared" ca="1" si="308"/>
        <v>68536.00110595164</v>
      </c>
      <c r="D152" s="51">
        <f t="shared" ca="1" si="309"/>
        <v>237757.87796893727</v>
      </c>
      <c r="E152" s="51">
        <f t="shared" ca="1" si="310"/>
        <v>333774.36744204652</v>
      </c>
      <c r="F152" s="51">
        <f t="shared" ca="1" si="311"/>
        <v>57489.820933104987</v>
      </c>
      <c r="G152" s="51">
        <f t="shared" ca="1" si="290"/>
        <v>391264.18837515143</v>
      </c>
      <c r="H152" s="51">
        <v>390769.7821625967</v>
      </c>
      <c r="I152" s="52">
        <f t="shared" ca="1" si="323"/>
        <v>0.12652109633928266</v>
      </c>
      <c r="K152" s="53">
        <f t="shared" ca="1" si="312"/>
        <v>0.43965652576036796</v>
      </c>
      <c r="L152" s="53">
        <f t="shared" ca="1" si="313"/>
        <v>0.43965652576036796</v>
      </c>
      <c r="M152" s="53">
        <f t="shared" ca="1" si="314"/>
        <v>0.43965652576039016</v>
      </c>
      <c r="N152" s="53">
        <f t="shared" ca="1" si="315"/>
        <v>0.43965652576036796</v>
      </c>
      <c r="O152" s="53">
        <f t="shared" ca="1" si="316"/>
        <v>0.43965652576039016</v>
      </c>
      <c r="P152" s="53">
        <f t="shared" ca="1" si="317"/>
        <v>0.43965652576036796</v>
      </c>
      <c r="Q152" s="53">
        <f t="shared" si="318"/>
        <v>0.43602716423181143</v>
      </c>
      <c r="S152" s="22">
        <f t="shared" ca="1" si="319"/>
        <v>7.0235122926222822</v>
      </c>
      <c r="T152" s="22">
        <f t="shared" ca="1" si="320"/>
        <v>17.516553556963416</v>
      </c>
      <c r="U152" s="22">
        <f t="shared" ca="1" si="321"/>
        <v>60.766583048732926</v>
      </c>
      <c r="V152" s="22">
        <f t="shared" ca="1" si="322"/>
        <v>14.693351101681367</v>
      </c>
      <c r="W152" s="2">
        <f t="shared" si="256"/>
        <v>2033</v>
      </c>
      <c r="X152" s="25">
        <f t="shared" ca="1" si="296"/>
        <v>0.15479638153977004</v>
      </c>
      <c r="Y152" s="25">
        <f t="shared" ca="1" si="297"/>
        <v>0.38606027792017372</v>
      </c>
      <c r="Z152" s="25">
        <f t="shared" ca="1" si="298"/>
        <v>1.3392796627352022</v>
      </c>
      <c r="AA152" s="25">
        <f t="shared" ca="1" si="299"/>
        <v>1.8801363221951695</v>
      </c>
      <c r="AB152" s="25">
        <f t="shared" ca="1" si="300"/>
        <v>1.8801363221951695</v>
      </c>
      <c r="AC152" s="25">
        <f t="shared" si="301"/>
        <v>1.847399725355281</v>
      </c>
      <c r="AE152" s="25">
        <f t="shared" ca="1" si="302"/>
        <v>1.8801363221951473</v>
      </c>
      <c r="AF152" s="25">
        <f t="shared" ca="1" si="303"/>
        <v>1.8801363221951473</v>
      </c>
      <c r="AG152" s="25">
        <f t="shared" ca="1" si="304"/>
        <v>1.8801363221951473</v>
      </c>
      <c r="AH152" s="25">
        <f t="shared" ca="1" si="305"/>
        <v>1.8801363221951695</v>
      </c>
      <c r="AI152" s="25">
        <f t="shared" ca="1" si="306"/>
        <v>1.8801363221951695</v>
      </c>
      <c r="AJ152" s="25">
        <f t="shared" si="325"/>
        <v>1.847399725355281</v>
      </c>
    </row>
    <row r="153" spans="1:36" x14ac:dyDescent="0.15">
      <c r="A153" s="21">
        <f t="shared" si="324"/>
        <v>48760</v>
      </c>
      <c r="B153" s="51">
        <f t="shared" ca="1" si="307"/>
        <v>27599.172947009822</v>
      </c>
      <c r="C153" s="51">
        <f t="shared" ca="1" si="308"/>
        <v>68831.998993155663</v>
      </c>
      <c r="D153" s="51">
        <f t="shared" ca="1" si="309"/>
        <v>238784.72266966797</v>
      </c>
      <c r="E153" s="51">
        <f t="shared" ca="1" si="310"/>
        <v>335215.89460983349</v>
      </c>
      <c r="F153" s="51">
        <f t="shared" ca="1" si="311"/>
        <v>57738.111835073869</v>
      </c>
      <c r="G153" s="51">
        <f t="shared" ca="1" si="290"/>
        <v>392954.00644490728</v>
      </c>
      <c r="H153" s="51">
        <v>392466.24751267699</v>
      </c>
      <c r="I153" s="52">
        <f t="shared" ca="1" si="323"/>
        <v>0.12428047897661276</v>
      </c>
      <c r="K153" s="53"/>
      <c r="L153" s="53">
        <f t="shared" ca="1" si="313"/>
        <v>0.43188672001219786</v>
      </c>
      <c r="M153" s="53">
        <f t="shared" ca="1" si="314"/>
        <v>0.43188672001222006</v>
      </c>
      <c r="N153" s="53">
        <f t="shared" ca="1" si="315"/>
        <v>0.43188672001222006</v>
      </c>
      <c r="O153" s="53">
        <f t="shared" ca="1" si="316"/>
        <v>0.43188672001222006</v>
      </c>
      <c r="P153" s="53">
        <f t="shared" ca="1" si="317"/>
        <v>0.43188672001222006</v>
      </c>
      <c r="Q153" s="53">
        <f t="shared" si="318"/>
        <v>0.43413422109859212</v>
      </c>
      <c r="S153" s="22">
        <f t="shared" ca="1" si="319"/>
        <v>7.0235122926222822</v>
      </c>
      <c r="T153" s="22">
        <f t="shared" ca="1" si="320"/>
        <v>17.516553556963416</v>
      </c>
      <c r="U153" s="22">
        <f t="shared" ca="1" si="321"/>
        <v>60.766583048732926</v>
      </c>
      <c r="V153" s="22">
        <f t="shared" ca="1" si="322"/>
        <v>14.693351101681367</v>
      </c>
      <c r="X153" s="25">
        <f t="shared" ca="1" si="296"/>
        <v>0.15198366361797089</v>
      </c>
      <c r="Y153" s="25">
        <f t="shared" ca="1" si="297"/>
        <v>0.37904539390415826</v>
      </c>
      <c r="Z153" s="25">
        <f t="shared" ca="1" si="298"/>
        <v>1.314944365797351</v>
      </c>
      <c r="AA153" s="25">
        <f t="shared" ca="1" si="299"/>
        <v>1.8459734233194913</v>
      </c>
      <c r="AB153" s="25">
        <f t="shared" ca="1" si="300"/>
        <v>1.8459734233194913</v>
      </c>
      <c r="AC153" s="25">
        <f t="shared" si="301"/>
        <v>1.816762784318704</v>
      </c>
      <c r="AE153" s="25">
        <f t="shared" ca="1" si="302"/>
        <v>1.8459734233194913</v>
      </c>
      <c r="AF153" s="25">
        <f t="shared" ca="1" si="303"/>
        <v>1.8459734233194913</v>
      </c>
      <c r="AG153" s="25">
        <f t="shared" ca="1" si="304"/>
        <v>1.8459734233194913</v>
      </c>
      <c r="AH153" s="25">
        <f t="shared" ca="1" si="305"/>
        <v>1.8459734233194913</v>
      </c>
      <c r="AI153" s="25">
        <f t="shared" ca="1" si="306"/>
        <v>1.8459734233194913</v>
      </c>
      <c r="AJ153" s="25">
        <f t="shared" si="325"/>
        <v>1.816762784318704</v>
      </c>
    </row>
    <row r="154" spans="1:36" x14ac:dyDescent="0.15">
      <c r="A154" s="21">
        <f t="shared" si="324"/>
        <v>48852</v>
      </c>
      <c r="B154" s="51">
        <f t="shared" ca="1" si="307"/>
        <v>27716.905336057713</v>
      </c>
      <c r="C154" s="51">
        <f t="shared" ca="1" si="308"/>
        <v>69125.622128166462</v>
      </c>
      <c r="D154" s="51">
        <f t="shared" ca="1" si="309"/>
        <v>239803.32913015917</v>
      </c>
      <c r="E154" s="51">
        <f t="shared" ca="1" si="310"/>
        <v>336645.85659438337</v>
      </c>
      <c r="F154" s="51">
        <f t="shared" ca="1" si="311"/>
        <v>57984.410731729535</v>
      </c>
      <c r="G154" s="51">
        <f t="shared" ca="1" si="290"/>
        <v>394630.26732611284</v>
      </c>
      <c r="H154" s="51">
        <v>394116.12182311551</v>
      </c>
      <c r="I154" s="52">
        <f t="shared" ca="1" si="323"/>
        <v>0.1304553339809944</v>
      </c>
      <c r="K154" s="53">
        <f t="shared" ca="1" si="312"/>
        <v>0.42657940973063191</v>
      </c>
      <c r="L154" s="53">
        <f t="shared" ca="1" si="313"/>
        <v>0.42657940973063191</v>
      </c>
      <c r="M154" s="53">
        <f t="shared" ca="1" si="314"/>
        <v>0.42657940973063191</v>
      </c>
      <c r="N154" s="53">
        <f t="shared" ca="1" si="315"/>
        <v>0.42657940973063191</v>
      </c>
      <c r="O154" s="53">
        <f t="shared" ca="1" si="316"/>
        <v>0.42657940973063191</v>
      </c>
      <c r="P154" s="53">
        <f t="shared" ca="1" si="317"/>
        <v>0.42657940973063191</v>
      </c>
      <c r="Q154" s="53">
        <f t="shared" si="318"/>
        <v>0.42038629331691002</v>
      </c>
      <c r="S154" s="22">
        <f t="shared" ca="1" si="319"/>
        <v>7.0235122926222822</v>
      </c>
      <c r="T154" s="22">
        <f t="shared" ca="1" si="320"/>
        <v>17.516553556963416</v>
      </c>
      <c r="U154" s="22">
        <f t="shared" ca="1" si="321"/>
        <v>60.766583048732926</v>
      </c>
      <c r="V154" s="22">
        <f t="shared" ca="1" si="322"/>
        <v>14.693351101681367</v>
      </c>
      <c r="X154" s="25">
        <f t="shared" ca="1" si="296"/>
        <v>0.14916795063733435</v>
      </c>
      <c r="Y154" s="25">
        <f t="shared" ca="1" si="297"/>
        <v>0.37202304024811023</v>
      </c>
      <c r="Z154" s="25">
        <f t="shared" ca="1" si="298"/>
        <v>1.2905831559709018</v>
      </c>
      <c r="AA154" s="25">
        <f t="shared" ca="1" si="299"/>
        <v>1.8117741468563375</v>
      </c>
      <c r="AB154" s="25">
        <f t="shared" ca="1" si="300"/>
        <v>1.8117741468563375</v>
      </c>
      <c r="AC154" s="25">
        <f t="shared" si="301"/>
        <v>1.785846542172842</v>
      </c>
      <c r="AE154" s="25">
        <f t="shared" ca="1" si="302"/>
        <v>1.8117741468563597</v>
      </c>
      <c r="AF154" s="25">
        <f t="shared" ca="1" si="303"/>
        <v>1.8117741468563375</v>
      </c>
      <c r="AG154" s="25">
        <f t="shared" ca="1" si="304"/>
        <v>1.8117741468563597</v>
      </c>
      <c r="AH154" s="25">
        <f t="shared" ca="1" si="305"/>
        <v>1.8117741468563375</v>
      </c>
      <c r="AI154" s="25">
        <f t="shared" ca="1" si="306"/>
        <v>1.8117741468563375</v>
      </c>
      <c r="AJ154" s="25">
        <f t="shared" si="325"/>
        <v>1.785846542172842</v>
      </c>
    </row>
    <row r="155" spans="1:36" x14ac:dyDescent="0.15">
      <c r="A155" s="21">
        <f t="shared" si="324"/>
        <v>48944</v>
      </c>
      <c r="B155" s="51">
        <f t="shared" ca="1" si="307"/>
        <v>27832.647777520124</v>
      </c>
      <c r="C155" s="51">
        <f t="shared" ca="1" si="308"/>
        <v>69414.282358293727</v>
      </c>
      <c r="D155" s="51">
        <f t="shared" ca="1" si="309"/>
        <v>240804.71880363871</v>
      </c>
      <c r="E155" s="51">
        <f t="shared" ca="1" si="310"/>
        <v>338051.6489394526</v>
      </c>
      <c r="F155" s="51">
        <f t="shared" ca="1" si="311"/>
        <v>58226.546611744925</v>
      </c>
      <c r="G155" s="51">
        <f t="shared" ca="1" si="290"/>
        <v>396278.19555119745</v>
      </c>
      <c r="H155" s="51">
        <v>395719.40509391227</v>
      </c>
      <c r="I155" s="52">
        <f t="shared" ca="1" si="323"/>
        <v>0.14120875804728428</v>
      </c>
      <c r="K155" s="53">
        <f t="shared" ca="1" si="312"/>
        <v>0.41758789467682966</v>
      </c>
      <c r="L155" s="53">
        <f t="shared" ca="1" si="313"/>
        <v>0.41758789467682966</v>
      </c>
      <c r="M155" s="53">
        <f t="shared" ca="1" si="314"/>
        <v>0.41758789467680746</v>
      </c>
      <c r="N155" s="53">
        <f t="shared" ca="1" si="315"/>
        <v>0.41758789467682966</v>
      </c>
      <c r="O155" s="53">
        <f t="shared" ca="1" si="316"/>
        <v>0.41758789467682966</v>
      </c>
      <c r="P155" s="53">
        <f t="shared" ca="1" si="317"/>
        <v>0.41758789467680746</v>
      </c>
      <c r="Q155" s="53">
        <f t="shared" si="318"/>
        <v>0.406804792298332</v>
      </c>
      <c r="S155" s="22">
        <f t="shared" ca="1" si="319"/>
        <v>7.023512292622283</v>
      </c>
      <c r="T155" s="22">
        <f t="shared" ca="1" si="320"/>
        <v>17.516553556963419</v>
      </c>
      <c r="U155" s="22">
        <f t="shared" ca="1" si="321"/>
        <v>60.766583048732933</v>
      </c>
      <c r="V155" s="22">
        <f t="shared" ca="1" si="322"/>
        <v>14.693351101681371</v>
      </c>
      <c r="X155" s="25">
        <f t="shared" ca="1" si="296"/>
        <v>0.1463547065150034</v>
      </c>
      <c r="Y155" s="25">
        <f t="shared" ca="1" si="297"/>
        <v>0.36500684389442006</v>
      </c>
      <c r="Z155" s="25">
        <f t="shared" ca="1" si="298"/>
        <v>1.2662433064093794</v>
      </c>
      <c r="AA155" s="25">
        <f t="shared" ca="1" si="299"/>
        <v>1.777604856818793</v>
      </c>
      <c r="AB155" s="25">
        <f t="shared" ca="1" si="300"/>
        <v>1.7776048568188152</v>
      </c>
      <c r="AC155" s="25">
        <f t="shared" si="301"/>
        <v>1.7548364467314892</v>
      </c>
      <c r="AE155" s="25">
        <f t="shared" ca="1" si="302"/>
        <v>1.777604856818793</v>
      </c>
      <c r="AF155" s="25">
        <f t="shared" ca="1" si="303"/>
        <v>1.777604856818793</v>
      </c>
      <c r="AG155" s="25">
        <f t="shared" ca="1" si="304"/>
        <v>1.777604856818793</v>
      </c>
      <c r="AH155" s="25">
        <f t="shared" ca="1" si="305"/>
        <v>1.777604856818793</v>
      </c>
      <c r="AI155" s="25">
        <f t="shared" ca="1" si="306"/>
        <v>1.7776048568188152</v>
      </c>
      <c r="AJ155" s="25">
        <f t="shared" si="325"/>
        <v>1.7548364467314892</v>
      </c>
    </row>
    <row r="156" spans="1:36" x14ac:dyDescent="0.15">
      <c r="A156" s="21">
        <f t="shared" si="324"/>
        <v>49034</v>
      </c>
      <c r="B156" s="51">
        <f t="shared" ca="1" si="307"/>
        <v>27945.710720422416</v>
      </c>
      <c r="C156" s="51">
        <f t="shared" ca="1" si="308"/>
        <v>69696.259951859887</v>
      </c>
      <c r="D156" s="51">
        <f t="shared" ca="1" si="309"/>
        <v>241782.92577806421</v>
      </c>
      <c r="E156" s="51">
        <f t="shared" ca="1" si="310"/>
        <v>339424.89645034657</v>
      </c>
      <c r="F156" s="51">
        <f t="shared" ca="1" si="311"/>
        <v>58463.076918440311</v>
      </c>
      <c r="G156" s="51">
        <f t="shared" ca="1" si="290"/>
        <v>397887.9733687868</v>
      </c>
      <c r="H156" s="51">
        <v>397322.68836470909</v>
      </c>
      <c r="I156" s="52">
        <f t="shared" ca="1" si="323"/>
        <v>0.14227352744549115</v>
      </c>
      <c r="K156" s="53">
        <f t="shared" ca="1" si="312"/>
        <v>0.40622417172113678</v>
      </c>
      <c r="L156" s="53">
        <f t="shared" ca="1" si="313"/>
        <v>0.40622417172115899</v>
      </c>
      <c r="M156" s="53">
        <f t="shared" ca="1" si="314"/>
        <v>0.40622417172113678</v>
      </c>
      <c r="N156" s="53">
        <f t="shared" ca="1" si="315"/>
        <v>0.40622417172113678</v>
      </c>
      <c r="O156" s="53">
        <f t="shared" ca="1" si="316"/>
        <v>0.40622417172113678</v>
      </c>
      <c r="P156" s="53">
        <f t="shared" ca="1" si="317"/>
        <v>0.40622417172113678</v>
      </c>
      <c r="Q156" s="53">
        <f t="shared" si="318"/>
        <v>0.4051565958501202</v>
      </c>
      <c r="S156" s="22">
        <f t="shared" ca="1" si="319"/>
        <v>7.023512292622283</v>
      </c>
      <c r="T156" s="22">
        <f t="shared" ca="1" si="320"/>
        <v>17.516553556963419</v>
      </c>
      <c r="U156" s="22">
        <f t="shared" ca="1" si="321"/>
        <v>60.766583048732933</v>
      </c>
      <c r="V156" s="22">
        <f t="shared" ca="1" si="322"/>
        <v>14.693351101681371</v>
      </c>
      <c r="W156" s="2">
        <f t="shared" si="256"/>
        <v>2034</v>
      </c>
      <c r="X156" s="25">
        <f t="shared" ca="1" si="296"/>
        <v>0.14355281050982774</v>
      </c>
      <c r="Y156" s="25">
        <f t="shared" ca="1" si="297"/>
        <v>0.35801894960579678</v>
      </c>
      <c r="Z156" s="25">
        <f t="shared" ca="1" si="298"/>
        <v>1.2420016393916897</v>
      </c>
      <c r="AA156" s="25">
        <f t="shared" ca="1" si="299"/>
        <v>1.7435733995073033</v>
      </c>
      <c r="AB156" s="25">
        <f t="shared" ca="1" si="300"/>
        <v>1.7435733995073033</v>
      </c>
      <c r="AC156" s="25">
        <f t="shared" si="301"/>
        <v>1.7237286245219918</v>
      </c>
      <c r="AE156" s="25">
        <f t="shared" ca="1" si="302"/>
        <v>1.7435733995072811</v>
      </c>
      <c r="AF156" s="25">
        <f t="shared" ca="1" si="303"/>
        <v>1.7435733995073033</v>
      </c>
      <c r="AG156" s="25">
        <f t="shared" ca="1" si="304"/>
        <v>1.7435733995073033</v>
      </c>
      <c r="AH156" s="25">
        <f t="shared" ca="1" si="305"/>
        <v>1.7435733995073033</v>
      </c>
      <c r="AI156" s="25">
        <f t="shared" ca="1" si="306"/>
        <v>1.7435733995073033</v>
      </c>
      <c r="AJ156" s="25">
        <f t="shared" si="325"/>
        <v>1.7237286245219918</v>
      </c>
    </row>
    <row r="157" spans="1:36" x14ac:dyDescent="0.15">
      <c r="A157" s="21">
        <f t="shared" si="324"/>
        <v>49125</v>
      </c>
      <c r="B157" s="51">
        <f t="shared" ca="1" si="307"/>
        <v>28057.128472574692</v>
      </c>
      <c r="C157" s="51">
        <f t="shared" ca="1" si="308"/>
        <v>69974.134459863795</v>
      </c>
      <c r="D157" s="51">
        <f t="shared" ca="1" si="309"/>
        <v>242746.89876012568</v>
      </c>
      <c r="E157" s="51">
        <f t="shared" ca="1" si="310"/>
        <v>340778.1616925642</v>
      </c>
      <c r="F157" s="51">
        <f t="shared" ca="1" si="311"/>
        <v>58696.165447815161</v>
      </c>
      <c r="G157" s="51">
        <f t="shared" ca="1" si="290"/>
        <v>399474.32714037929</v>
      </c>
      <c r="H157" s="51">
        <v>398925.97163550591</v>
      </c>
      <c r="I157" s="52">
        <f t="shared" ca="1" si="323"/>
        <v>0.13745796058983739</v>
      </c>
      <c r="K157" s="53">
        <f t="shared" ca="1" si="312"/>
        <v>0.39869357149988627</v>
      </c>
      <c r="L157" s="53">
        <f t="shared" ca="1" si="313"/>
        <v>0.39869357149988627</v>
      </c>
      <c r="M157" s="53">
        <f t="shared" ca="1" si="314"/>
        <v>0.39869357149988627</v>
      </c>
      <c r="N157" s="53">
        <f t="shared" ca="1" si="315"/>
        <v>0.39869357149986406</v>
      </c>
      <c r="O157" s="53">
        <f t="shared" ca="1" si="316"/>
        <v>0.39869357149988627</v>
      </c>
      <c r="P157" s="53">
        <f t="shared" ca="1" si="317"/>
        <v>0.39869357149988627</v>
      </c>
      <c r="Q157" s="53">
        <f t="shared" si="318"/>
        <v>0.40352170106257024</v>
      </c>
      <c r="S157" s="22">
        <f t="shared" ca="1" si="319"/>
        <v>7.023512292622283</v>
      </c>
      <c r="T157" s="22">
        <f t="shared" ca="1" si="320"/>
        <v>17.516553556963419</v>
      </c>
      <c r="U157" s="22">
        <f t="shared" ca="1" si="321"/>
        <v>60.766583048732933</v>
      </c>
      <c r="V157" s="22">
        <f t="shared" ca="1" si="322"/>
        <v>14.693351101681371</v>
      </c>
      <c r="X157" s="25">
        <f t="shared" ca="1" si="296"/>
        <v>0.14076648852037793</v>
      </c>
      <c r="Y157" s="25">
        <f t="shared" ca="1" si="297"/>
        <v>0.35106989672146777</v>
      </c>
      <c r="Z157" s="25">
        <f t="shared" ca="1" si="298"/>
        <v>1.2178947168836498</v>
      </c>
      <c r="AA157" s="25">
        <f t="shared" ca="1" si="299"/>
        <v>1.7097311021254891</v>
      </c>
      <c r="AB157" s="25">
        <f t="shared" ca="1" si="300"/>
        <v>1.7097311021255113</v>
      </c>
      <c r="AC157" s="25">
        <f t="shared" si="301"/>
        <v>1.6925192389154464</v>
      </c>
      <c r="AE157" s="25">
        <f t="shared" ca="1" si="302"/>
        <v>1.7097311021255113</v>
      </c>
      <c r="AF157" s="25">
        <f t="shared" ca="1" si="303"/>
        <v>1.7097311021254891</v>
      </c>
      <c r="AG157" s="25">
        <f t="shared" ca="1" si="304"/>
        <v>1.7097311021255113</v>
      </c>
      <c r="AH157" s="25">
        <f t="shared" ca="1" si="305"/>
        <v>1.7097311021254891</v>
      </c>
      <c r="AI157" s="25">
        <f t="shared" ca="1" si="306"/>
        <v>1.7097311021255113</v>
      </c>
      <c r="AJ157" s="25">
        <f t="shared" si="325"/>
        <v>1.6925192389154464</v>
      </c>
    </row>
    <row r="158" spans="1:36" x14ac:dyDescent="0.15">
      <c r="A158" s="21">
        <f t="shared" si="324"/>
        <v>49217</v>
      </c>
      <c r="B158" s="51">
        <f t="shared" ca="1" si="307"/>
        <v>28167.606603133401</v>
      </c>
      <c r="C158" s="51">
        <f t="shared" ca="1" si="308"/>
        <v>70249.665563132105</v>
      </c>
      <c r="D158" s="51">
        <f t="shared" ca="1" si="309"/>
        <v>243702.74224924669</v>
      </c>
      <c r="E158" s="51">
        <f t="shared" ca="1" si="310"/>
        <v>342120.01441551227</v>
      </c>
      <c r="F158" s="51">
        <f t="shared" ca="1" si="311"/>
        <v>58927.288266958181</v>
      </c>
      <c r="G158" s="51">
        <f t="shared" ca="1" si="290"/>
        <v>401047.30268247036</v>
      </c>
      <c r="H158" s="51">
        <v>400481.36176158238</v>
      </c>
      <c r="I158" s="52">
        <f t="shared" ca="1" si="323"/>
        <v>0.14131517092295098</v>
      </c>
      <c r="K158" s="53">
        <f t="shared" ca="1" si="312"/>
        <v>0.3937613596726397</v>
      </c>
      <c r="L158" s="53">
        <f t="shared" ca="1" si="313"/>
        <v>0.39376135967261749</v>
      </c>
      <c r="M158" s="53">
        <f t="shared" ca="1" si="314"/>
        <v>0.39376135967261749</v>
      </c>
      <c r="N158" s="53">
        <f t="shared" ca="1" si="315"/>
        <v>0.3937613596726397</v>
      </c>
      <c r="O158" s="53">
        <f t="shared" ca="1" si="316"/>
        <v>0.3937613596726397</v>
      </c>
      <c r="P158" s="53">
        <f t="shared" ca="1" si="317"/>
        <v>0.3937613596726397</v>
      </c>
      <c r="Q158" s="53">
        <f t="shared" si="318"/>
        <v>0.38989442570001032</v>
      </c>
      <c r="S158" s="22">
        <f t="shared" ca="1" si="319"/>
        <v>7.0235122926222822</v>
      </c>
      <c r="T158" s="22">
        <f t="shared" ca="1" si="320"/>
        <v>17.516553556963416</v>
      </c>
      <c r="U158" s="22">
        <f t="shared" ca="1" si="321"/>
        <v>60.766583048732926</v>
      </c>
      <c r="V158" s="22">
        <f t="shared" ca="1" si="322"/>
        <v>14.693351101681367</v>
      </c>
      <c r="X158" s="25">
        <f t="shared" ca="1" si="296"/>
        <v>0.13799695134322787</v>
      </c>
      <c r="Y158" s="25">
        <f t="shared" ca="1" si="297"/>
        <v>0.3441627049532564</v>
      </c>
      <c r="Z158" s="25">
        <f t="shared" ca="1" si="298"/>
        <v>1.1939330145515057</v>
      </c>
      <c r="AA158" s="25">
        <f t="shared" ca="1" si="299"/>
        <v>1.6760926708480062</v>
      </c>
      <c r="AB158" s="25">
        <f t="shared" ca="1" si="300"/>
        <v>1.6760926708480062</v>
      </c>
      <c r="AC158" s="25">
        <f t="shared" si="301"/>
        <v>1.6613595138277537</v>
      </c>
      <c r="AE158" s="25">
        <f t="shared" ca="1" si="302"/>
        <v>1.6760926708480062</v>
      </c>
      <c r="AF158" s="25">
        <f t="shared" ca="1" si="303"/>
        <v>1.6760926708480062</v>
      </c>
      <c r="AG158" s="25">
        <f t="shared" ca="1" si="304"/>
        <v>1.676092670847984</v>
      </c>
      <c r="AH158" s="25">
        <f t="shared" ca="1" si="305"/>
        <v>1.6760926708480062</v>
      </c>
      <c r="AI158" s="25">
        <f t="shared" ca="1" si="306"/>
        <v>1.6760926708480062</v>
      </c>
      <c r="AJ158" s="25">
        <f t="shared" si="325"/>
        <v>1.6613595138277537</v>
      </c>
    </row>
    <row r="159" spans="1:36" x14ac:dyDescent="0.15">
      <c r="A159" s="21">
        <f t="shared" si="324"/>
        <v>49309</v>
      </c>
      <c r="B159" s="51">
        <f t="shared" ca="1" si="307"/>
        <v>28276.096618274154</v>
      </c>
      <c r="C159" s="51">
        <f t="shared" ca="1" si="308"/>
        <v>70520.238330920241</v>
      </c>
      <c r="D159" s="51">
        <f t="shared" ca="1" si="309"/>
        <v>244641.384803049</v>
      </c>
      <c r="E159" s="51">
        <f t="shared" ca="1" si="310"/>
        <v>343437.71975224349</v>
      </c>
      <c r="F159" s="51">
        <f t="shared" ca="1" si="311"/>
        <v>59154.251902397998</v>
      </c>
      <c r="G159" s="51">
        <f t="shared" ca="1" si="290"/>
        <v>402591.97165464138</v>
      </c>
      <c r="H159" s="51">
        <v>401988.85874293861</v>
      </c>
      <c r="I159" s="52">
        <f t="shared" ca="1" si="323"/>
        <v>0.15003224556739969</v>
      </c>
      <c r="K159" s="53">
        <f t="shared" ca="1" si="312"/>
        <v>0.38515879843581402</v>
      </c>
      <c r="L159" s="53">
        <f t="shared" ca="1" si="313"/>
        <v>0.38515879843581402</v>
      </c>
      <c r="M159" s="53">
        <f t="shared" ca="1" si="314"/>
        <v>0.38515879843581402</v>
      </c>
      <c r="N159" s="53">
        <f t="shared" ca="1" si="315"/>
        <v>0.38515879843581402</v>
      </c>
      <c r="O159" s="53">
        <f t="shared" ca="1" si="316"/>
        <v>0.38515879843579182</v>
      </c>
      <c r="P159" s="53">
        <f t="shared" ca="1" si="317"/>
        <v>0.38515879843581402</v>
      </c>
      <c r="Q159" s="53">
        <f t="shared" si="318"/>
        <v>0.37642125833903251</v>
      </c>
      <c r="S159" s="22">
        <f t="shared" ca="1" si="319"/>
        <v>7.023512292622283</v>
      </c>
      <c r="T159" s="22">
        <f t="shared" ca="1" si="320"/>
        <v>17.516553556963419</v>
      </c>
      <c r="U159" s="22">
        <f t="shared" ca="1" si="321"/>
        <v>60.766583048732933</v>
      </c>
      <c r="V159" s="22">
        <f t="shared" ca="1" si="322"/>
        <v>14.693351101681371</v>
      </c>
      <c r="X159" s="25">
        <f t="shared" ca="1" si="296"/>
        <v>0.1352492766920671</v>
      </c>
      <c r="Y159" s="25">
        <f t="shared" ca="1" si="297"/>
        <v>0.33731003805684723</v>
      </c>
      <c r="Z159" s="25">
        <f t="shared" ca="1" si="298"/>
        <v>1.170160464163011</v>
      </c>
      <c r="AA159" s="25">
        <f t="shared" ca="1" si="299"/>
        <v>1.6427197789119274</v>
      </c>
      <c r="AB159" s="25">
        <f t="shared" ca="1" si="300"/>
        <v>1.6427197789119052</v>
      </c>
      <c r="AC159" s="25">
        <f t="shared" si="301"/>
        <v>1.6303977911846346</v>
      </c>
      <c r="AE159" s="25">
        <f t="shared" ca="1" si="302"/>
        <v>1.6427197789119274</v>
      </c>
      <c r="AF159" s="25">
        <f t="shared" ca="1" si="303"/>
        <v>1.6427197789119274</v>
      </c>
      <c r="AG159" s="25">
        <f t="shared" ca="1" si="304"/>
        <v>1.6427197789119052</v>
      </c>
      <c r="AH159" s="25">
        <f t="shared" ca="1" si="305"/>
        <v>1.6427197789119274</v>
      </c>
      <c r="AI159" s="25">
        <f t="shared" ca="1" si="306"/>
        <v>1.6427197789119052</v>
      </c>
      <c r="AJ159" s="25">
        <f t="shared" si="325"/>
        <v>1.6303977911846346</v>
      </c>
    </row>
    <row r="160" spans="1:36" x14ac:dyDescent="0.15">
      <c r="A160" s="21">
        <f t="shared" si="324"/>
        <v>49399</v>
      </c>
      <c r="B160" s="51">
        <f t="shared" ca="1" si="307"/>
        <v>28381.898252667128</v>
      </c>
      <c r="C160" s="51">
        <f t="shared" ca="1" si="308"/>
        <v>70784.106310080111</v>
      </c>
      <c r="D160" s="51">
        <f t="shared" ca="1" si="309"/>
        <v>245556.7678101786</v>
      </c>
      <c r="E160" s="51">
        <f t="shared" ca="1" si="310"/>
        <v>344722.77237292595</v>
      </c>
      <c r="F160" s="51">
        <f t="shared" ca="1" si="311"/>
        <v>59375.591382774597</v>
      </c>
      <c r="G160" s="51">
        <f t="shared" ca="1" si="290"/>
        <v>404098.36375570041</v>
      </c>
      <c r="H160" s="51">
        <v>403496.35572429479</v>
      </c>
      <c r="I160" s="52">
        <f t="shared" ca="1" si="323"/>
        <v>0.14919788564755621</v>
      </c>
      <c r="K160" s="53">
        <f t="shared" ca="1" si="312"/>
        <v>0.37417340809551281</v>
      </c>
      <c r="L160" s="53">
        <f t="shared" ca="1" si="313"/>
        <v>0.3741734080954906</v>
      </c>
      <c r="M160" s="53">
        <f t="shared" ca="1" si="314"/>
        <v>0.3741734080954906</v>
      </c>
      <c r="N160" s="53">
        <f t="shared" ca="1" si="315"/>
        <v>0.37417340809551281</v>
      </c>
      <c r="O160" s="53">
        <f t="shared" ca="1" si="316"/>
        <v>0.3741734080954906</v>
      </c>
      <c r="P160" s="53">
        <f t="shared" ca="1" si="317"/>
        <v>0.3741734080954906</v>
      </c>
      <c r="Q160" s="53">
        <f t="shared" si="318"/>
        <v>0.37500964232448641</v>
      </c>
      <c r="S160" s="22">
        <f t="shared" ca="1" si="319"/>
        <v>7.023512292622283</v>
      </c>
      <c r="T160" s="22">
        <f t="shared" ca="1" si="320"/>
        <v>17.516553556963419</v>
      </c>
      <c r="U160" s="22">
        <f t="shared" ca="1" si="321"/>
        <v>60.766583048732933</v>
      </c>
      <c r="V160" s="22">
        <f t="shared" ca="1" si="322"/>
        <v>14.693351101681371</v>
      </c>
      <c r="W160" s="2">
        <f t="shared" si="256"/>
        <v>2035</v>
      </c>
      <c r="X160" s="25">
        <f t="shared" ca="1" si="296"/>
        <v>0.13253112063544756</v>
      </c>
      <c r="Y160" s="25">
        <f t="shared" ca="1" si="297"/>
        <v>0.3305309901733558</v>
      </c>
      <c r="Z160" s="25">
        <f t="shared" ca="1" si="298"/>
        <v>1.1466433051017975</v>
      </c>
      <c r="AA160" s="25">
        <f t="shared" ca="1" si="299"/>
        <v>1.6097054159106117</v>
      </c>
      <c r="AB160" s="25">
        <f t="shared" ca="1" si="300"/>
        <v>1.6097054159106117</v>
      </c>
      <c r="AC160" s="25">
        <f t="shared" si="301"/>
        <v>1.5996260924705963</v>
      </c>
      <c r="AE160" s="25">
        <f t="shared" ca="1" si="302"/>
        <v>1.6097054159106117</v>
      </c>
      <c r="AF160" s="25">
        <f t="shared" ca="1" si="303"/>
        <v>1.6097054159105895</v>
      </c>
      <c r="AG160" s="25">
        <f t="shared" ca="1" si="304"/>
        <v>1.6097054159105895</v>
      </c>
      <c r="AH160" s="25">
        <f t="shared" ca="1" si="305"/>
        <v>1.6097054159106117</v>
      </c>
      <c r="AI160" s="25">
        <f t="shared" ca="1" si="306"/>
        <v>1.6097054159106117</v>
      </c>
      <c r="AJ160" s="25">
        <f t="shared" si="325"/>
        <v>1.5996260924705963</v>
      </c>
    </row>
    <row r="161" spans="1:36" x14ac:dyDescent="0.15">
      <c r="A161" s="21">
        <f t="shared" si="324"/>
        <v>49490</v>
      </c>
      <c r="B161" s="51">
        <f t="shared" ca="1" si="307"/>
        <v>28486.076598896118</v>
      </c>
      <c r="C161" s="51">
        <f t="shared" ca="1" si="308"/>
        <v>71043.925828458814</v>
      </c>
      <c r="D161" s="51">
        <f t="shared" ca="1" si="309"/>
        <v>246458.10632348247</v>
      </c>
      <c r="E161" s="51">
        <f t="shared" ca="1" si="310"/>
        <v>345988.10875083751</v>
      </c>
      <c r="F161" s="51">
        <f t="shared" ca="1" si="311"/>
        <v>59593.534906550158</v>
      </c>
      <c r="G161" s="51">
        <f t="shared" ca="1" si="290"/>
        <v>405581.64365738753</v>
      </c>
      <c r="H161" s="51">
        <v>405003.85270565108</v>
      </c>
      <c r="I161" s="52">
        <f t="shared" ca="1" si="323"/>
        <v>0.142663075394589</v>
      </c>
      <c r="K161" s="53">
        <f t="shared" ca="1" si="312"/>
        <v>0.36705912092824811</v>
      </c>
      <c r="L161" s="53">
        <f t="shared" ca="1" si="313"/>
        <v>0.36705912092824811</v>
      </c>
      <c r="M161" s="53">
        <f t="shared" ca="1" si="314"/>
        <v>0.36705912092824811</v>
      </c>
      <c r="N161" s="53">
        <f t="shared" ca="1" si="315"/>
        <v>0.36705912092824811</v>
      </c>
      <c r="O161" s="53">
        <f t="shared" ca="1" si="316"/>
        <v>0.36705912092824811</v>
      </c>
      <c r="P161" s="53">
        <f t="shared" ca="1" si="317"/>
        <v>0.36705912092824811</v>
      </c>
      <c r="Q161" s="53">
        <f t="shared" si="318"/>
        <v>0.37360857414692195</v>
      </c>
      <c r="S161" s="22">
        <f t="shared" ca="1" si="319"/>
        <v>7.023512292622283</v>
      </c>
      <c r="T161" s="22">
        <f t="shared" ca="1" si="320"/>
        <v>17.516553556963419</v>
      </c>
      <c r="U161" s="22">
        <f t="shared" ca="1" si="321"/>
        <v>60.766583048732933</v>
      </c>
      <c r="V161" s="22">
        <f t="shared" ca="1" si="322"/>
        <v>14.693351101681371</v>
      </c>
      <c r="X161" s="25">
        <f t="shared" ca="1" si="296"/>
        <v>0.12984611664945842</v>
      </c>
      <c r="Y161" s="25">
        <f t="shared" ca="1" si="297"/>
        <v>0.32383462314760963</v>
      </c>
      <c r="Z161" s="25">
        <f t="shared" ca="1" si="298"/>
        <v>1.1234129737656935</v>
      </c>
      <c r="AA161" s="25">
        <f t="shared" ca="1" si="299"/>
        <v>1.5770937135627605</v>
      </c>
      <c r="AB161" s="25">
        <f t="shared" ca="1" si="300"/>
        <v>1.5770937135627605</v>
      </c>
      <c r="AC161" s="25">
        <f t="shared" si="301"/>
        <v>1.5690366389436994</v>
      </c>
      <c r="AE161" s="25">
        <f t="shared" ca="1" si="302"/>
        <v>1.5770937135627605</v>
      </c>
      <c r="AF161" s="25">
        <f t="shared" ca="1" si="303"/>
        <v>1.5770937135627605</v>
      </c>
      <c r="AG161" s="25">
        <f t="shared" ca="1" si="304"/>
        <v>1.5770937135627605</v>
      </c>
      <c r="AH161" s="25">
        <f t="shared" ca="1" si="305"/>
        <v>1.5770937135627605</v>
      </c>
      <c r="AI161" s="25">
        <f t="shared" ca="1" si="306"/>
        <v>1.5770937135627605</v>
      </c>
      <c r="AJ161" s="25">
        <f t="shared" si="325"/>
        <v>1.5690366389436994</v>
      </c>
    </row>
    <row r="162" spans="1:36" x14ac:dyDescent="0.15">
      <c r="A162" s="21">
        <f t="shared" si="324"/>
        <v>49582</v>
      </c>
      <c r="B162" s="51">
        <f t="shared" ca="1" si="307"/>
        <v>28589.354553225199</v>
      </c>
      <c r="C162" s="51">
        <f t="shared" ca="1" si="308"/>
        <v>71301.499780476981</v>
      </c>
      <c r="D162" s="51">
        <f t="shared" ca="1" si="309"/>
        <v>247351.65475443398</v>
      </c>
      <c r="E162" s="51">
        <f t="shared" ca="1" si="310"/>
        <v>347242.50908813626</v>
      </c>
      <c r="F162" s="51">
        <f t="shared" ca="1" si="311"/>
        <v>59809.59478952561</v>
      </c>
      <c r="G162" s="51">
        <f t="shared" ca="1" si="290"/>
        <v>407052.10387766175</v>
      </c>
      <c r="H162" s="51">
        <v>406464.05862503196</v>
      </c>
      <c r="I162" s="52">
        <f t="shared" ca="1" si="323"/>
        <v>0.1446733702898495</v>
      </c>
      <c r="K162" s="53">
        <f t="shared" ca="1" si="312"/>
        <v>0.36255591032527956</v>
      </c>
      <c r="L162" s="53">
        <f t="shared" ca="1" si="313"/>
        <v>0.36255591032525736</v>
      </c>
      <c r="M162" s="53">
        <f t="shared" ca="1" si="314"/>
        <v>0.36255591032525736</v>
      </c>
      <c r="N162" s="53">
        <f t="shared" ca="1" si="315"/>
        <v>0.36255591032525736</v>
      </c>
      <c r="O162" s="53">
        <f t="shared" ca="1" si="316"/>
        <v>0.36255591032527956</v>
      </c>
      <c r="P162" s="53">
        <f t="shared" ca="1" si="317"/>
        <v>0.36255591032525736</v>
      </c>
      <c r="Q162" s="53">
        <f t="shared" si="318"/>
        <v>0.36054124167608226</v>
      </c>
      <c r="S162" s="22">
        <f t="shared" ca="1" si="319"/>
        <v>7.023512292622283</v>
      </c>
      <c r="T162" s="22">
        <f t="shared" ca="1" si="320"/>
        <v>17.516553556963416</v>
      </c>
      <c r="U162" s="22">
        <f t="shared" ca="1" si="321"/>
        <v>60.766583048732933</v>
      </c>
      <c r="V162" s="22">
        <f t="shared" ca="1" si="322"/>
        <v>14.693351101681371</v>
      </c>
      <c r="X162" s="25">
        <f t="shared" ca="1" si="296"/>
        <v>0.12719528098160701</v>
      </c>
      <c r="Y162" s="25">
        <f t="shared" ca="1" si="297"/>
        <v>0.31722347148843139</v>
      </c>
      <c r="Z162" s="25">
        <f t="shared" ca="1" si="298"/>
        <v>1.1004782626058447</v>
      </c>
      <c r="AA162" s="25">
        <f t="shared" ca="1" si="299"/>
        <v>1.5448970150758745</v>
      </c>
      <c r="AB162" s="25">
        <f t="shared" ca="1" si="300"/>
        <v>1.5448970150758745</v>
      </c>
      <c r="AC162" s="25">
        <f t="shared" si="301"/>
        <v>1.5387426770964607</v>
      </c>
      <c r="AE162" s="25">
        <f t="shared" ca="1" si="302"/>
        <v>1.5448970150758745</v>
      </c>
      <c r="AF162" s="25">
        <f t="shared" ca="1" si="303"/>
        <v>1.5448970150758745</v>
      </c>
      <c r="AG162" s="25">
        <f t="shared" ca="1" si="304"/>
        <v>1.5448970150758745</v>
      </c>
      <c r="AH162" s="25">
        <f t="shared" ca="1" si="305"/>
        <v>1.5448970150758745</v>
      </c>
      <c r="AI162" s="25">
        <f t="shared" ca="1" si="306"/>
        <v>1.5448970150758745</v>
      </c>
      <c r="AJ162" s="25">
        <f t="shared" si="325"/>
        <v>1.5387426770964607</v>
      </c>
    </row>
    <row r="163" spans="1:36" x14ac:dyDescent="0.15">
      <c r="A163" s="21">
        <f t="shared" si="324"/>
        <v>49674</v>
      </c>
      <c r="B163" s="51">
        <f t="shared" ca="1" si="307"/>
        <v>28690.711484046256</v>
      </c>
      <c r="C163" s="51">
        <f t="shared" ca="1" si="308"/>
        <v>71554.282723415861</v>
      </c>
      <c r="D163" s="51">
        <f t="shared" ca="1" si="309"/>
        <v>248228.58272119676</v>
      </c>
      <c r="E163" s="51">
        <f t="shared" ca="1" si="310"/>
        <v>348473.57692865899</v>
      </c>
      <c r="F163" s="51">
        <f t="shared" ca="1" si="311"/>
        <v>60021.635846634177</v>
      </c>
      <c r="G163" s="51">
        <f t="shared" ca="1" si="290"/>
        <v>408495.21277529304</v>
      </c>
      <c r="H163" s="51">
        <v>407876.97348243743</v>
      </c>
      <c r="I163" s="52">
        <f t="shared" ca="1" si="323"/>
        <v>0.15157494368389646</v>
      </c>
      <c r="K163" s="53">
        <f t="shared" ca="1" si="312"/>
        <v>0.35452682442467243</v>
      </c>
      <c r="L163" s="53">
        <f t="shared" ca="1" si="313"/>
        <v>0.35452682442465022</v>
      </c>
      <c r="M163" s="53">
        <f t="shared" ca="1" si="314"/>
        <v>0.35452682442467243</v>
      </c>
      <c r="N163" s="53">
        <f t="shared" ca="1" si="315"/>
        <v>0.35452682442467243</v>
      </c>
      <c r="O163" s="53">
        <f t="shared" ca="1" si="316"/>
        <v>0.35452682442467243</v>
      </c>
      <c r="P163" s="53">
        <f t="shared" ca="1" si="317"/>
        <v>0.35452682442467243</v>
      </c>
      <c r="Q163" s="53">
        <f t="shared" si="318"/>
        <v>0.34761126535640674</v>
      </c>
      <c r="S163" s="22">
        <f t="shared" ca="1" si="319"/>
        <v>7.023512292622283</v>
      </c>
      <c r="T163" s="22">
        <f t="shared" ca="1" si="320"/>
        <v>17.516553556963416</v>
      </c>
      <c r="U163" s="22">
        <f t="shared" ca="1" si="321"/>
        <v>60.766583048732933</v>
      </c>
      <c r="V163" s="22">
        <f t="shared" ca="1" si="322"/>
        <v>14.693351101681371</v>
      </c>
      <c r="X163" s="25">
        <f t="shared" ca="1" si="296"/>
        <v>0.12458246597863865</v>
      </c>
      <c r="Y163" s="25">
        <f t="shared" ca="1" si="297"/>
        <v>0.31070714290138168</v>
      </c>
      <c r="Z163" s="25">
        <f t="shared" ca="1" si="298"/>
        <v>1.0778725016626076</v>
      </c>
      <c r="AA163" s="25">
        <f t="shared" ca="1" si="299"/>
        <v>1.5131621105426429</v>
      </c>
      <c r="AB163" s="25">
        <f t="shared" ca="1" si="300"/>
        <v>1.5131621105426429</v>
      </c>
      <c r="AC163" s="25">
        <f t="shared" si="301"/>
        <v>1.5088556422792498</v>
      </c>
      <c r="AE163" s="25">
        <f t="shared" ca="1" si="302"/>
        <v>1.5131621105426429</v>
      </c>
      <c r="AF163" s="25">
        <f t="shared" ca="1" si="303"/>
        <v>1.5131621105426429</v>
      </c>
      <c r="AG163" s="25">
        <f t="shared" ca="1" si="304"/>
        <v>1.5131621105426429</v>
      </c>
      <c r="AH163" s="25">
        <f t="shared" ca="1" si="305"/>
        <v>1.5131621105426429</v>
      </c>
      <c r="AI163" s="25">
        <f t="shared" ca="1" si="306"/>
        <v>1.5131621105426429</v>
      </c>
      <c r="AJ163" s="25">
        <f t="shared" si="325"/>
        <v>1.5088556422792498</v>
      </c>
    </row>
    <row r="168" spans="1:36" x14ac:dyDescent="0.15">
      <c r="H168" s="61"/>
    </row>
    <row r="170" spans="1:36" x14ac:dyDescent="0.15">
      <c r="H170" s="24"/>
    </row>
  </sheetData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CE3A66AF-4C38-48D0-A0E7-37B286C48601}">
          <x14:formula1>
            <xm:f>Projeçao!$C$2:$E$2</xm:f>
          </x14:formula1>
          <xm:sqref>K2</xm:sqref>
        </x14:dataValidation>
        <x14:dataValidation type="list" allowBlank="1" showInputMessage="1" showErrorMessage="1" xr:uid="{F3DD96A0-F051-4832-99C2-5C577BCA19B7}">
          <x14:formula1>
            <xm:f>Projeçao!$L$2:$N$2</xm:f>
          </x14:formula1>
          <xm:sqref>L2</xm:sqref>
        </x14:dataValidation>
        <x14:dataValidation type="list" allowBlank="1" showInputMessage="1" showErrorMessage="1" xr:uid="{36FE54EF-93B4-4C11-A72E-0557BBDC03F5}">
          <x14:formula1>
            <xm:f>Projeçao!$U$2:$W$2</xm:f>
          </x14:formula1>
          <xm:sqref>M2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A7562-9264-4B85-BFA2-FED630AB3000}">
  <sheetPr codeName="Sheet7">
    <tabColor theme="1"/>
  </sheetPr>
  <dimension ref="A1:S80"/>
  <sheetViews>
    <sheetView showGridLines="0" tabSelected="1" zoomScaleNormal="100" workbookViewId="0">
      <selection activeCell="P80" sqref="P80"/>
    </sheetView>
  </sheetViews>
  <sheetFormatPr baseColWidth="10" defaultColWidth="0" defaultRowHeight="11" zeroHeight="1" x14ac:dyDescent="0.15"/>
  <cols>
    <col min="1" max="1" width="4.1640625" style="2" customWidth="1"/>
    <col min="2" max="2" width="12.5" style="2" customWidth="1"/>
    <col min="3" max="16" width="7.1640625" style="2" customWidth="1"/>
    <col min="17" max="17" width="5.5" style="2" customWidth="1"/>
    <col min="18" max="19" width="0" style="2" hidden="1" customWidth="1"/>
    <col min="20" max="16384" width="8.83203125" style="2" hidden="1"/>
  </cols>
  <sheetData>
    <row r="1" x14ac:dyDescent="0.15"/>
    <row r="2" x14ac:dyDescent="0.15"/>
    <row r="3" x14ac:dyDescent="0.15"/>
    <row r="4" x14ac:dyDescent="0.15"/>
    <row r="5" x14ac:dyDescent="0.15"/>
    <row r="6" x14ac:dyDescent="0.15"/>
    <row r="7" x14ac:dyDescent="0.15"/>
    <row r="8" x14ac:dyDescent="0.15"/>
    <row r="9" x14ac:dyDescent="0.15"/>
    <row r="10" x14ac:dyDescent="0.15"/>
    <row r="11" x14ac:dyDescent="0.15"/>
    <row r="12" x14ac:dyDescent="0.15"/>
    <row r="13" x14ac:dyDescent="0.15"/>
    <row r="14" x14ac:dyDescent="0.15"/>
    <row r="15" x14ac:dyDescent="0.15"/>
    <row r="16" x14ac:dyDescent="0.15"/>
    <row r="17" spans="2:16" x14ac:dyDescent="0.15"/>
    <row r="18" spans="2:16" x14ac:dyDescent="0.15"/>
    <row r="19" spans="2:16" x14ac:dyDescent="0.15"/>
    <row r="20" spans="2:16" x14ac:dyDescent="0.15"/>
    <row r="21" spans="2:16" x14ac:dyDescent="0.15"/>
    <row r="22" spans="2:16" x14ac:dyDescent="0.15"/>
    <row r="23" spans="2:16" ht="20" thickBot="1" x14ac:dyDescent="0.35">
      <c r="B23" s="62" t="s">
        <v>182</v>
      </c>
    </row>
    <row r="24" spans="2:16" ht="12" thickBot="1" x14ac:dyDescent="0.2">
      <c r="B24" s="29" t="s">
        <v>180</v>
      </c>
      <c r="C24" s="30">
        <v>42004</v>
      </c>
      <c r="D24" s="30">
        <f>EOMONTH(C24,12)</f>
        <v>42369</v>
      </c>
      <c r="E24" s="30">
        <f t="shared" ref="E24:P24" si="0">EOMONTH(D24,12)</f>
        <v>42735</v>
      </c>
      <c r="F24" s="30">
        <f t="shared" si="0"/>
        <v>43100</v>
      </c>
      <c r="G24" s="30">
        <f t="shared" si="0"/>
        <v>43465</v>
      </c>
      <c r="H24" s="30">
        <f t="shared" si="0"/>
        <v>43830</v>
      </c>
      <c r="I24" s="30">
        <f t="shared" si="0"/>
        <v>44196</v>
      </c>
      <c r="J24" s="31">
        <f t="shared" si="0"/>
        <v>44561</v>
      </c>
      <c r="K24" s="31">
        <f t="shared" si="0"/>
        <v>44926</v>
      </c>
      <c r="L24" s="31">
        <f t="shared" si="0"/>
        <v>45291</v>
      </c>
      <c r="M24" s="31">
        <f t="shared" si="0"/>
        <v>45657</v>
      </c>
      <c r="N24" s="31">
        <f t="shared" si="0"/>
        <v>46022</v>
      </c>
      <c r="O24" s="31">
        <f t="shared" si="0"/>
        <v>46387</v>
      </c>
      <c r="P24" s="32">
        <f t="shared" si="0"/>
        <v>46752</v>
      </c>
    </row>
    <row r="25" spans="2:16" x14ac:dyDescent="0.15">
      <c r="B25" s="33" t="s">
        <v>110</v>
      </c>
      <c r="C25" s="40">
        <f ca="1">INDEX(Saídas!$AE$3:$AI$163,MATCH(Visuais!C$24,Saídas!$A$3:$A$163,0),MATCH(Visuais!$B25,Saídas!$AE$3:$AI$3,0))</f>
        <v>0.52408822072234074</v>
      </c>
      <c r="D25" s="41">
        <f ca="1">INDEX(Saídas!$AE$3:$AI$163,MATCH(Visuais!D$24,Saídas!$A$3:$A$163,0),MATCH(Visuais!$B25,Saídas!$AE$3:$AI$3,0))</f>
        <v>-3.5358034559468954</v>
      </c>
      <c r="E25" s="41">
        <f ca="1">INDEX(Saídas!$AE$3:$AI$163,MATCH(Visuais!E$24,Saídas!$A$3:$A$163,0),MATCH(Visuais!$B25,Saídas!$AE$3:$AI$3,0))</f>
        <v>-3.5053420898807697</v>
      </c>
      <c r="F25" s="41">
        <f ca="1">INDEX(Saídas!$AE$3:$AI$163,MATCH(Visuais!F$24,Saídas!$A$3:$A$163,0),MATCH(Visuais!$B25,Saídas!$AE$3:$AI$3,0))</f>
        <v>1.6231205936088067</v>
      </c>
      <c r="G25" s="41">
        <f ca="1">INDEX(Saídas!$AE$3:$AI$163,MATCH(Visuais!G$24,Saídas!$A$3:$A$163,0),MATCH(Visuais!$B25,Saídas!$AE$3:$AI$3,0))</f>
        <v>1.6779977056551099</v>
      </c>
      <c r="H25" s="41">
        <f ca="1">INDEX(Saídas!$AE$3:$AI$163,MATCH(Visuais!H$24,Saídas!$A$3:$A$163,0),MATCH(Visuais!$B25,Saídas!$AE$3:$AI$3,0))</f>
        <v>1.217781741139623</v>
      </c>
      <c r="I25" s="41">
        <f ca="1">INDEX(Saídas!$AE$3:$AI$163,MATCH(Visuais!I$24,Saídas!$A$3:$A$163,0),MATCH(Visuais!$B25,Saídas!$AE$3:$AI$3,0))</f>
        <v>-4.1841771018526375</v>
      </c>
      <c r="J25" s="42">
        <f ca="1">INDEX(Saídas!$AE$3:$AI$163,MATCH(Visuais!J$24,Saídas!$A$3:$A$163,0),MATCH(Visuais!$B25,Saídas!$AE$3:$AI$3,0))</f>
        <v>4.8612087206641341</v>
      </c>
      <c r="K25" s="42">
        <f ca="1">INDEX(Saídas!$AE$3:$AI$163,MATCH(Visuais!K$24,Saídas!$A$3:$A$163,0),MATCH(Visuais!$B25,Saídas!$AE$3:$AI$3,0))</f>
        <v>0.48997648605759725</v>
      </c>
      <c r="L25" s="42">
        <f ca="1">INDEX(Saídas!$AE$3:$AI$163,MATCH(Visuais!L$24,Saídas!$A$3:$A$163,0),MATCH(Visuais!$B25,Saídas!$AE$3:$AI$3,0))</f>
        <v>1.8680917044955558</v>
      </c>
      <c r="M25" s="42">
        <f ca="1">INDEX(Saídas!$AE$3:$AI$163,MATCH(Visuais!M$24,Saídas!$A$3:$A$163,0),MATCH(Visuais!$B25,Saídas!$AE$3:$AI$3,0))</f>
        <v>2.6890874832461664</v>
      </c>
      <c r="N25" s="42">
        <f ca="1">INDEX(Saídas!$AE$3:$AI$163,MATCH(Visuais!N$24,Saídas!$A$3:$A$163,0),MATCH(Visuais!$B25,Saídas!$AE$3:$AI$3,0))</f>
        <v>3.247107286428208</v>
      </c>
      <c r="O25" s="42">
        <f ca="1">INDEX(Saídas!$AE$3:$AI$163,MATCH(Visuais!O$24,Saídas!$A$3:$A$163,0),MATCH(Visuais!$B25,Saídas!$AE$3:$AI$3,0))</f>
        <v>2.9841242642103971</v>
      </c>
      <c r="P25" s="43">
        <f ca="1">INDEX(Saídas!$AE$3:$AI$163,MATCH(Visuais!P$24,Saídas!$A$3:$A$163,0),MATCH(Visuais!$B25,Saídas!$AE$3:$AI$3,0))</f>
        <v>2.6804500595428715</v>
      </c>
    </row>
    <row r="26" spans="2:16" x14ac:dyDescent="0.15">
      <c r="B26" s="33" t="s">
        <v>114</v>
      </c>
      <c r="C26" s="44">
        <f ca="1">INDEX(Saídas!$AE$3:$AI$163,MATCH(Visuais!C$24,Saídas!$A$3:$A$163,0),MATCH(Visuais!$B26,Saídas!$AE$3:$AI$3,0))</f>
        <v>0.47658929450073995</v>
      </c>
      <c r="D26" s="16">
        <f ca="1">INDEX(Saídas!$AE$3:$AI$163,MATCH(Visuais!D$24,Saídas!$A$3:$A$163,0),MATCH(Visuais!$B26,Saídas!$AE$3:$AI$3,0))</f>
        <v>-3.1459903457866534</v>
      </c>
      <c r="E26" s="16">
        <f ca="1">INDEX(Saídas!$AE$3:$AI$163,MATCH(Visuais!E$24,Saídas!$A$3:$A$163,0),MATCH(Visuais!$B26,Saídas!$AE$3:$AI$3,0))</f>
        <v>-3.1422169758842711</v>
      </c>
      <c r="F26" s="16">
        <f ca="1">INDEX(Saídas!$AE$3:$AI$163,MATCH(Visuais!F$24,Saídas!$A$3:$A$163,0),MATCH(Visuais!$B26,Saídas!$AE$3:$AI$3,0))</f>
        <v>1.5506465355529908</v>
      </c>
      <c r="G26" s="16">
        <f ca="1">INDEX(Saídas!$AE$3:$AI$163,MATCH(Visuais!G$24,Saídas!$A$3:$A$163,0),MATCH(Visuais!$B26,Saídas!$AE$3:$AI$3,0))</f>
        <v>1.6673853554632023</v>
      </c>
      <c r="H26" s="16">
        <f ca="1">INDEX(Saídas!$AE$3:$AI$163,MATCH(Visuais!H$24,Saídas!$A$3:$A$163,0),MATCH(Visuais!$B26,Saídas!$AE$3:$AI$3,0))</f>
        <v>0.97712100693891912</v>
      </c>
      <c r="I26" s="16">
        <f ca="1">INDEX(Saídas!$AE$3:$AI$163,MATCH(Visuais!I$24,Saídas!$A$3:$A$163,0),MATCH(Visuais!$B26,Saídas!$AE$3:$AI$3,0))</f>
        <v>-4.0356672459152643</v>
      </c>
      <c r="J26" s="28">
        <f ca="1">INDEX(Saídas!$AE$3:$AI$163,MATCH(Visuais!J$24,Saídas!$A$3:$A$163,0),MATCH(Visuais!$B26,Saídas!$AE$3:$AI$3,0))</f>
        <v>4.6032614599401001</v>
      </c>
      <c r="K26" s="28">
        <f ca="1">INDEX(Saídas!$AE$3:$AI$163,MATCH(Visuais!K$24,Saídas!$A$3:$A$163,0),MATCH(Visuais!$B26,Saídas!$AE$3:$AI$3,0))</f>
        <v>0.70993446962472895</v>
      </c>
      <c r="L26" s="28">
        <f ca="1">INDEX(Saídas!$AE$3:$AI$163,MATCH(Visuais!L$24,Saídas!$A$3:$A$163,0),MATCH(Visuais!$B26,Saídas!$AE$3:$AI$3,0))</f>
        <v>1.8890196011870142</v>
      </c>
      <c r="M26" s="28">
        <f ca="1">INDEX(Saídas!$AE$3:$AI$163,MATCH(Visuais!M$24,Saídas!$A$3:$A$163,0),MATCH(Visuais!$B26,Saídas!$AE$3:$AI$3,0))</f>
        <v>2.6895527259984231</v>
      </c>
      <c r="N26" s="28">
        <f ca="1">INDEX(Saídas!$AE$3:$AI$163,MATCH(Visuais!N$24,Saídas!$A$3:$A$163,0),MATCH(Visuais!$B26,Saídas!$AE$3:$AI$3,0))</f>
        <v>3.2471072864281636</v>
      </c>
      <c r="O26" s="28">
        <f ca="1">INDEX(Saídas!$AE$3:$AI$163,MATCH(Visuais!O$24,Saídas!$A$3:$A$163,0),MATCH(Visuais!$B26,Saídas!$AE$3:$AI$3,0))</f>
        <v>2.9841242642104193</v>
      </c>
      <c r="P26" s="34">
        <f ca="1">INDEX(Saídas!$AE$3:$AI$163,MATCH(Visuais!P$24,Saídas!$A$3:$A$163,0),MATCH(Visuais!$B26,Saídas!$AE$3:$AI$3,0))</f>
        <v>2.6804500595428493</v>
      </c>
    </row>
    <row r="27" spans="2:16" x14ac:dyDescent="0.15">
      <c r="B27" s="35" t="s">
        <v>108</v>
      </c>
      <c r="C27" s="44">
        <f ca="1">INDEX(Saídas!$AE$3:$AI$163,MATCH(Visuais!C$24,Saídas!$A$3:$A$163,0),MATCH(Visuais!$B27,Saídas!$AE$3:$AI$3,0))</f>
        <v>2.8761118034971389</v>
      </c>
      <c r="D27" s="16">
        <f ca="1">INDEX(Saídas!$AE$3:$AI$163,MATCH(Visuais!D$24,Saídas!$A$3:$A$163,0),MATCH(Visuais!$B27,Saídas!$AE$3:$AI$3,0))</f>
        <v>2.8946988584637401</v>
      </c>
      <c r="E27" s="16">
        <f ca="1">INDEX(Saídas!$AE$3:$AI$163,MATCH(Visuais!E$24,Saídas!$A$3:$A$163,0),MATCH(Visuais!$B27,Saídas!$AE$3:$AI$3,0))</f>
        <v>-4.6865460720390217</v>
      </c>
      <c r="F27" s="16">
        <f ca="1">INDEX(Saídas!$AE$3:$AI$163,MATCH(Visuais!F$24,Saídas!$A$3:$A$163,0),MATCH(Visuais!$B27,Saídas!$AE$3:$AI$3,0))</f>
        <v>13.073559321790551</v>
      </c>
      <c r="G27" s="16">
        <f ca="1">INDEX(Saídas!$AE$3:$AI$163,MATCH(Visuais!G$24,Saídas!$A$3:$A$163,0),MATCH(Visuais!$B27,Saídas!$AE$3:$AI$3,0))</f>
        <v>2.0652378881336864</v>
      </c>
      <c r="H27" s="16">
        <f ca="1">INDEX(Saídas!$AE$3:$AI$163,MATCH(Visuais!H$24,Saídas!$A$3:$A$163,0),MATCH(Visuais!$B27,Saídas!$AE$3:$AI$3,0))</f>
        <v>0.41563076232480345</v>
      </c>
      <c r="I27" s="16">
        <f ca="1">INDEX(Saídas!$AE$3:$AI$163,MATCH(Visuais!I$24,Saídas!$A$3:$A$163,0),MATCH(Visuais!$B27,Saídas!$AE$3:$AI$3,0))</f>
        <v>3.499796185635895</v>
      </c>
      <c r="J27" s="28">
        <f ca="1">INDEX(Saídas!$AE$3:$AI$163,MATCH(Visuais!J$24,Saídas!$A$3:$A$163,0),MATCH(Visuais!$B27,Saídas!$AE$3:$AI$3,0))</f>
        <v>-1.2423813998726607</v>
      </c>
      <c r="K27" s="28">
        <f ca="1">INDEX(Saídas!$AE$3:$AI$163,MATCH(Visuais!K$24,Saídas!$A$3:$A$163,0),MATCH(Visuais!$B27,Saídas!$AE$3:$AI$3,0))</f>
        <v>1.4702164329014611</v>
      </c>
      <c r="L27" s="28">
        <f ca="1">INDEX(Saídas!$AE$3:$AI$163,MATCH(Visuais!L$24,Saídas!$A$3:$A$163,0),MATCH(Visuais!$B27,Saídas!$AE$3:$AI$3,0))</f>
        <v>3.4226363205372978</v>
      </c>
      <c r="M27" s="28">
        <f ca="1">INDEX(Saídas!$AE$3:$AI$163,MATCH(Visuais!M$24,Saídas!$A$3:$A$163,0),MATCH(Visuais!$B27,Saídas!$AE$3:$AI$3,0))</f>
        <v>3.2135692500345092</v>
      </c>
      <c r="N27" s="28">
        <f ca="1">INDEX(Saídas!$AE$3:$AI$163,MATCH(Visuais!N$24,Saídas!$A$3:$A$163,0),MATCH(Visuais!$B27,Saídas!$AE$3:$AI$3,0))</f>
        <v>3.247107286428208</v>
      </c>
      <c r="O27" s="28">
        <f ca="1">INDEX(Saídas!$AE$3:$AI$163,MATCH(Visuais!O$24,Saídas!$A$3:$A$163,0),MATCH(Visuais!$B27,Saídas!$AE$3:$AI$3,0))</f>
        <v>2.9841242642104193</v>
      </c>
      <c r="P27" s="34">
        <f ca="1">INDEX(Saídas!$AE$3:$AI$163,MATCH(Visuais!P$24,Saídas!$A$3:$A$163,0),MATCH(Visuais!$B27,Saídas!$AE$3:$AI$3,0))</f>
        <v>2.6804500595428937</v>
      </c>
    </row>
    <row r="28" spans="2:16" x14ac:dyDescent="0.15">
      <c r="B28" s="35" t="s">
        <v>116</v>
      </c>
      <c r="C28" s="44">
        <f ca="1">INDEX(Saídas!$AE$3:$AI$163,MATCH(Visuais!C$24,Saídas!$A$3:$A$163,0),MATCH(Visuais!$B28,Saídas!$AE$3:$AI$3,0))</f>
        <v>-1.5140709107192007</v>
      </c>
      <c r="D28" s="16">
        <f ca="1">INDEX(Saídas!$AE$3:$AI$163,MATCH(Visuais!D$24,Saídas!$A$3:$A$163,0),MATCH(Visuais!$B28,Saídas!$AE$3:$AI$3,0))</f>
        <v>-5.7805783234068375</v>
      </c>
      <c r="E28" s="16">
        <f ca="1">INDEX(Saídas!$AE$3:$AI$163,MATCH(Visuais!E$24,Saídas!$A$3:$A$163,0),MATCH(Visuais!$B28,Saídas!$AE$3:$AI$3,0))</f>
        <v>-4.5784629819699108</v>
      </c>
      <c r="F28" s="16">
        <f ca="1">INDEX(Saídas!$AE$3:$AI$163,MATCH(Visuais!F$24,Saídas!$A$3:$A$163,0),MATCH(Visuais!$B28,Saídas!$AE$3:$AI$3,0))</f>
        <v>-0.51701467886006158</v>
      </c>
      <c r="G28" s="16">
        <f ca="1">INDEX(Saídas!$AE$3:$AI$163,MATCH(Visuais!G$24,Saídas!$A$3:$A$163,0),MATCH(Visuais!$B28,Saídas!$AE$3:$AI$3,0))</f>
        <v>0.71258970686800538</v>
      </c>
      <c r="H28" s="16">
        <f ca="1">INDEX(Saídas!$AE$3:$AI$163,MATCH(Visuais!H$24,Saídas!$A$3:$A$163,0),MATCH(Visuais!$B28,Saídas!$AE$3:$AI$3,0))</f>
        <v>-0.67076746700427403</v>
      </c>
      <c r="I28" s="16">
        <f ca="1">INDEX(Saídas!$AE$3:$AI$163,MATCH(Visuais!I$24,Saídas!$A$3:$A$163,0),MATCH(Visuais!$B28,Saídas!$AE$3:$AI$3,0))</f>
        <v>-3.3969367213502077</v>
      </c>
      <c r="J28" s="28">
        <f ca="1">INDEX(Saídas!$AE$3:$AI$163,MATCH(Visuais!J$24,Saídas!$A$3:$A$163,0),MATCH(Visuais!$B28,Saídas!$AE$3:$AI$3,0))</f>
        <v>4.5430023141791676</v>
      </c>
      <c r="K28" s="28">
        <f ca="1">INDEX(Saídas!$AE$3:$AI$163,MATCH(Visuais!K$24,Saídas!$A$3:$A$163,0),MATCH(Visuais!$B28,Saídas!$AE$3:$AI$3,0))</f>
        <v>-1.3546935211033562</v>
      </c>
      <c r="L28" s="28">
        <f ca="1">INDEX(Saídas!$AE$3:$AI$163,MATCH(Visuais!L$24,Saídas!$A$3:$A$163,0),MATCH(Visuais!$B28,Saídas!$AE$3:$AI$3,0))</f>
        <v>0.57899393963749546</v>
      </c>
      <c r="M28" s="28">
        <f ca="1">INDEX(Saídas!$AE$3:$AI$163,MATCH(Visuais!M$24,Saídas!$A$3:$A$163,0),MATCH(Visuais!$B28,Saídas!$AE$3:$AI$3,0))</f>
        <v>2.1913864153212392</v>
      </c>
      <c r="N28" s="28">
        <f ca="1">INDEX(Saídas!$AE$3:$AI$163,MATCH(Visuais!N$24,Saídas!$A$3:$A$163,0),MATCH(Visuais!$B28,Saídas!$AE$3:$AI$3,0))</f>
        <v>3.2471072864281858</v>
      </c>
      <c r="O28" s="28">
        <f ca="1">INDEX(Saídas!$AE$3:$AI$163,MATCH(Visuais!O$24,Saídas!$A$3:$A$163,0),MATCH(Visuais!$B28,Saídas!$AE$3:$AI$3,0))</f>
        <v>2.9841242642104415</v>
      </c>
      <c r="P28" s="34">
        <f ca="1">INDEX(Saídas!$AE$3:$AI$163,MATCH(Visuais!P$24,Saídas!$A$3:$A$163,0),MATCH(Visuais!$B28,Saídas!$AE$3:$AI$3,0))</f>
        <v>2.6804500595428493</v>
      </c>
    </row>
    <row r="29" spans="2:16" ht="12" thickBot="1" x14ac:dyDescent="0.2">
      <c r="B29" s="36" t="s">
        <v>109</v>
      </c>
      <c r="C29" s="45">
        <f ca="1">INDEX(Saídas!$AE$3:$AI$163,MATCH(Visuais!C$24,Saídas!$A$3:$A$163,0),MATCH(Visuais!$B29,Saídas!$AE$3:$AI$3,0))</f>
        <v>1.004283399925443</v>
      </c>
      <c r="D29" s="37">
        <f ca="1">INDEX(Saídas!$AE$3:$AI$163,MATCH(Visuais!D$24,Saídas!$A$3:$A$163,0),MATCH(Visuais!$B29,Saídas!$AE$3:$AI$3,0))</f>
        <v>-2.7128758975703882</v>
      </c>
      <c r="E29" s="37">
        <f ca="1">INDEX(Saídas!$AE$3:$AI$163,MATCH(Visuais!E$24,Saídas!$A$3:$A$163,0),MATCH(Visuais!$B29,Saídas!$AE$3:$AI$3,0))</f>
        <v>-2.4778510808105558</v>
      </c>
      <c r="F29" s="37">
        <f ca="1">INDEX(Saídas!$AE$3:$AI$163,MATCH(Visuais!F$24,Saídas!$A$3:$A$163,0),MATCH(Visuais!$B29,Saídas!$AE$3:$AI$3,0))</f>
        <v>1.0326645831679748</v>
      </c>
      <c r="G29" s="37">
        <f ca="1">INDEX(Saídas!$AE$3:$AI$163,MATCH(Visuais!G$24,Saídas!$A$3:$A$163,0),MATCH(Visuais!$B29,Saídas!$AE$3:$AI$3,0))</f>
        <v>2.0392590236914865</v>
      </c>
      <c r="H29" s="37">
        <f ca="1">INDEX(Saídas!$AE$3:$AI$163,MATCH(Visuais!H$24,Saídas!$A$3:$A$163,0),MATCH(Visuais!$B29,Saídas!$AE$3:$AI$3,0))</f>
        <v>1.5149359106614746</v>
      </c>
      <c r="I29" s="37">
        <f ca="1">INDEX(Saídas!$AE$3:$AI$163,MATCH(Visuais!I$24,Saídas!$A$3:$A$163,0),MATCH(Visuais!$B29,Saídas!$AE$3:$AI$3,0))</f>
        <v>-4.6366905993621028</v>
      </c>
      <c r="J29" s="38">
        <f ca="1">INDEX(Saídas!$AE$3:$AI$163,MATCH(Visuais!J$24,Saídas!$A$3:$A$163,0),MATCH(Visuais!$B29,Saídas!$AE$3:$AI$3,0))</f>
        <v>4.7205144508326802</v>
      </c>
      <c r="K29" s="38">
        <f ca="1">INDEX(Saídas!$AE$3:$AI$163,MATCH(Visuais!K$24,Saídas!$A$3:$A$163,0),MATCH(Visuais!$B29,Saídas!$AE$3:$AI$3,0))</f>
        <v>0.70809645373342001</v>
      </c>
      <c r="L29" s="38">
        <f ca="1">INDEX(Saídas!$AE$3:$AI$163,MATCH(Visuais!L$24,Saídas!$A$3:$A$163,0),MATCH(Visuais!$B29,Saídas!$AE$3:$AI$3,0))</f>
        <v>2.1002971557989802</v>
      </c>
      <c r="M29" s="38">
        <f ca="1">INDEX(Saídas!$AE$3:$AI$163,MATCH(Visuais!M$24,Saídas!$A$3:$A$163,0),MATCH(Visuais!$B29,Saídas!$AE$3:$AI$3,0))</f>
        <v>2.7736635531213638</v>
      </c>
      <c r="N29" s="38">
        <f ca="1">INDEX(Saídas!$AE$3:$AI$163,MATCH(Visuais!N$24,Saídas!$A$3:$A$163,0),MATCH(Visuais!$B29,Saídas!$AE$3:$AI$3,0))</f>
        <v>3.2471072864281858</v>
      </c>
      <c r="O29" s="38">
        <f ca="1">INDEX(Saídas!$AE$3:$AI$163,MATCH(Visuais!O$24,Saídas!$A$3:$A$163,0),MATCH(Visuais!$B29,Saídas!$AE$3:$AI$3,0))</f>
        <v>2.9841242642104193</v>
      </c>
      <c r="P29" s="39">
        <f ca="1">INDEX(Saídas!$AE$3:$AI$163,MATCH(Visuais!P$24,Saídas!$A$3:$A$163,0),MATCH(Visuais!$B29,Saídas!$AE$3:$AI$3,0))</f>
        <v>2.6804500595428715</v>
      </c>
    </row>
    <row r="30" spans="2:16" ht="12" thickBot="1" x14ac:dyDescent="0.2"/>
    <row r="31" spans="2:16" ht="12" thickBot="1" x14ac:dyDescent="0.2">
      <c r="B31" s="29" t="s">
        <v>183</v>
      </c>
      <c r="C31" s="46">
        <v>44012</v>
      </c>
      <c r="D31" s="46">
        <f>EOMONTH(C31,3)</f>
        <v>44104</v>
      </c>
      <c r="E31" s="46">
        <f t="shared" ref="E31:M31" si="1">EOMONTH(D31,3)</f>
        <v>44196</v>
      </c>
      <c r="F31" s="46">
        <f t="shared" si="1"/>
        <v>44286</v>
      </c>
      <c r="G31" s="46">
        <f t="shared" si="1"/>
        <v>44377</v>
      </c>
      <c r="H31" s="46">
        <f t="shared" si="1"/>
        <v>44469</v>
      </c>
      <c r="I31" s="59">
        <f t="shared" si="1"/>
        <v>44561</v>
      </c>
      <c r="J31" s="59">
        <f t="shared" si="1"/>
        <v>44651</v>
      </c>
      <c r="K31" s="59">
        <f t="shared" si="1"/>
        <v>44742</v>
      </c>
      <c r="L31" s="59">
        <f t="shared" si="1"/>
        <v>44834</v>
      </c>
      <c r="M31" s="58">
        <f t="shared" si="1"/>
        <v>44926</v>
      </c>
    </row>
    <row r="32" spans="2:16" x14ac:dyDescent="0.15">
      <c r="B32" s="33" t="s">
        <v>110</v>
      </c>
      <c r="C32" s="40">
        <f ca="1">INDEX(Saídas!$K$3:$P$123,MATCH(Visuais!C$31,Saídas!$A$3:$A$123,0),MATCH(Visuais!$B32,Saídas!$K$3:$P$3,0))</f>
        <v>-8.8542628658123022</v>
      </c>
      <c r="D32" s="41">
        <f ca="1">INDEX(Saídas!$K$3:$P$123,MATCH(Visuais!D$31,Saídas!$A$3:$A$123,0),MATCH(Visuais!$B32,Saídas!$K$3:$P$3,0))</f>
        <v>7.7682808187827135</v>
      </c>
      <c r="E32" s="41">
        <f ca="1">INDEX(Saídas!$K$3:$P$123,MATCH(Visuais!E$31,Saídas!$A$3:$A$123,0),MATCH(Visuais!$B32,Saídas!$K$3:$P$3,0))</f>
        <v>3.1147251366202777</v>
      </c>
      <c r="F32" s="41">
        <f ca="1">INDEX(Saídas!$K$3:$P$123,MATCH(Visuais!F$31,Saídas!$A$3:$A$123,0),MATCH(Visuais!$B32,Saídas!$K$3:$P$3,0))</f>
        <v>1.3434663294645155</v>
      </c>
      <c r="G32" s="41">
        <f ca="1">INDEX(Saídas!$K$3:$P$123,MATCH(Visuais!G$31,Saídas!$A$3:$A$123,0),MATCH(Visuais!$B32,Saídas!$K$3:$P$3,0))</f>
        <v>-0.35116571175480837</v>
      </c>
      <c r="H32" s="41">
        <f ca="1">INDEX(Saídas!$K$3:$P$123,MATCH(Visuais!H$31,Saídas!$A$3:$A$123,0),MATCH(Visuais!$B32,Saídas!$K$3:$P$3,0))</f>
        <v>-9.3841171393527212E-2</v>
      </c>
      <c r="I32" s="42">
        <f ca="1">INDEX(Saídas!$K$3:$P$123,MATCH(Visuais!I$31,Saídas!$A$3:$A$123,0),MATCH(Visuais!$B32,Saídas!$K$3:$P$3,0))</f>
        <v>0.32879637741496381</v>
      </c>
      <c r="J32" s="42">
        <f ca="1">INDEX(Saídas!$K$3:$P$123,MATCH(Visuais!J$31,Saídas!$A$3:$A$123,0),MATCH(Visuais!$B32,Saídas!$K$3:$P$3,0))</f>
        <v>0.10395828424227815</v>
      </c>
      <c r="K32" s="42">
        <f ca="1">INDEX(Saídas!$K$3:$P$123,MATCH(Visuais!K$31,Saídas!$A$3:$A$123,0),MATCH(Visuais!$B32,Saídas!$K$3:$P$3,0))</f>
        <v>-5.8156690192456839E-2</v>
      </c>
      <c r="L32" s="55">
        <f ca="1">INDEX(Saídas!$K$3:$P$123,MATCH(Visuais!L$31,Saídas!$A$3:$A$123,0),MATCH(Visuais!$B32,Saídas!$K$3:$P$3,0))</f>
        <v>0.39503355644352478</v>
      </c>
      <c r="M32" s="43">
        <f ca="1">INDEX(Saídas!$K$3:$P$123,MATCH(Visuais!M$31,Saídas!$A$3:$A$123,0),MATCH(Visuais!$B32,Saídas!$K$3:$P$3,0))</f>
        <v>0.479668192825633</v>
      </c>
    </row>
    <row r="33" spans="2:16" x14ac:dyDescent="0.15">
      <c r="B33" s="33" t="s">
        <v>114</v>
      </c>
      <c r="C33" s="44">
        <f ca="1">INDEX(Saídas!$K$3:$P$123,MATCH(Visuais!C$31,Saídas!$A$3:$A$123,0),MATCH(Visuais!$B33,Saídas!$K$3:$P$3,0))</f>
        <v>-8.7034859602767352</v>
      </c>
      <c r="D33" s="16">
        <f ca="1">INDEX(Saídas!$K$3:$P$123,MATCH(Visuais!D$31,Saídas!$A$3:$A$123,0),MATCH(Visuais!$B33,Saídas!$K$3:$P$3,0))</f>
        <v>7.5307635504023196</v>
      </c>
      <c r="E33" s="16">
        <f ca="1">INDEX(Saídas!$K$3:$P$123,MATCH(Visuais!E$31,Saídas!$A$3:$A$123,0),MATCH(Visuais!$B33,Saídas!$K$3:$P$3,0))</f>
        <v>2.8837434266487438</v>
      </c>
      <c r="F33" s="16">
        <f ca="1">INDEX(Saídas!$K$3:$P$123,MATCH(Visuais!F$31,Saídas!$A$3:$A$123,0),MATCH(Visuais!$B33,Saídas!$K$3:$P$3,0))</f>
        <v>1.3314522411173035</v>
      </c>
      <c r="G33" s="16">
        <f ca="1">INDEX(Saídas!$K$3:$P$123,MATCH(Visuais!G$31,Saídas!$A$3:$A$123,0),MATCH(Visuais!$B33,Saídas!$K$3:$P$3,0))</f>
        <v>-0.38121331912973622</v>
      </c>
      <c r="H33" s="16">
        <f ca="1">INDEX(Saídas!$K$3:$P$123,MATCH(Visuais!H$31,Saídas!$A$3:$A$123,0),MATCH(Visuais!$B33,Saídas!$K$3:$P$3,0))</f>
        <v>-0.15123461531805216</v>
      </c>
      <c r="I33" s="28">
        <f ca="1">INDEX(Saídas!$K$3:$P$123,MATCH(Visuais!I$31,Saídas!$A$3:$A$123,0),MATCH(Visuais!$B33,Saídas!$K$3:$P$3,0))</f>
        <v>0.5243791017312871</v>
      </c>
      <c r="J33" s="28">
        <f ca="1">INDEX(Saídas!$K$3:$P$123,MATCH(Visuais!J$31,Saídas!$A$3:$A$123,0),MATCH(Visuais!$B33,Saídas!$K$3:$P$3,0))</f>
        <v>0.18207696700676124</v>
      </c>
      <c r="K33" s="28">
        <f ca="1">INDEX(Saídas!$K$3:$P$123,MATCH(Visuais!K$31,Saídas!$A$3:$A$123,0),MATCH(Visuais!$B33,Saídas!$K$3:$P$3,0))</f>
        <v>-2.6950080162058132E-2</v>
      </c>
      <c r="L33" s="56">
        <f ca="1">INDEX(Saídas!$K$3:$P$123,MATCH(Visuais!L$31,Saídas!$A$3:$A$123,0),MATCH(Visuais!$B33,Saídas!$K$3:$P$3,0))</f>
        <v>0.40757436983533957</v>
      </c>
      <c r="M33" s="34">
        <f ca="1">INDEX(Saídas!$K$3:$P$123,MATCH(Visuais!M$31,Saídas!$A$3:$A$123,0),MATCH(Visuais!$B33,Saídas!$K$3:$P$3,0))</f>
        <v>0.48468899789464448</v>
      </c>
    </row>
    <row r="34" spans="2:16" x14ac:dyDescent="0.15">
      <c r="B34" s="35" t="s">
        <v>108</v>
      </c>
      <c r="C34" s="44">
        <f ca="1">INDEX(Saídas!$K$3:$P$123,MATCH(Visuais!C$31,Saídas!$A$3:$A$123,0),MATCH(Visuais!$B34,Saídas!$K$3:$P$3,0))</f>
        <v>1.8128403171414842</v>
      </c>
      <c r="D34" s="16">
        <f ca="1">INDEX(Saídas!$K$3:$P$123,MATCH(Visuais!D$31,Saídas!$A$3:$A$123,0),MATCH(Visuais!$B34,Saídas!$K$3:$P$3,0))</f>
        <v>0.57109563777908434</v>
      </c>
      <c r="E34" s="16">
        <f ca="1">INDEX(Saídas!$K$3:$P$123,MATCH(Visuais!E$31,Saídas!$A$3:$A$123,0),MATCH(Visuais!$B34,Saídas!$K$3:$P$3,0))</f>
        <v>-1.0694289710100335</v>
      </c>
      <c r="F34" s="16">
        <f ca="1">INDEX(Saídas!$K$3:$P$123,MATCH(Visuais!F$31,Saídas!$A$3:$A$123,0),MATCH(Visuais!$B34,Saídas!$K$3:$P$3,0))</f>
        <v>3.8271662916093296</v>
      </c>
      <c r="G34" s="16">
        <f ca="1">INDEX(Saídas!$K$3:$P$123,MATCH(Visuais!G$31,Saídas!$A$3:$A$123,0),MATCH(Visuais!$B34,Saídas!$K$3:$P$3,0))</f>
        <v>-2.8525973423573769</v>
      </c>
      <c r="H34" s="16">
        <f ca="1">INDEX(Saídas!$K$3:$P$123,MATCH(Visuais!H$31,Saídas!$A$3:$A$123,0),MATCH(Visuais!$B34,Saídas!$K$3:$P$3,0))</f>
        <v>-7.960230914207223</v>
      </c>
      <c r="I34" s="28">
        <f ca="1">INDEX(Saídas!$K$3:$P$123,MATCH(Visuais!I$31,Saídas!$A$3:$A$123,0),MATCH(Visuais!$B34,Saídas!$K$3:$P$3,0))</f>
        <v>5.3502379799341355</v>
      </c>
      <c r="J34" s="28">
        <f ca="1">INDEX(Saídas!$K$3:$P$123,MATCH(Visuais!J$31,Saídas!$A$3:$A$123,0),MATCH(Visuais!$B34,Saídas!$K$3:$P$3,0))</f>
        <v>1.7186038539173758</v>
      </c>
      <c r="K34" s="28">
        <f ca="1">INDEX(Saídas!$K$3:$P$123,MATCH(Visuais!K$31,Saídas!$A$3:$A$123,0),MATCH(Visuais!$B34,Saídas!$K$3:$P$3,0))</f>
        <v>2.5768625984533333E-2</v>
      </c>
      <c r="L34" s="56">
        <f ca="1">INDEX(Saídas!$K$3:$P$123,MATCH(Visuais!L$31,Saídas!$A$3:$A$123,0),MATCH(Visuais!$B34,Saídas!$K$3:$P$3,0))</f>
        <v>1.1186976366392112</v>
      </c>
      <c r="M34" s="34">
        <f ca="1">INDEX(Saídas!$K$3:$P$123,MATCH(Visuais!M$31,Saídas!$A$3:$A$123,0),MATCH(Visuais!$B34,Saídas!$K$3:$P$3,0))</f>
        <v>0.89902545956899682</v>
      </c>
    </row>
    <row r="35" spans="2:16" x14ac:dyDescent="0.15">
      <c r="B35" s="35" t="s">
        <v>116</v>
      </c>
      <c r="C35" s="44">
        <f ca="1">INDEX(Saídas!$K$3:$P$123,MATCH(Visuais!C$31,Saídas!$A$3:$A$123,0),MATCH(Visuais!$B35,Saídas!$K$3:$P$3,0))</f>
        <v>-10.866902340683682</v>
      </c>
      <c r="D35" s="16">
        <f ca="1">INDEX(Saídas!$K$3:$P$123,MATCH(Visuais!D$31,Saídas!$A$3:$A$123,0),MATCH(Visuais!$B35,Saídas!$K$3:$P$3,0))</f>
        <v>14.11025652281397</v>
      </c>
      <c r="E35" s="16">
        <f ca="1">INDEX(Saídas!$K$3:$P$123,MATCH(Visuais!E$31,Saídas!$A$3:$A$123,0),MATCH(Visuais!$B35,Saídas!$K$3:$P$3,0))</f>
        <v>1.0385797640302563</v>
      </c>
      <c r="F35" s="16">
        <f ca="1">INDEX(Saídas!$K$3:$P$123,MATCH(Visuais!F$31,Saídas!$A$3:$A$123,0),MATCH(Visuais!$B35,Saídas!$K$3:$P$3,0))</f>
        <v>0.88983618204423465</v>
      </c>
      <c r="G35" s="16">
        <f ca="1">INDEX(Saídas!$K$3:$P$123,MATCH(Visuais!G$31,Saídas!$A$3:$A$123,0),MATCH(Visuais!$B35,Saídas!$K$3:$P$3,0))</f>
        <v>-0.54898991020682075</v>
      </c>
      <c r="H35" s="16">
        <f ca="1">INDEX(Saídas!$K$3:$P$123,MATCH(Visuais!H$31,Saídas!$A$3:$A$123,0),MATCH(Visuais!$B35,Saídas!$K$3:$P$3,0))</f>
        <v>-2.6108584477158026E-2</v>
      </c>
      <c r="I35" s="28">
        <f ca="1">INDEX(Saídas!$K$3:$P$123,MATCH(Visuais!I$31,Saídas!$A$3:$A$123,0),MATCH(Visuais!$B35,Saídas!$K$3:$P$3,0))</f>
        <v>-1.4266159834725742</v>
      </c>
      <c r="J35" s="28">
        <f ca="1">INDEX(Saídas!$K$3:$P$123,MATCH(Visuais!J$31,Saídas!$A$3:$A$123,0),MATCH(Visuais!$B35,Saídas!$K$3:$P$3,0))</f>
        <v>6.8478544203624647E-2</v>
      </c>
      <c r="K35" s="28">
        <f ca="1">INDEX(Saídas!$K$3:$P$123,MATCH(Visuais!K$31,Saídas!$A$3:$A$123,0),MATCH(Visuais!$B35,Saídas!$K$3:$P$3,0))</f>
        <v>-0.39819124835466607</v>
      </c>
      <c r="L35" s="56">
        <f ca="1">INDEX(Saídas!$K$3:$P$123,MATCH(Visuais!L$31,Saídas!$A$3:$A$123,0),MATCH(Visuais!$B35,Saídas!$K$3:$P$3,0))</f>
        <v>0.11285068961994138</v>
      </c>
      <c r="M35" s="34">
        <f ca="1">INDEX(Saídas!$K$3:$P$123,MATCH(Visuais!M$31,Saídas!$A$3:$A$123,0),MATCH(Visuais!$B35,Saídas!$K$3:$P$3,0))</f>
        <v>0.16591486318844018</v>
      </c>
      <c r="P35" s="47" t="s">
        <v>174</v>
      </c>
    </row>
    <row r="36" spans="2:16" ht="12" thickBot="1" x14ac:dyDescent="0.2">
      <c r="B36" s="36" t="s">
        <v>109</v>
      </c>
      <c r="C36" s="45">
        <f ca="1">INDEX(Saídas!$K$3:$P$123,MATCH(Visuais!C$31,Saídas!$A$3:$A$123,0),MATCH(Visuais!$B36,Saídas!$K$3:$P$3,0))</f>
        <v>-8.9734718209266155</v>
      </c>
      <c r="D36" s="37">
        <f ca="1">INDEX(Saídas!$K$3:$P$123,MATCH(Visuais!D$31,Saídas!$A$3:$A$123,0),MATCH(Visuais!$B36,Saídas!$K$3:$P$3,0))</f>
        <v>6.1997296134866486</v>
      </c>
      <c r="E36" s="37">
        <f ca="1">INDEX(Saídas!$K$3:$P$123,MATCH(Visuais!E$31,Saídas!$A$3:$A$123,0),MATCH(Visuais!$B36,Saídas!$K$3:$P$3,0))</f>
        <v>3.0340669663287301</v>
      </c>
      <c r="F36" s="37">
        <f ca="1">INDEX(Saídas!$K$3:$P$123,MATCH(Visuais!F$31,Saídas!$A$3:$A$123,0),MATCH(Visuais!$B36,Saídas!$K$3:$P$3,0))</f>
        <v>0.93990014628906327</v>
      </c>
      <c r="G36" s="37">
        <f ca="1">INDEX(Saídas!$K$3:$P$123,MATCH(Visuais!G$31,Saídas!$A$3:$A$123,0),MATCH(Visuais!$B36,Saídas!$K$3:$P$3,0))</f>
        <v>0.57544519405470229</v>
      </c>
      <c r="H36" s="37">
        <f ca="1">INDEX(Saídas!$K$3:$P$123,MATCH(Visuais!H$31,Saídas!$A$3:$A$123,0),MATCH(Visuais!$B36,Saídas!$K$3:$P$3,0))</f>
        <v>1.131925953423929</v>
      </c>
      <c r="I36" s="38">
        <f ca="1">INDEX(Saídas!$K$3:$P$123,MATCH(Visuais!I$31,Saídas!$A$3:$A$123,0),MATCH(Visuais!$B36,Saídas!$K$3:$P$3,0))</f>
        <v>-0.58610296545515195</v>
      </c>
      <c r="J36" s="38">
        <f ca="1">INDEX(Saídas!$K$3:$P$123,MATCH(Visuais!J$31,Saídas!$A$3:$A$123,0),MATCH(Visuais!$B36,Saídas!$K$3:$P$3,0))</f>
        <v>4.469118244562087E-2</v>
      </c>
      <c r="K36" s="38">
        <f ca="1">INDEX(Saídas!$K$3:$P$123,MATCH(Visuais!K$31,Saídas!$A$3:$A$123,0),MATCH(Visuais!$B36,Saídas!$K$3:$P$3,0))</f>
        <v>7.6992023359692019E-2</v>
      </c>
      <c r="L36" s="57">
        <f ca="1">INDEX(Saídas!$K$3:$P$123,MATCH(Visuais!L$31,Saídas!$A$3:$A$123,0),MATCH(Visuais!$B36,Saídas!$K$3:$P$3,0))</f>
        <v>0.41398623172416582</v>
      </c>
      <c r="M36" s="39">
        <f ca="1">INDEX(Saídas!$K$3:$P$123,MATCH(Visuais!M$31,Saídas!$A$3:$A$123,0),MATCH(Visuais!$B36,Saídas!$K$3:$P$3,0))</f>
        <v>0.53114336924553829</v>
      </c>
      <c r="P36" s="47" t="s">
        <v>184</v>
      </c>
    </row>
    <row r="37" spans="2:16" x14ac:dyDescent="0.15">
      <c r="P37" s="77" t="s">
        <v>207</v>
      </c>
    </row>
    <row r="38" spans="2:16" ht="12" thickBot="1" x14ac:dyDescent="0.2"/>
    <row r="39" spans="2:16" x14ac:dyDescent="0.15"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</row>
    <row r="40" spans="2:16" x14ac:dyDescent="0.15"/>
    <row r="41" spans="2:16" x14ac:dyDescent="0.15"/>
    <row r="42" spans="2:16" x14ac:dyDescent="0.15"/>
    <row r="43" spans="2:16" x14ac:dyDescent="0.15"/>
    <row r="44" spans="2:16" x14ac:dyDescent="0.15"/>
    <row r="45" spans="2:16" x14ac:dyDescent="0.15"/>
    <row r="46" spans="2:16" x14ac:dyDescent="0.15"/>
    <row r="47" spans="2:16" x14ac:dyDescent="0.15"/>
    <row r="48" spans="2:16" x14ac:dyDescent="0.15"/>
    <row r="49" x14ac:dyDescent="0.15"/>
    <row r="50" x14ac:dyDescent="0.15"/>
    <row r="51" x14ac:dyDescent="0.15"/>
    <row r="52" x14ac:dyDescent="0.15"/>
    <row r="53" x14ac:dyDescent="0.15"/>
    <row r="54" x14ac:dyDescent="0.15"/>
    <row r="55" x14ac:dyDescent="0.15"/>
    <row r="56" x14ac:dyDescent="0.15"/>
    <row r="57" x14ac:dyDescent="0.15"/>
    <row r="58" x14ac:dyDescent="0.15"/>
    <row r="59" x14ac:dyDescent="0.15"/>
    <row r="60" x14ac:dyDescent="0.15"/>
    <row r="61" x14ac:dyDescent="0.15"/>
    <row r="62" x14ac:dyDescent="0.15"/>
    <row r="63" x14ac:dyDescent="0.15"/>
    <row r="64" x14ac:dyDescent="0.15"/>
    <row r="65" spans="16:16" x14ac:dyDescent="0.15"/>
    <row r="66" spans="16:16" x14ac:dyDescent="0.15"/>
    <row r="67" spans="16:16" x14ac:dyDescent="0.15"/>
    <row r="68" spans="16:16" x14ac:dyDescent="0.15"/>
    <row r="69" spans="16:16" x14ac:dyDescent="0.15"/>
    <row r="70" spans="16:16" x14ac:dyDescent="0.15"/>
    <row r="71" spans="16:16" x14ac:dyDescent="0.15"/>
    <row r="72" spans="16:16" x14ac:dyDescent="0.15"/>
    <row r="73" spans="16:16" x14ac:dyDescent="0.15"/>
    <row r="74" spans="16:16" x14ac:dyDescent="0.15"/>
    <row r="75" spans="16:16" x14ac:dyDescent="0.15"/>
    <row r="76" spans="16:16" x14ac:dyDescent="0.15"/>
    <row r="77" spans="16:16" x14ac:dyDescent="0.15"/>
    <row r="78" spans="16:16" x14ac:dyDescent="0.15">
      <c r="P78" s="47" t="s">
        <v>174</v>
      </c>
    </row>
    <row r="79" spans="16:16" x14ac:dyDescent="0.15">
      <c r="P79" s="47" t="s">
        <v>184</v>
      </c>
    </row>
    <row r="80" spans="16:16" x14ac:dyDescent="0.15">
      <c r="P80" s="77" t="s">
        <v>207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Input IBGE</vt:lpstr>
      <vt:lpstr>Input IBGE (old)</vt:lpstr>
      <vt:lpstr>Dados</vt:lpstr>
      <vt:lpstr>Modelos</vt:lpstr>
      <vt:lpstr>Projeçao</vt:lpstr>
      <vt:lpstr>Saídas</vt:lpstr>
      <vt:lpstr>Visuais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Camargo</dc:creator>
  <cp:lastModifiedBy>Usuário do Microsoft Office</cp:lastModifiedBy>
  <dcterms:created xsi:type="dcterms:W3CDTF">2020-08-29T15:09:39Z</dcterms:created>
  <dcterms:modified xsi:type="dcterms:W3CDTF">2021-12-10T20:46:04Z</dcterms:modified>
</cp:coreProperties>
</file>